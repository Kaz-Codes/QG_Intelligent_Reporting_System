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internship\project\"/>
    </mc:Choice>
  </mc:AlternateContent>
  <xr:revisionPtr revIDLastSave="0" documentId="13_ncr:1_{A68AE5CC-0361-4EFA-AB0F-C1041440D7E6}" xr6:coauthVersionLast="47" xr6:coauthVersionMax="47" xr10:uidLastSave="{00000000-0000-0000-0000-000000000000}"/>
  <bookViews>
    <workbookView xWindow="-120" yWindow="-120" windowWidth="20730" windowHeight="11160" tabRatio="500" firstSheet="1" activeTab="1" xr2:uid="{00000000-000D-0000-FFFF-FFFF00000000}"/>
  </bookViews>
  <sheets>
    <sheet name="Read Me - Guide" sheetId="1" state="hidden" r:id="rId1"/>
    <sheet name="Export Documentation Database" sheetId="18" r:id="rId2"/>
    <sheet name="Shipment Master Database" sheetId="20" r:id="rId3"/>
    <sheet name="Master Packing Database" sheetId="19" r:id="rId4"/>
    <sheet name="Data Quality Checks" sheetId="8" state="hidden" r:id="rId5"/>
    <sheet name="Setup_Lists" sheetId="9" state="hidden" r:id="rId6"/>
    <sheet name="PQ Mapping Analysis" sheetId="10" state="hidden" r:id="rId7"/>
    <sheet name="Inbound &amp; Outbound Shifting" sheetId="17" r:id="rId8"/>
  </sheets>
  <definedNames>
    <definedName name="Doc_Status">Setup_Lists!$C$4:$C$9</definedName>
    <definedName name="ExternalData_1" localSheetId="7" hidden="1">'Inbound &amp; Outbound Shifting'!$A$1:$AT$465</definedName>
    <definedName name="ExternalData_2" localSheetId="1" hidden="1">'Export Documentation Database'!$A$1:$BB$164</definedName>
    <definedName name="ExternalData_2" localSheetId="3" hidden="1">'Master Packing Database'!$A$1:$AR$1376</definedName>
    <definedName name="ExternalData_3" localSheetId="2" hidden="1">'Shipment Master Database'!$A$1:$BI$166</definedName>
    <definedName name="Incoterm">Setup_Lists!$D$4:$D$12</definedName>
    <definedName name="Packing_Status">Setup_Lists!$B$4:$B$9</definedName>
    <definedName name="Segment">Setup_Lists!$F$4:$F$8</definedName>
    <definedName name="Shipment_Mode">Setup_Lists!$E$4:$E$7</definedName>
    <definedName name="Shipment_Status">Setup_Lists!$A$4:$A$12</definedName>
    <definedName name="YesNo">Setup_Lists!$G$4:$G$6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18" l="1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K2" i="20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B20" i="8" l="1"/>
  <c r="C16" i="8"/>
  <c r="E16" i="8" s="1"/>
  <c r="C15" i="8"/>
  <c r="E15" i="8" s="1"/>
  <c r="C14" i="8"/>
  <c r="E14" i="8" s="1"/>
  <c r="E13" i="8"/>
  <c r="C13" i="8"/>
  <c r="C12" i="8"/>
  <c r="E12" i="8" s="1"/>
  <c r="C11" i="8"/>
  <c r="E11" i="8" s="1"/>
  <c r="C10" i="8"/>
  <c r="E10" i="8" s="1"/>
  <c r="C9" i="8"/>
  <c r="E9" i="8" s="1"/>
  <c r="C8" i="8"/>
  <c r="E8" i="8" s="1"/>
  <c r="C7" i="8"/>
  <c r="E7" i="8" s="1"/>
  <c r="C6" i="8"/>
  <c r="E6" i="8" s="1"/>
  <c r="E5" i="8"/>
  <c r="C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FEF4CE-0EC0-4DE4-A5FB-9212DCD44DFA}" keepAlive="1" name="Query - Customer &amp; Product" description="Connection to the 'Customer &amp; Product' query in the workbook." type="5" refreshedVersion="8" background="1" saveData="1">
    <dbPr connection="Provider=Microsoft.Mashup.OleDb.1;Data Source=$Workbook$;Location=&quot;Customer &amp; Product&quot;;Extended Properties=&quot;&quot;" command="SELECT * FROM [Customer &amp; Product]"/>
  </connection>
  <connection id="2" xr16:uid="{1BF84310-FFB5-4584-8A5F-21D13552D90C}" keepAlive="1" name="Query - Export Documentation Database" description="Connection to the 'Export Documentation Database' query in the workbook." type="5" refreshedVersion="8" background="1" saveData="1">
    <dbPr connection="Provider=Microsoft.Mashup.OleDb.1;Data Source=$Workbook$;Location=&quot;Export Documentation Database&quot;;Extended Properties=&quot;&quot;" command="SELECT * FROM [Export Documentation Database]"/>
  </connection>
  <connection id="3" xr16:uid="{0B26E1DB-3EEB-4A42-91AD-080BFF9AE839}" keepAlive="1" name="Query - Export_Documentation_Database_1" description="Connection to the 'Export_Documentation_Database_1' query in the workbook." type="5" refreshedVersion="0" background="1">
    <dbPr connection="Provider=Microsoft.Mashup.OleDb.1;Data Source=$Workbook$;Location=Export_Documentation_Database_1;Extended Properties=&quot;&quot;" command="SELECT * FROM [Export_Documentation_Database_1]"/>
  </connection>
  <connection id="4" xr16:uid="{6266651E-6731-4AFD-8F9D-01A69B4BC2F8}" keepAlive="1" name="Query - Inbound &amp; Outbound Shifting" description="Connection to the 'Inbound &amp; Outbound Shifting' query in the workbook." type="5" refreshedVersion="8" background="1" saveData="1">
    <dbPr connection="Provider=Microsoft.Mashup.OleDb.1;Data Source=$Workbook$;Location=&quot;Inbound &amp; Outbound Shifting&quot;;Extended Properties=&quot;&quot;" command="SELECT * FROM [Inbound &amp; Outbound Shifting]"/>
  </connection>
  <connection id="5" xr16:uid="{7B987B21-693C-4BF0-946E-F529D6077FC7}" keepAlive="1" name="Query - Inbound_&amp;_Outbound_Shifting_4" description="Connection to the 'Inbound_&amp;_Outbound_Shifting_4' query in the workbook." type="5" refreshedVersion="0" background="1">
    <dbPr connection="Provider=Microsoft.Mashup.OleDb.1;Data Source=$Workbook$;Location=Inbound_&amp;_Outbound_Shifting_4;Extended Properties=&quot;&quot;" command="SELECT * FROM [Inbound_&amp;_Outbound_Shifting_4]"/>
  </connection>
  <connection id="6" xr16:uid="{B37F1DC3-D548-4AAD-8C23-D5D18F0870A0}" keepAlive="1" name="Query - Master Packing Database" description="Connection to the 'Master Packing Database' query in the workbook." type="5" refreshedVersion="8" background="1" saveData="1">
    <dbPr connection="Provider=Microsoft.Mashup.OleDb.1;Data Source=$Workbook$;Location=&quot;Master Packing Database&quot;;Extended Properties=&quot;&quot;" command="SELECT * FROM [Master Packing Database]"/>
  </connection>
  <connection id="7" xr16:uid="{7E753A54-107B-4D96-B8D1-A8C6CF5BB7F1}" keepAlive="1" name="Query - Master_Packing_Database_3" description="Connection to the 'Master_Packing_Database_3' query in the workbook." type="5" refreshedVersion="0" background="1">
    <dbPr connection="Provider=Microsoft.Mashup.OleDb.1;Data Source=$Workbook$;Location=Master_Packing_Database_3;Extended Properties=&quot;&quot;" command="SELECT * FROM [Master_Packing_Database_3]"/>
  </connection>
  <connection id="8" xr16:uid="{26780A98-A0F4-44DE-A45A-5007C57E766D}" keepAlive="1" name="Query - Record Information" description="Connection to the 'Record Information' query in the workbook." type="5" refreshedVersion="8" background="1" saveData="1">
    <dbPr connection="Provider=Microsoft.Mashup.OleDb.1;Data Source=$Workbook$;Location=&quot;Record Information&quot;;Extended Properties=&quot;&quot;" command="SELECT * FROM [Record Information]"/>
  </connection>
  <connection id="9" xr16:uid="{0235979D-2D24-41CE-9200-6B3755C7725A}" keepAlive="1" name="Query - Record Information1" description="Connection to the 'Record Information' query in the workbook." type="5" refreshedVersion="0" background="1">
    <dbPr connection="Provider=Microsoft.Mashup.OleDb.1;Data Source=$Workbook$;Location=&quot;Record Information&quot;;Extended Properties=&quot;&quot;" command="SELECT * FROM [Record Information]"/>
  </connection>
  <connection id="10" xr16:uid="{0FA79818-C14F-48A0-8CC1-049D6181B8D7}" keepAlive="1" name="Query - Shipment Master Database" description="Connection to the 'Shipment Master Database' query in the workbook." type="5" refreshedVersion="8" background="1" saveData="1">
    <dbPr connection="Provider=Microsoft.Mashup.OleDb.1;Data Source=$Workbook$;Location=&quot;Shipment Master Database&quot;;Extended Properties=&quot;&quot;" command="SELECT * FROM [Shipment Master Database]"/>
  </connection>
  <connection id="11" xr16:uid="{E472479D-5016-4255-AB00-B88673489A53}" keepAlive="1" name="Query - Shipment_Master_Database_2" description="Connection to the 'Shipment_Master_Database_2' query in the workbook." type="5" refreshedVersion="0" background="1">
    <dbPr connection="Provider=Microsoft.Mashup.OleDb.1;Data Source=$Workbook$;Location=Shipment_Master_Database_2;Extended Properties=&quot;&quot;" command="SELECT * FROM [Shipment_Master_Database_2]"/>
  </connection>
</connections>
</file>

<file path=xl/sharedStrings.xml><?xml version="1.0" encoding="utf-8"?>
<sst xmlns="http://schemas.openxmlformats.org/spreadsheetml/2006/main" count="45871" uniqueCount="7058">
  <si>
    <t>HOW THIS WORKBOOK WORKS</t>
  </si>
  <si>
    <t>Purpose</t>
  </si>
  <si>
    <t>One workbook replaces the four separate files (Packing, Trucking, Export Documents, Shipping). The Database sheet is the single source of truth; every other operational sheet reads from it with live formulas.</t>
  </si>
  <si>
    <t>The key</t>
  </si>
  <si>
    <t>Each order is identified by its Exp # (export number, e.g. 2360th, 25-039, MO-0138). The same Exp # links a packing record, a shipping record, an export-doc record and a trucking dispatch. The Database has one row per Exp #, plus a unique Order ID (ORD-0001...).</t>
  </si>
  <si>
    <t>Editable fields</t>
  </si>
  <si>
    <t>Edit data ONLY on the Database sheet. Blue-input columns and status drop-downs (Packing Status, Shipment Stage, Incoterm, Docs Overall) are meant to be changed there. Everything on the other tabs is formula-driven (shown in green text) — do not type over it.</t>
  </si>
  <si>
    <t>Downstream sheets</t>
  </si>
  <si>
    <t>Master Packing Plan, Master Trucking Plan, Export Documents Sheet and Master Shipping Plan each XLOOKUP their values from tbl_Database on Exp #. Change a value in Database and these update instantly.</t>
  </si>
  <si>
    <t>Adding a new order</t>
  </si>
  <si>
    <t>Click the last row of tbl_Database on the Database sheet and press Tab/Enter — the table auto-extends. Type the Exp # and details. The downstream sheets cover the existing row range; to extend them, copy the last formula row down by the same number of new rows.</t>
  </si>
  <si>
    <t>Dashboard</t>
  </si>
  <si>
    <t>All KPIs and charts use COUNTIFS / SUM over tbl_Database. No manual refresh needed — they recalculate when the Database changes. Charts read from the small summary tables on the Dashboard.</t>
  </si>
  <si>
    <t>Setup_Lists</t>
  </si>
  <si>
    <t>Holds the dropdown lists (Shipment Status, Packing Status, Doc Status, Incoterm, etc.) as named ranges. Add an item here and it appears in the matching dropdown automatically.</t>
  </si>
  <si>
    <t>Data Quality Checks</t>
  </si>
  <si>
    <t>Automated checks for duplicates, blanks, weight mismatches and unmatched records. Green = OK, amber = review, red = must fix. Re-check after each editing session.</t>
  </si>
  <si>
    <t>Refreshing</t>
  </si>
  <si>
    <t>This is a self-contained formula workbook — there are no external file links to refresh. Just edit the Database. (If you later wire it to Power Query against live source files, use Data &gt; Refresh All.)</t>
  </si>
  <si>
    <t>Source note</t>
  </si>
  <si>
    <t>Records were consolidated from: Export Documents (Master Data, 130), Packing (Sugar+Cement Export, 93), Shipping (Delivered/On-Water/QFL/SAPT, 134) and Trucking Outbound (186) — 337 unique export orders in total. Dates standardised to dd-mmm-yyyy; dash and error placeholders from the source files were cleaned to blanks.</t>
  </si>
  <si>
    <t>Order Created</t>
  </si>
  <si>
    <t>January</t>
  </si>
  <si>
    <t>(S) Nakambala</t>
  </si>
  <si>
    <t>Done</t>
  </si>
  <si>
    <t>Packing</t>
  </si>
  <si>
    <t>February</t>
  </si>
  <si>
    <t>FLSMIDTH CEMENT MEXICO</t>
  </si>
  <si>
    <t>In Process</t>
  </si>
  <si>
    <t>Packed</t>
  </si>
  <si>
    <t>March</t>
  </si>
  <si>
    <t>Cherat Cement</t>
  </si>
  <si>
    <t>Pending</t>
  </si>
  <si>
    <t>At QFL</t>
  </si>
  <si>
    <t>April</t>
  </si>
  <si>
    <t>FIVES FCB</t>
  </si>
  <si>
    <t>KHI to LHR</t>
  </si>
  <si>
    <t>May</t>
  </si>
  <si>
    <t>PSMI</t>
  </si>
  <si>
    <t>On Water</t>
  </si>
  <si>
    <t>June</t>
  </si>
  <si>
    <t>Dewan Cement</t>
  </si>
  <si>
    <t>At QICT</t>
  </si>
  <si>
    <t>July</t>
  </si>
  <si>
    <t>(S) UCL</t>
  </si>
  <si>
    <t>At SAPT</t>
  </si>
  <si>
    <t>Invelt</t>
  </si>
  <si>
    <t>Delivered</t>
  </si>
  <si>
    <t>SAN CARLOS</t>
  </si>
  <si>
    <t>Fives FCB</t>
  </si>
  <si>
    <t>December</t>
  </si>
  <si>
    <t>Order ID</t>
  </si>
  <si>
    <t>Exp #</t>
  </si>
  <si>
    <t>Batch #</t>
  </si>
  <si>
    <t>Segment</t>
  </si>
  <si>
    <t>Customer</t>
  </si>
  <si>
    <t>Job #</t>
  </si>
  <si>
    <t>Description</t>
  </si>
  <si>
    <t>Qty</t>
  </si>
  <si>
    <t>Pkgs</t>
  </si>
  <si>
    <t>N.W. (Kgs)-</t>
  </si>
  <si>
    <t>G.W. (Kgs)</t>
  </si>
  <si>
    <t>Color Code</t>
  </si>
  <si>
    <t>Works</t>
  </si>
  <si>
    <t>Incoterm</t>
  </si>
  <si>
    <t>Containers</t>
  </si>
  <si>
    <t>Port of Destination</t>
  </si>
  <si>
    <t>Country</t>
  </si>
  <si>
    <t>Target RFD</t>
  </si>
  <si>
    <t>Actual RFD</t>
  </si>
  <si>
    <t>Packing Date</t>
  </si>
  <si>
    <t>Packing Status</t>
  </si>
  <si>
    <t>Gate-Out Date</t>
  </si>
  <si>
    <t>Gate-Out Status</t>
  </si>
  <si>
    <t>Shipping Term</t>
  </si>
  <si>
    <t>Shipping Agent</t>
  </si>
  <si>
    <t>Clearing Agent</t>
  </si>
  <si>
    <t>Shipping Line</t>
  </si>
  <si>
    <t>CRO #</t>
  </si>
  <si>
    <t>ETD Karachi</t>
  </si>
  <si>
    <t>Actual Arrival</t>
  </si>
  <si>
    <t>Transit Time</t>
  </si>
  <si>
    <t>Vessel / Voyage</t>
  </si>
  <si>
    <t>Shipment Stage</t>
  </si>
  <si>
    <t>Total Shipping Cost</t>
  </si>
  <si>
    <t>Bank</t>
  </si>
  <si>
    <t>Payment Term</t>
  </si>
  <si>
    <t>Doc Status (Customs)</t>
  </si>
  <si>
    <t>Doc Status (Customer)</t>
  </si>
  <si>
    <t>Doc Status (Bank)</t>
  </si>
  <si>
    <t>BL Status</t>
  </si>
  <si>
    <t>Docs Overall</t>
  </si>
  <si>
    <t>Transporter</t>
  </si>
  <si>
    <t>Vehicle #</t>
  </si>
  <si>
    <t>Truck Status</t>
  </si>
  <si>
    <t>Sailing Date</t>
  </si>
  <si>
    <t>Month</t>
  </si>
  <si>
    <t>In Packing?</t>
  </si>
  <si>
    <t>In Shipping?</t>
  </si>
  <si>
    <t>In Export Docs?</t>
  </si>
  <si>
    <t>In Trucking?</t>
  </si>
  <si>
    <t>Records Found</t>
  </si>
  <si>
    <t>155</t>
  </si>
  <si>
    <t>Peshawar Particle</t>
  </si>
  <si>
    <t>Manj Goods</t>
  </si>
  <si>
    <t>CAG-567</t>
  </si>
  <si>
    <t>No</t>
  </si>
  <si>
    <t>Yes</t>
  </si>
  <si>
    <t>1995 (IOL MEMO NO 210)</t>
  </si>
  <si>
    <t>MAYAGUEZ</t>
  </si>
  <si>
    <t>MAGZ-0044 (FOCR)</t>
  </si>
  <si>
    <t>Blank Shell</t>
  </si>
  <si>
    <t>8290</t>
  </si>
  <si>
    <t>Sugar-Export</t>
  </si>
  <si>
    <t>PSMI-0045</t>
  </si>
  <si>
    <t>Mill Pinion</t>
  </si>
  <si>
    <t>1</t>
  </si>
  <si>
    <t>QEN</t>
  </si>
  <si>
    <t>FOCR</t>
  </si>
  <si>
    <t>PSMI-0046</t>
  </si>
  <si>
    <t>Shell</t>
  </si>
  <si>
    <t>2161st</t>
  </si>
  <si>
    <t>ANDAHUASI</t>
  </si>
  <si>
    <t>ANDP-0008</t>
  </si>
  <si>
    <t>Head Stock + Tie Team + Top Frame + Side Cover + Trash Beam</t>
  </si>
  <si>
    <t>CFR</t>
  </si>
  <si>
    <t>Callao</t>
  </si>
  <si>
    <t>PERU</t>
  </si>
  <si>
    <t>Broco</t>
  </si>
  <si>
    <t>H &amp; H</t>
  </si>
  <si>
    <t>HAPAG LLYOD</t>
  </si>
  <si>
    <t>ZHONG GU KUN MING DP Voyage: 686126</t>
  </si>
  <si>
    <t>AHB</t>
  </si>
  <si>
    <t>100% Advance</t>
  </si>
  <si>
    <t>Ittefaq Shalmani</t>
  </si>
  <si>
    <t>TMN-027</t>
  </si>
  <si>
    <t>2206th</t>
  </si>
  <si>
    <t>(S) KOMATI</t>
  </si>
  <si>
    <t>SKOM-0059</t>
  </si>
  <si>
    <t>Washboard for Shredder Rotor Asly.</t>
  </si>
  <si>
    <t>6200</t>
  </si>
  <si>
    <t>2211st</t>
  </si>
  <si>
    <t>3rd</t>
  </si>
  <si>
    <t>Green Fuel</t>
  </si>
  <si>
    <t>GFUL-0110</t>
  </si>
  <si>
    <t>QADRI-Design Heavy Duty 38" x 72" x4-Roll Mill + MMC</t>
  </si>
  <si>
    <t>Durban</t>
  </si>
  <si>
    <t>SA</t>
  </si>
  <si>
    <t>H&amp;H</t>
  </si>
  <si>
    <t>Hapag-Lloyd</t>
  </si>
  <si>
    <t>57399307 94130732</t>
  </si>
  <si>
    <t>30</t>
  </si>
  <si>
    <t>ONE MOTIVATOR / 747345</t>
  </si>
  <si>
    <t>2214th</t>
  </si>
  <si>
    <t>(S) SOMDIAA</t>
  </si>
  <si>
    <t>SSOM-0063+0064</t>
  </si>
  <si>
    <t>Mill Roller</t>
  </si>
  <si>
    <t>FOB</t>
  </si>
  <si>
    <t>Kribib</t>
  </si>
  <si>
    <t>CAMEROON</t>
  </si>
  <si>
    <t>Nord-Sud</t>
  </si>
  <si>
    <t>37444318</t>
  </si>
  <si>
    <t>59</t>
  </si>
  <si>
    <t>ELENI T / 677079</t>
  </si>
  <si>
    <t>2224th</t>
  </si>
  <si>
    <t>2nd B</t>
  </si>
  <si>
    <t>PLAN  DE AYALA</t>
  </si>
  <si>
    <t>PAYA- 0002</t>
  </si>
  <si>
    <t>Pinion</t>
  </si>
  <si>
    <t>Veracruz</t>
  </si>
  <si>
    <t>MEXICO</t>
  </si>
  <si>
    <t>Hapag Llyod</t>
  </si>
  <si>
    <t>29990413
90392373</t>
  </si>
  <si>
    <t>62</t>
  </si>
  <si>
    <t>SEASPAN SANTOS DP Voyage: 680222</t>
  </si>
  <si>
    <t>Taqwa Goods</t>
  </si>
  <si>
    <t>JU-1205</t>
  </si>
  <si>
    <t>2230th</t>
  </si>
  <si>
    <t>ATENCINGO</t>
  </si>
  <si>
    <t>ANGO-0018</t>
  </si>
  <si>
    <t>Head Stock Asly.</t>
  </si>
  <si>
    <t>CIF</t>
  </si>
  <si>
    <t>CMA CGM</t>
  </si>
  <si>
    <t>AHE0256747</t>
  </si>
  <si>
    <t>ZHONG GU RI ZHAO / 0P31TE1MA</t>
  </si>
  <si>
    <t>2232nd</t>
  </si>
  <si>
    <t>Bais</t>
  </si>
  <si>
    <t>BAIS-0020+21+22+23+24+25</t>
  </si>
  <si>
    <t>Top Scraper+  Bottom Scraper+ Trashplate +</t>
  </si>
  <si>
    <t>LCL</t>
  </si>
  <si>
    <t>CEBU</t>
  </si>
  <si>
    <t>PHILIPPINES</t>
  </si>
  <si>
    <t>Max Freight</t>
  </si>
  <si>
    <t>OOCL</t>
  </si>
  <si>
    <t>34</t>
  </si>
  <si>
    <t>2233rd</t>
  </si>
  <si>
    <t>MADRE TIERRA</t>
  </si>
  <si>
    <t>MADT-0051+52</t>
  </si>
  <si>
    <t>4th Roll Drive Pinion</t>
  </si>
  <si>
    <t>4210</t>
  </si>
  <si>
    <t>4810</t>
  </si>
  <si>
    <t>Guatemala City</t>
  </si>
  <si>
    <t>GUATEMALA</t>
  </si>
  <si>
    <t>SEJ-857/26</t>
  </si>
  <si>
    <t>ZHONG GU HANG ZHOU / 25005E</t>
  </si>
  <si>
    <t>2242nd</t>
  </si>
  <si>
    <t>NSEA</t>
  </si>
  <si>
    <t>Bearing Housing + Liner</t>
  </si>
  <si>
    <t>NSEA-0041+42</t>
  </si>
  <si>
    <t>1490</t>
  </si>
  <si>
    <t>1650</t>
  </si>
  <si>
    <t>TLX-367</t>
  </si>
  <si>
    <t>2243rd</t>
  </si>
  <si>
    <t>Spares</t>
  </si>
  <si>
    <t>Kingston</t>
  </si>
  <si>
    <t>JAMAICA</t>
  </si>
  <si>
    <t>WWCS</t>
  </si>
  <si>
    <t>2246th</t>
  </si>
  <si>
    <t>Somdiaa</t>
  </si>
  <si>
    <t>SUCA-0001+0002+0004</t>
  </si>
  <si>
    <t>95575</t>
  </si>
  <si>
    <t>96990</t>
  </si>
  <si>
    <t>Abidjan</t>
  </si>
  <si>
    <t>Ivory Cost</t>
  </si>
  <si>
    <t>Nursood</t>
  </si>
  <si>
    <t>HAPAG LLOYD</t>
  </si>
  <si>
    <t>56</t>
  </si>
  <si>
    <t>ALBERT P /680217</t>
  </si>
  <si>
    <t>2247th</t>
  </si>
  <si>
    <t>Mayaguez</t>
  </si>
  <si>
    <t>MAGZ-0037+38+39</t>
  </si>
  <si>
    <t>Pinion+ Roller</t>
  </si>
  <si>
    <t>Buenaventura</t>
  </si>
  <si>
    <t>COLOMBIA</t>
  </si>
  <si>
    <t>AHE0255110</t>
  </si>
  <si>
    <t>76</t>
  </si>
  <si>
    <t>WESTERLY / 0TO43W1MA</t>
  </si>
  <si>
    <t>2250th</t>
  </si>
  <si>
    <t>Providencia</t>
  </si>
  <si>
    <t>IPSA-0060+61+62</t>
  </si>
  <si>
    <t>Shell+ Bearing</t>
  </si>
  <si>
    <t>58875</t>
  </si>
  <si>
    <t>60570</t>
  </si>
  <si>
    <t>BUENAVENTURA</t>
  </si>
  <si>
    <t>Colambia</t>
  </si>
  <si>
    <t>94463128
32577435</t>
  </si>
  <si>
    <t>ALBERT P DP Voyage: 680217</t>
  </si>
  <si>
    <t>TMB-503</t>
  </si>
  <si>
    <t>2252nd</t>
  </si>
  <si>
    <t>Alma</t>
  </si>
  <si>
    <t>ALMA-0074+75+76+77+78</t>
  </si>
  <si>
    <t>85676</t>
  </si>
  <si>
    <t>86785</t>
  </si>
  <si>
    <t>New Orleans</t>
  </si>
  <si>
    <t>USA</t>
  </si>
  <si>
    <t>50</t>
  </si>
  <si>
    <t>Albert P / 552S</t>
  </si>
  <si>
    <t>2254th</t>
  </si>
  <si>
    <t>(S) KILOMBERO</t>
  </si>
  <si>
    <t>SKIL-0055</t>
  </si>
  <si>
    <t>Cane Knife Asly</t>
  </si>
  <si>
    <t>3825</t>
  </si>
  <si>
    <t>4285</t>
  </si>
  <si>
    <t>BROCO</t>
  </si>
  <si>
    <t>22</t>
  </si>
  <si>
    <t>CARL SCHULTE / 710119</t>
  </si>
  <si>
    <t>2255th</t>
  </si>
  <si>
    <t>(S) Transmara</t>
  </si>
  <si>
    <t>STMA-0028 + STMA-0027</t>
  </si>
  <si>
    <t>Reshelling of Mill</t>
  </si>
  <si>
    <t>15015</t>
  </si>
  <si>
    <t>Mombasa</t>
  </si>
  <si>
    <t>KENYA</t>
  </si>
  <si>
    <t>Eastern</t>
  </si>
  <si>
    <t>CMA AGM</t>
  </si>
  <si>
    <t>AHE0254278</t>
  </si>
  <si>
    <t>ZHUO YUE YUAN YANG / 0TO3UW1MA</t>
  </si>
  <si>
    <t>HMB</t>
  </si>
  <si>
    <t>Sheikh Goods</t>
  </si>
  <si>
    <t>TLQ-667</t>
  </si>
  <si>
    <t>2256th</t>
  </si>
  <si>
    <t>NSEL (SAN ANTONIO)</t>
  </si>
  <si>
    <t>NSEA-0039+40</t>
  </si>
  <si>
    <t>Pressure Chute Plates</t>
  </si>
  <si>
    <t>3460</t>
  </si>
  <si>
    <t>4560</t>
  </si>
  <si>
    <t>Puerto Cores</t>
  </si>
  <si>
    <t>HONDURAS</t>
  </si>
  <si>
    <t>Port Link</t>
  </si>
  <si>
    <t>COSCO</t>
  </si>
  <si>
    <t>85</t>
  </si>
  <si>
    <t>KMTC JEBEL ALI / 2505 E</t>
  </si>
  <si>
    <t>2258th</t>
  </si>
  <si>
    <t>(S) SIMUNYE</t>
  </si>
  <si>
    <t>SSIM-0080</t>
  </si>
  <si>
    <t>Reshelling</t>
  </si>
  <si>
    <t>19225</t>
  </si>
  <si>
    <t>19560</t>
  </si>
  <si>
    <t>Eastern Freigher</t>
  </si>
  <si>
    <t>26</t>
  </si>
  <si>
    <t>ONE PRESENCE / 707952</t>
  </si>
  <si>
    <t>2265th</t>
  </si>
  <si>
    <t>3rd B</t>
  </si>
  <si>
    <t>SUCL-0031+32+33+34+35+36+37+38+43</t>
  </si>
  <si>
    <t>Roller +Bearing+ Liner+Bearing+Liner+ Bush+Liner</t>
  </si>
  <si>
    <t>83215</t>
  </si>
  <si>
    <t>85545</t>
  </si>
  <si>
    <t>SOUTH AFRICA</t>
  </si>
  <si>
    <t>CARL SCHULTE DP Voyage: 756560</t>
  </si>
  <si>
    <t>TLZ-107</t>
  </si>
  <si>
    <t>2266th</t>
  </si>
  <si>
    <t>BISCOM</t>
  </si>
  <si>
    <t>BSCM-0031</t>
  </si>
  <si>
    <t>Manila</t>
  </si>
  <si>
    <t>C P World</t>
  </si>
  <si>
    <t>CP9933</t>
  </si>
  <si>
    <t>X-PRESS ANGLESEY</t>
  </si>
  <si>
    <t>2270th</t>
  </si>
  <si>
    <t>MAGZ-0040+41+42+43</t>
  </si>
  <si>
    <t>Scraper</t>
  </si>
  <si>
    <t>3560</t>
  </si>
  <si>
    <t>4020</t>
  </si>
  <si>
    <t>2272nd</t>
  </si>
  <si>
    <t>SUCA-0006+0007+0008+0009</t>
  </si>
  <si>
    <t>44400</t>
  </si>
  <si>
    <t>45320</t>
  </si>
  <si>
    <t>COTE D’IVOIRE</t>
  </si>
  <si>
    <t>71889224</t>
  </si>
  <si>
    <t>60</t>
  </si>
  <si>
    <t>2273rd</t>
  </si>
  <si>
    <t>(S) DWANGWA</t>
  </si>
  <si>
    <t>SDWA-0031</t>
  </si>
  <si>
    <t>Bearing</t>
  </si>
  <si>
    <t>500</t>
  </si>
  <si>
    <t>750</t>
  </si>
  <si>
    <t>2274th</t>
  </si>
  <si>
    <t>Rhum Damoiseau</t>
  </si>
  <si>
    <t>RHDS-0047+0048+0049</t>
  </si>
  <si>
    <t>Trashplate+Scraper</t>
  </si>
  <si>
    <t>380</t>
  </si>
  <si>
    <t>40' Flat Rack</t>
  </si>
  <si>
    <t>Pointe - Pitre</t>
  </si>
  <si>
    <t>EASTERN</t>
  </si>
  <si>
    <t>77</t>
  </si>
  <si>
    <t>XIN LOS ANGELES / 0KCDYE1MA</t>
  </si>
  <si>
    <t>2275th</t>
  </si>
  <si>
    <t>RHDS-0050+51+52+53+54+55+56+57+58+59+60+61+62</t>
  </si>
  <si>
    <t>Reshelling + Pinion+ Shell +shaft</t>
  </si>
  <si>
    <t>.</t>
  </si>
  <si>
    <t>2277th</t>
  </si>
  <si>
    <t>RHDS-0053+0054</t>
  </si>
  <si>
    <t>Fixing Parts for Top Roll Scraper</t>
  </si>
  <si>
    <t>930</t>
  </si>
  <si>
    <t>1110</t>
  </si>
  <si>
    <t>2278th</t>
  </si>
  <si>
    <t>8th B</t>
  </si>
  <si>
    <t>Liner + Pinion</t>
  </si>
  <si>
    <t>GFUL-0118+0119+0120+0124+0125+0126</t>
  </si>
  <si>
    <t>Oneline</t>
  </si>
  <si>
    <t>29</t>
  </si>
  <si>
    <t>Vessel CHARLOTTE SCHULTE DP Voyage: 756545</t>
  </si>
  <si>
    <t>LXK-7483</t>
  </si>
  <si>
    <t>2279th</t>
  </si>
  <si>
    <t>(S) UMFOLOZI</t>
  </si>
  <si>
    <t>SUMF-0026</t>
  </si>
  <si>
    <t>Gear Wheel + Pinion+ Lapping of Gearing Wheel &amp; Pinion</t>
  </si>
  <si>
    <t>QE</t>
  </si>
  <si>
    <t>2280th</t>
  </si>
  <si>
    <t>(S) Gledhow</t>
  </si>
  <si>
    <t>SGLE-0069+70+71</t>
  </si>
  <si>
    <t>61420</t>
  </si>
  <si>
    <t>62430</t>
  </si>
  <si>
    <t>TLY-028</t>
  </si>
  <si>
    <t>2282nd</t>
  </si>
  <si>
    <t>RIOPAILA</t>
  </si>
  <si>
    <t>Mill Crown Pinion</t>
  </si>
  <si>
    <t>12</t>
  </si>
  <si>
    <t>2283rd</t>
  </si>
  <si>
    <t>(S) Mafambisse</t>
  </si>
  <si>
    <t>SMAF-0042</t>
  </si>
  <si>
    <t>Tail Pullery</t>
  </si>
  <si>
    <t>680</t>
  </si>
  <si>
    <t>760</t>
  </si>
  <si>
    <t>28</t>
  </si>
  <si>
    <t>2284th</t>
  </si>
  <si>
    <t>(S) Savannah</t>
  </si>
  <si>
    <t>SSAV-0010</t>
  </si>
  <si>
    <t>Shredder Rotor Asly.</t>
  </si>
  <si>
    <t>18390</t>
  </si>
  <si>
    <t>Apapa</t>
  </si>
  <si>
    <t>NIGERIA</t>
  </si>
  <si>
    <t>44</t>
  </si>
  <si>
    <t>CARL SCHULTE /  720742</t>
  </si>
  <si>
    <t>2285th</t>
  </si>
  <si>
    <t>CASUR</t>
  </si>
  <si>
    <t>CSUR-0075</t>
  </si>
  <si>
    <t>Top Cap Asly.</t>
  </si>
  <si>
    <t>2745</t>
  </si>
  <si>
    <t>2960</t>
  </si>
  <si>
    <t>107</t>
  </si>
  <si>
    <t>2286th</t>
  </si>
  <si>
    <t>CSUR-0076</t>
  </si>
  <si>
    <t>LINER for Top Bearing Top Half</t>
  </si>
  <si>
    <t>370</t>
  </si>
  <si>
    <t>440</t>
  </si>
  <si>
    <t>Managua</t>
  </si>
  <si>
    <t>NICARAGUA</t>
  </si>
  <si>
    <t>CP Lines</t>
  </si>
  <si>
    <t>MELBOURNE BRIDGE</t>
  </si>
  <si>
    <t>2287th</t>
  </si>
  <si>
    <t>PAYA-0003</t>
  </si>
  <si>
    <t>9780</t>
  </si>
  <si>
    <t>2289th</t>
  </si>
  <si>
    <t>RHDS-0055</t>
  </si>
  <si>
    <t>Trash Turner</t>
  </si>
  <si>
    <t>310</t>
  </si>
  <si>
    <t>470</t>
  </si>
  <si>
    <t>2290th</t>
  </si>
  <si>
    <t>PAYA-0004 + PAYA-0005</t>
  </si>
  <si>
    <t>Mill Top Roll Asly.</t>
  </si>
  <si>
    <t>TMB-367</t>
  </si>
  <si>
    <t>2291st</t>
  </si>
  <si>
    <t>2nd</t>
  </si>
  <si>
    <t>PICHICHI</t>
  </si>
  <si>
    <t>PICS-0025 +0026+27+28+29+30+31+32</t>
  </si>
  <si>
    <t>QADRI-Design Heavy Duty In-Liner Cane Fiberizer 78"  +Cane Leveling Drum Asly. + Prepared Cane Leveling Asly. +Hamer Bar + Sapre</t>
  </si>
  <si>
    <t>100615</t>
  </si>
  <si>
    <t>111555</t>
  </si>
  <si>
    <t>40' Open Top</t>
  </si>
  <si>
    <t>Under Correction</t>
  </si>
  <si>
    <t>Black Logistics</t>
  </si>
  <si>
    <t>LES-8904</t>
  </si>
  <si>
    <t>2292nd</t>
  </si>
  <si>
    <t>Rotor Shaft for Shredder Asly +Mill Crown Pinion</t>
  </si>
  <si>
    <t>IPSA-0063+0064+0065</t>
  </si>
  <si>
    <t>82</t>
  </si>
  <si>
    <t>Vessel SEASPAN SANTOS</t>
  </si>
  <si>
    <t>C-9320</t>
  </si>
  <si>
    <t>2295th</t>
  </si>
  <si>
    <t>PSMI-0068+ 69+70</t>
  </si>
  <si>
    <t>Panjang</t>
  </si>
  <si>
    <t>INDONESIA</t>
  </si>
  <si>
    <t>Maersk</t>
  </si>
  <si>
    <t>GSL GRANIA</t>
  </si>
  <si>
    <t>2297th</t>
  </si>
  <si>
    <t>(S) Noodsberg</t>
  </si>
  <si>
    <t>SNOO-0096</t>
  </si>
  <si>
    <t>2300th</t>
  </si>
  <si>
    <t>GFUL-0132+0133+0134+0135</t>
  </si>
  <si>
    <t>46650</t>
  </si>
  <si>
    <t>47365</t>
  </si>
  <si>
    <t>SOUTH - AFRICA</t>
  </si>
  <si>
    <t>Hapag Lloyd</t>
  </si>
  <si>
    <t>36</t>
  </si>
  <si>
    <t>Vessel X-PRESS ANGLESEY</t>
  </si>
  <si>
    <t>Inland Goods</t>
  </si>
  <si>
    <t>EA-8577</t>
  </si>
  <si>
    <t>2302nd</t>
  </si>
  <si>
    <t>(S) Nchalo</t>
  </si>
  <si>
    <t>SNCH-0041</t>
  </si>
  <si>
    <t>Bearing Liner for FCB Mill</t>
  </si>
  <si>
    <t>685</t>
  </si>
  <si>
    <t>810</t>
  </si>
  <si>
    <t>2303rd</t>
  </si>
  <si>
    <t>(S) Dwangwa</t>
  </si>
  <si>
    <t>SDWA-0034</t>
  </si>
  <si>
    <t>Head Drum &amp; Sprocket Asly.</t>
  </si>
  <si>
    <t>1380</t>
  </si>
  <si>
    <t>1625</t>
  </si>
  <si>
    <t>2304th</t>
  </si>
  <si>
    <t>KENANA</t>
  </si>
  <si>
    <t>KENL-0053+54</t>
  </si>
  <si>
    <t>156485</t>
  </si>
  <si>
    <t>20' Standard</t>
  </si>
  <si>
    <t>Port Sudan</t>
  </si>
  <si>
    <t>SUDAN</t>
  </si>
  <si>
    <t>SEJ-506/26</t>
  </si>
  <si>
    <t>HE RUN XIANG MAO</t>
  </si>
  <si>
    <t>100 % LC</t>
  </si>
  <si>
    <t>Courier Pending</t>
  </si>
  <si>
    <t>LES-6848</t>
  </si>
  <si>
    <t>2305th</t>
  </si>
  <si>
    <t>NSEA-0043+44+45</t>
  </si>
  <si>
    <t>Corinto</t>
  </si>
  <si>
    <t>NICRAGOA</t>
  </si>
  <si>
    <t>Vessel ALBERT P DP Voyage: 680232</t>
  </si>
  <si>
    <t>2306th</t>
  </si>
  <si>
    <t>BUSCO</t>
  </si>
  <si>
    <t>BUSM-0061+62</t>
  </si>
  <si>
    <t>31800</t>
  </si>
  <si>
    <t>Cagayan de Oro</t>
  </si>
  <si>
    <t>MEARSK</t>
  </si>
  <si>
    <t>54</t>
  </si>
  <si>
    <t>TMT-217</t>
  </si>
  <si>
    <t>2307th</t>
  </si>
  <si>
    <t>(S) Komati</t>
  </si>
  <si>
    <t>SKOM-0064 + 65</t>
  </si>
  <si>
    <t>Trashplate</t>
  </si>
  <si>
    <t>2308th</t>
  </si>
  <si>
    <t>DEL CHIRA</t>
  </si>
  <si>
    <t>Mill Roller + Pinions</t>
  </si>
  <si>
    <t>90</t>
  </si>
  <si>
    <t>2310st</t>
  </si>
  <si>
    <t>20 Standard</t>
  </si>
  <si>
    <t>2310th</t>
  </si>
  <si>
    <t>Wedge Blocks</t>
  </si>
  <si>
    <t>FCGL-0616+0617</t>
  </si>
  <si>
    <t>1083</t>
  </si>
  <si>
    <t>1228</t>
  </si>
  <si>
    <t>2311st</t>
  </si>
  <si>
    <t>LULA</t>
  </si>
  <si>
    <t>TurnPlate + Scraper</t>
  </si>
  <si>
    <t>LULS-0244+0245+0246+0247+0248+0249+0250+0251+0252+0253+0254+0255+0256+0257+0258+0259+0260+0261+0262+0263+0264+0265+0266</t>
  </si>
  <si>
    <t>6535</t>
  </si>
  <si>
    <t>7655</t>
  </si>
  <si>
    <t>53</t>
  </si>
  <si>
    <t>Vessel ELENI T DP Voyage: 680227</t>
  </si>
  <si>
    <t>2312nd</t>
  </si>
  <si>
    <t>FCG</t>
  </si>
  <si>
    <t>FCGL-0618</t>
  </si>
  <si>
    <t>FIVES FCB-Design Self-Setting 4-Roll</t>
  </si>
  <si>
    <t>1 Asly</t>
  </si>
  <si>
    <t>25</t>
  </si>
  <si>
    <t>109490</t>
  </si>
  <si>
    <t>114965</t>
  </si>
  <si>
    <t>Under Final Packing</t>
  </si>
  <si>
    <t>2313rd</t>
  </si>
  <si>
    <t>PSMI-0071</t>
  </si>
  <si>
    <t>AHE0257050</t>
  </si>
  <si>
    <t>46</t>
  </si>
  <si>
    <t>COSCO PRINCE RUPERT / 0FFH6E1MA</t>
  </si>
  <si>
    <t>2314th</t>
  </si>
  <si>
    <t>PROVIDENICA</t>
  </si>
  <si>
    <t>Headstock Asly +Spare</t>
  </si>
  <si>
    <t>IPSA-0066</t>
  </si>
  <si>
    <t>AHE0256671</t>
  </si>
  <si>
    <t>ZHONG GU RI ZHAO</t>
  </si>
  <si>
    <t>Waqas Goods</t>
  </si>
  <si>
    <t>TMA-111</t>
  </si>
  <si>
    <t>2315th</t>
  </si>
  <si>
    <t>SKOM-0066</t>
  </si>
  <si>
    <t>7000</t>
  </si>
  <si>
    <t>2316th</t>
  </si>
  <si>
    <t>(S)TPC</t>
  </si>
  <si>
    <t>6</t>
  </si>
  <si>
    <t>2317th</t>
  </si>
  <si>
    <t>MADT-0053+0054</t>
  </si>
  <si>
    <t>Nozzles</t>
  </si>
  <si>
    <t>180</t>
  </si>
  <si>
    <t>215</t>
  </si>
  <si>
    <t>Puerto Barrios</t>
  </si>
  <si>
    <t>GUATEMELA</t>
  </si>
  <si>
    <t>2318th</t>
  </si>
  <si>
    <t>(S) Malelane</t>
  </si>
  <si>
    <t>SMAL-0041+42</t>
  </si>
  <si>
    <t>885</t>
  </si>
  <si>
    <t>2319th</t>
  </si>
  <si>
    <t>PSMI-0072</t>
  </si>
  <si>
    <t>AHE0257042</t>
  </si>
  <si>
    <t>2320nd</t>
  </si>
  <si>
    <t>INCAUCA</t>
  </si>
  <si>
    <t>Pinions</t>
  </si>
  <si>
    <t>67</t>
  </si>
  <si>
    <t>ZHONG GU KUN MING</t>
  </si>
  <si>
    <t>2320th</t>
  </si>
  <si>
    <t>40' Standard</t>
  </si>
  <si>
    <t>TLH-377</t>
  </si>
  <si>
    <t>2321st</t>
  </si>
  <si>
    <t>(S) H. Valley</t>
  </si>
  <si>
    <t>SUCL-0046+47+48+49+50</t>
  </si>
  <si>
    <t>Frame Connection Bolts+Bearing Seals+Bearing Seals+Bearing Seals</t>
  </si>
  <si>
    <t>5260</t>
  </si>
  <si>
    <t>5940</t>
  </si>
  <si>
    <t>2322nd</t>
  </si>
  <si>
    <t>CSUR-0078</t>
  </si>
  <si>
    <t>Scraper Holder</t>
  </si>
  <si>
    <t>236</t>
  </si>
  <si>
    <t>SEJ-1400/26</t>
  </si>
  <si>
    <t>BEIJING BRIDGE / 2506</t>
  </si>
  <si>
    <t>2323rd</t>
  </si>
  <si>
    <t>Scraper + Trashplate+ Top Cover Asly+TrashBeam</t>
  </si>
  <si>
    <t>INVI-0565+0566+0567+0568</t>
  </si>
  <si>
    <t>6055</t>
  </si>
  <si>
    <t>7070</t>
  </si>
  <si>
    <t>2324st</t>
  </si>
  <si>
    <t>2324th</t>
  </si>
  <si>
    <t>NSEA-0046</t>
  </si>
  <si>
    <t>1310</t>
  </si>
  <si>
    <t>1510</t>
  </si>
  <si>
    <t>2325th</t>
  </si>
  <si>
    <t>(S) Somdiaa</t>
  </si>
  <si>
    <t>SARI-0001+0002</t>
  </si>
  <si>
    <t>2450</t>
  </si>
  <si>
    <t>Pointe Noir</t>
  </si>
  <si>
    <t>CONGO</t>
  </si>
  <si>
    <t>LHV3948643</t>
  </si>
  <si>
    <t>45</t>
  </si>
  <si>
    <t>MAERSK SOFIA / 04FN7W1MA</t>
  </si>
  <si>
    <t>2326th</t>
  </si>
  <si>
    <t>2</t>
  </si>
  <si>
    <t>2327th</t>
  </si>
  <si>
    <t>(S) Maidstone</t>
  </si>
  <si>
    <t>SMAI-0026+27+28+29</t>
  </si>
  <si>
    <t>MILL COMPONENTS FOR 42" X 84" X 4-ROLL MILL+TRASHPLATE+HYDRAULIC SEALS FOR TOP CAP+KINVES FOR MESSCHEART SCAPER</t>
  </si>
  <si>
    <t>40' Flat Rack O/W</t>
  </si>
  <si>
    <t>34506795
16542109</t>
  </si>
  <si>
    <t>23</t>
  </si>
  <si>
    <t>Vessel CHARLOTTE SCHULTE DP Voyage: 764277</t>
  </si>
  <si>
    <t>C-9319</t>
  </si>
  <si>
    <t>2328th</t>
  </si>
  <si>
    <t>3590</t>
  </si>
  <si>
    <t>Le Havre</t>
  </si>
  <si>
    <t>FRANCE</t>
  </si>
  <si>
    <t>Logistica</t>
  </si>
  <si>
    <t>INTERASIA AMPLIFY / 014E</t>
  </si>
  <si>
    <t>2329th</t>
  </si>
  <si>
    <t>ISCE-0015+16</t>
  </si>
  <si>
    <t>Guayaquil</t>
  </si>
  <si>
    <t>ECUADOR</t>
  </si>
  <si>
    <t>Facilities</t>
  </si>
  <si>
    <t>FSG-SEJ-2978/26</t>
  </si>
  <si>
    <t>KMTC NHAVA SHEVA</t>
  </si>
  <si>
    <t>Scan Pending</t>
  </si>
  <si>
    <t>TLE-397</t>
  </si>
  <si>
    <t>2330st</t>
  </si>
  <si>
    <t>UCL</t>
  </si>
  <si>
    <t>TML-152</t>
  </si>
  <si>
    <t>2330th</t>
  </si>
  <si>
    <t>FRAME CONNECTING BOLT ASLY + BEARING + SHAFT</t>
  </si>
  <si>
    <t>2331st</t>
  </si>
  <si>
    <t>FCA-By Air</t>
  </si>
  <si>
    <t>By Air</t>
  </si>
  <si>
    <t>AIG</t>
  </si>
  <si>
    <t>LES-23</t>
  </si>
  <si>
    <t>2333rd</t>
  </si>
  <si>
    <t>PICS-0033++34</t>
  </si>
  <si>
    <t>9945</t>
  </si>
  <si>
    <t>11175</t>
  </si>
  <si>
    <t>CEVA</t>
  </si>
  <si>
    <t>TMN-467</t>
  </si>
  <si>
    <t>2334th</t>
  </si>
  <si>
    <t>P.T Cipta (Sombero)</t>
  </si>
  <si>
    <t>SEMB-0001</t>
  </si>
  <si>
    <t>Surabaya</t>
  </si>
  <si>
    <t>X-PRESS BARDSEY</t>
  </si>
  <si>
    <t>TLK-466</t>
  </si>
  <si>
    <t>2335th</t>
  </si>
  <si>
    <t>STMA-0029+0030</t>
  </si>
  <si>
    <t>21140</t>
  </si>
  <si>
    <t>21390</t>
  </si>
  <si>
    <t>104</t>
  </si>
  <si>
    <t>TLE-681</t>
  </si>
  <si>
    <t>2336th</t>
  </si>
  <si>
    <t>Bush</t>
  </si>
  <si>
    <t>FCGL-0623</t>
  </si>
  <si>
    <t>260</t>
  </si>
  <si>
    <t>355</t>
  </si>
  <si>
    <t>LHV3941737</t>
  </si>
  <si>
    <t>CMA CGM CASSIOPEA</t>
  </si>
  <si>
    <t>2337th</t>
  </si>
  <si>
    <t>Liner</t>
  </si>
  <si>
    <t>235</t>
  </si>
  <si>
    <t>295</t>
  </si>
  <si>
    <t>2338th</t>
  </si>
  <si>
    <t>(S) TPC</t>
  </si>
  <si>
    <t>STPC-0053+54+55</t>
  </si>
  <si>
    <t>1425</t>
  </si>
  <si>
    <t>1645</t>
  </si>
  <si>
    <t>Dar Es Salam</t>
  </si>
  <si>
    <t>TANZANIA</t>
  </si>
  <si>
    <t>Servo Tech</t>
  </si>
  <si>
    <t>SEJ-1767/26</t>
  </si>
  <si>
    <t>CELSIUS EMMEN</t>
  </si>
  <si>
    <t>TMD-934</t>
  </si>
  <si>
    <t>2339th</t>
  </si>
  <si>
    <t>SHIP-0088</t>
  </si>
  <si>
    <t>Bearing Housing</t>
  </si>
  <si>
    <t>825</t>
  </si>
  <si>
    <t>1035</t>
  </si>
  <si>
    <t>39</t>
  </si>
  <si>
    <t>Vessel CARL SCHULTE</t>
  </si>
  <si>
    <t>2340th</t>
  </si>
  <si>
    <t>SNAK-0098</t>
  </si>
  <si>
    <t>Lift Indiccator Asly</t>
  </si>
  <si>
    <t>100</t>
  </si>
  <si>
    <t>Vessel CARL SCHULTE DP Voyage: 756560</t>
  </si>
  <si>
    <t>2341st</t>
  </si>
  <si>
    <t>FCGL-0625</t>
  </si>
  <si>
    <t>520</t>
  </si>
  <si>
    <t>Antwerp</t>
  </si>
  <si>
    <t>BELGIUM</t>
  </si>
  <si>
    <t>Mearsk</t>
  </si>
  <si>
    <t>C V HANSA EUROPE + VOY 620S</t>
  </si>
  <si>
    <t>2342nd</t>
  </si>
  <si>
    <t>(S) Mhlume</t>
  </si>
  <si>
    <t>SMHE-0083</t>
  </si>
  <si>
    <t>MMC</t>
  </si>
  <si>
    <t>7540</t>
  </si>
  <si>
    <t>2343rd</t>
  </si>
  <si>
    <t>SDWA-0035</t>
  </si>
  <si>
    <t>Half Bearing Housing</t>
  </si>
  <si>
    <t>2344th</t>
  </si>
  <si>
    <t>(S) Kilombero</t>
  </si>
  <si>
    <t>2346th</t>
  </si>
  <si>
    <t>ISCR-0009+0010</t>
  </si>
  <si>
    <t>20' Open Top</t>
  </si>
  <si>
    <t>AKI0636235</t>
  </si>
  <si>
    <t>73</t>
  </si>
  <si>
    <t>SPIRIT OF BERTRAM / 0P317E1MA</t>
  </si>
  <si>
    <t>2347th</t>
  </si>
  <si>
    <t>CPT-By Air</t>
  </si>
  <si>
    <t>2348th</t>
  </si>
  <si>
    <t>SNCH-0042</t>
  </si>
  <si>
    <t>Bearing Liner</t>
  </si>
  <si>
    <t>340</t>
  </si>
  <si>
    <t>2349th</t>
  </si>
  <si>
    <t>Bronze liner + trashplate</t>
  </si>
  <si>
    <t>2350th</t>
  </si>
  <si>
    <t>2351st</t>
  </si>
  <si>
    <t>2352nd</t>
  </si>
  <si>
    <t>LA UNION</t>
  </si>
  <si>
    <t>Crown Pinions</t>
  </si>
  <si>
    <t>5800</t>
  </si>
  <si>
    <t>6530</t>
  </si>
  <si>
    <t>Pueto Barrios</t>
  </si>
  <si>
    <t>Vessel ELENI T DP Voyage: 680282</t>
  </si>
  <si>
    <t>2353rd</t>
  </si>
  <si>
    <t>LA GLORIA</t>
  </si>
  <si>
    <t>72</t>
  </si>
  <si>
    <t>ZHONG GU KUN MING DP Voyage: 686130</t>
  </si>
  <si>
    <t>2354th</t>
  </si>
  <si>
    <t>LA JOYA</t>
  </si>
  <si>
    <t>GLT-8199</t>
  </si>
  <si>
    <t>2355th</t>
  </si>
  <si>
    <t>Chapparstique</t>
  </si>
  <si>
    <t>CHAP-0020</t>
  </si>
  <si>
    <t>690</t>
  </si>
  <si>
    <t>Acajutla</t>
  </si>
  <si>
    <t>EL SALVADOR</t>
  </si>
  <si>
    <t>TML</t>
  </si>
  <si>
    <t>WLP-SEJ-2178/26</t>
  </si>
  <si>
    <t>78</t>
  </si>
  <si>
    <t>2356th</t>
  </si>
  <si>
    <t>Ewart</t>
  </si>
  <si>
    <t>Scrapers + Trashplates</t>
  </si>
  <si>
    <t>2090</t>
  </si>
  <si>
    <t>Bridgetown</t>
  </si>
  <si>
    <t>BARBADOS</t>
  </si>
  <si>
    <t>Servotech</t>
  </si>
  <si>
    <t>SEJ-2112/26</t>
  </si>
  <si>
    <t>EVER SMART</t>
  </si>
  <si>
    <t>2357th</t>
  </si>
  <si>
    <t>Trashbeam</t>
  </si>
  <si>
    <t>IPSA-0067</t>
  </si>
  <si>
    <t>3245</t>
  </si>
  <si>
    <t>20' Flat Rack</t>
  </si>
  <si>
    <t>TMN-507</t>
  </si>
  <si>
    <t>2358th</t>
  </si>
  <si>
    <t>1640</t>
  </si>
  <si>
    <t>TLW-614</t>
  </si>
  <si>
    <t>2359th</t>
  </si>
  <si>
    <t>1st</t>
  </si>
  <si>
    <t>AGRO AURORA</t>
  </si>
  <si>
    <t>AROA-0023</t>
  </si>
  <si>
    <t>350</t>
  </si>
  <si>
    <t>485</t>
  </si>
  <si>
    <t>Red+Black</t>
  </si>
  <si>
    <t>Dream Line</t>
  </si>
  <si>
    <t>2360th</t>
  </si>
  <si>
    <t>Trashplate+Roller+Pin+Scraper</t>
  </si>
  <si>
    <t>INVI-0571+0572+0573 (570)</t>
  </si>
  <si>
    <t>513</t>
  </si>
  <si>
    <t>618</t>
  </si>
  <si>
    <t>One Line</t>
  </si>
  <si>
    <t>KHIF34413300</t>
  </si>
  <si>
    <t>RDO ACE 2602E(AX3)</t>
  </si>
  <si>
    <t>2361st</t>
  </si>
  <si>
    <t>COTABATO</t>
  </si>
  <si>
    <t>CSCI-0033+34+35</t>
  </si>
  <si>
    <t>Heavy Cane Knives Hub(A+B+C)</t>
  </si>
  <si>
    <t>2040</t>
  </si>
  <si>
    <t>2340</t>
  </si>
  <si>
    <t>DAP</t>
  </si>
  <si>
    <t>2362nd</t>
  </si>
  <si>
    <t>C. IZALCO</t>
  </si>
  <si>
    <t>IZAO-0027</t>
  </si>
  <si>
    <t>Hinge Fixing Bolts</t>
  </si>
  <si>
    <t>T.S Line</t>
  </si>
  <si>
    <t>WLP-SEJ-2224/26</t>
  </si>
  <si>
    <t>ZHONG GU HANG ZHOU 2601E</t>
  </si>
  <si>
    <t>2363rd</t>
  </si>
  <si>
    <t>Mill Top Roller</t>
  </si>
  <si>
    <t>SKOM-0067</t>
  </si>
  <si>
    <t>Vessel CHARLOTTE SCHULTE</t>
  </si>
  <si>
    <t>TLX-831</t>
  </si>
  <si>
    <t>2364th</t>
  </si>
  <si>
    <t>2365th</t>
  </si>
  <si>
    <t>SARI-0003</t>
  </si>
  <si>
    <t>Roller Asly</t>
  </si>
  <si>
    <t>3525</t>
  </si>
  <si>
    <t>3575</t>
  </si>
  <si>
    <t>Pointe Noire</t>
  </si>
  <si>
    <t>LHV4002632</t>
  </si>
  <si>
    <t>JV-8422</t>
  </si>
  <si>
    <t>2366th</t>
  </si>
  <si>
    <t>SARI-0004</t>
  </si>
  <si>
    <t>Top Roller Asly</t>
  </si>
  <si>
    <t>35830</t>
  </si>
  <si>
    <t>36790</t>
  </si>
  <si>
    <t>2367th</t>
  </si>
  <si>
    <t>LA GRECIA</t>
  </si>
  <si>
    <t>LAGE-0008+0009+10+11+12+13</t>
  </si>
  <si>
    <t>91453</t>
  </si>
  <si>
    <t>93250</t>
  </si>
  <si>
    <t>50 % LC</t>
  </si>
  <si>
    <t>2368th</t>
  </si>
  <si>
    <t>WSF</t>
  </si>
  <si>
    <t>WSFL-0151+0152+0153+0154+0155+0156+0157+0158+0159+0160+0161+0162+0163+0164</t>
  </si>
  <si>
    <t>Turnplate + Scraper</t>
  </si>
  <si>
    <t>MSC</t>
  </si>
  <si>
    <t>EBKG16439848</t>
  </si>
  <si>
    <t>MSC SHRINIKA V (LLOYDS NO. 9292230) / LR</t>
  </si>
  <si>
    <t>2370th</t>
  </si>
  <si>
    <t>Part load with 2371</t>
  </si>
  <si>
    <t>SAN ANTONIO CASA</t>
  </si>
  <si>
    <t>CASA-0039+40</t>
  </si>
  <si>
    <t>Top&amp; Bottom Pressure Chute Plate</t>
  </si>
  <si>
    <t>2+2</t>
  </si>
  <si>
    <t>2300</t>
  </si>
  <si>
    <t>2840</t>
  </si>
  <si>
    <t>Blue + Black</t>
  </si>
  <si>
    <t>Cebu</t>
  </si>
  <si>
    <t>2371st</t>
  </si>
  <si>
    <t>2372nd</t>
  </si>
  <si>
    <t>DE BAIS</t>
  </si>
  <si>
    <t>3</t>
  </si>
  <si>
    <t>2373rd</t>
  </si>
  <si>
    <t>GMP</t>
  </si>
  <si>
    <t>PGMP-0031</t>
  </si>
  <si>
    <t>Mill  Bagasse Roll Asly.</t>
  </si>
  <si>
    <t>2374th</t>
  </si>
  <si>
    <t>RPLA-0014 + 15</t>
  </si>
  <si>
    <t>Shell for Mill Top Roll</t>
  </si>
  <si>
    <t>2375th</t>
  </si>
  <si>
    <t>(S) Triangle</t>
  </si>
  <si>
    <t>STRI-0107 +0108+0109+0110</t>
  </si>
  <si>
    <t>Spare</t>
  </si>
  <si>
    <t>929</t>
  </si>
  <si>
    <t>1105</t>
  </si>
  <si>
    <t>16</t>
  </si>
  <si>
    <t>2376th</t>
  </si>
  <si>
    <t>BUSM-0063+64</t>
  </si>
  <si>
    <t>1620</t>
  </si>
  <si>
    <t>1950</t>
  </si>
  <si>
    <t>TMS-096</t>
  </si>
  <si>
    <t>2377th</t>
  </si>
  <si>
    <t>San Jacinto</t>
  </si>
  <si>
    <t>LES-8679</t>
  </si>
  <si>
    <t>2378th</t>
  </si>
  <si>
    <t>ISCE-0017</t>
  </si>
  <si>
    <t>Mill Roll Shaft</t>
  </si>
  <si>
    <t>2528</t>
  </si>
  <si>
    <t>2815</t>
  </si>
  <si>
    <t>2380th</t>
  </si>
  <si>
    <t>SMAL-0043</t>
  </si>
  <si>
    <t>Worm Wheel Asly.</t>
  </si>
  <si>
    <t>990</t>
  </si>
  <si>
    <t>1430</t>
  </si>
  <si>
    <t>2381st</t>
  </si>
  <si>
    <t>STPC-0058+0059</t>
  </si>
  <si>
    <t>AHE0257146</t>
  </si>
  <si>
    <t>40</t>
  </si>
  <si>
    <t>SPIRIT OF BERTRAM / 0P30ZE1MA</t>
  </si>
  <si>
    <t>TME-318</t>
  </si>
  <si>
    <t>2382nd</t>
  </si>
  <si>
    <t>PALOGORDO</t>
  </si>
  <si>
    <t>PALG-0298</t>
  </si>
  <si>
    <t>Upper Scraper Holder</t>
  </si>
  <si>
    <t>200</t>
  </si>
  <si>
    <t>280</t>
  </si>
  <si>
    <t>Raaziq</t>
  </si>
  <si>
    <t>ESLKABIR</t>
  </si>
  <si>
    <t>JV-9563</t>
  </si>
  <si>
    <t>2383rd</t>
  </si>
  <si>
    <t>INTERUNION</t>
  </si>
  <si>
    <t>INTR-0019</t>
  </si>
  <si>
    <t>Worm Screw</t>
  </si>
  <si>
    <t>2025</t>
  </si>
  <si>
    <t>3500</t>
  </si>
  <si>
    <t>Un Packed</t>
  </si>
  <si>
    <t>2384th</t>
  </si>
  <si>
    <t>LES-1106</t>
  </si>
  <si>
    <t>2385th</t>
  </si>
  <si>
    <t>PSMI-0073</t>
  </si>
  <si>
    <t>Top Half Bearing Asly.</t>
  </si>
  <si>
    <t>1265</t>
  </si>
  <si>
    <t>2386th</t>
  </si>
  <si>
    <t>PENTALION</t>
  </si>
  <si>
    <t>PANT-0001+0002+0003</t>
  </si>
  <si>
    <t>Side Bearing</t>
  </si>
  <si>
    <t>15700</t>
  </si>
  <si>
    <t>17480</t>
  </si>
  <si>
    <t>2387th</t>
  </si>
  <si>
    <t>SAN JACINTO</t>
  </si>
  <si>
    <t>ASJS-0030 +31</t>
  </si>
  <si>
    <t>1610</t>
  </si>
  <si>
    <t>1910</t>
  </si>
  <si>
    <t>2388th</t>
  </si>
  <si>
    <t>PROVIDENCIA</t>
  </si>
  <si>
    <t>IPSA-0068 + 69+70+71+72+73</t>
  </si>
  <si>
    <t>Pinion + Shell</t>
  </si>
  <si>
    <t>6+4</t>
  </si>
  <si>
    <t>10</t>
  </si>
  <si>
    <t>59900</t>
  </si>
  <si>
    <t>62297</t>
  </si>
  <si>
    <t>Under Manufacturing</t>
  </si>
  <si>
    <t>2389th</t>
  </si>
  <si>
    <t>(S) HIPPO VALLEY</t>
  </si>
  <si>
    <t>SHIP-0091</t>
  </si>
  <si>
    <t>1015</t>
  </si>
  <si>
    <t>1445</t>
  </si>
  <si>
    <t>2389th + 2327th</t>
  </si>
  <si>
    <t>(S) Hippo Valley</t>
  </si>
  <si>
    <t>2390th</t>
  </si>
  <si>
    <t>STRI-0111</t>
  </si>
  <si>
    <t>730</t>
  </si>
  <si>
    <t>JT-2887</t>
  </si>
  <si>
    <t>2391st</t>
  </si>
  <si>
    <t>2392nd</t>
  </si>
  <si>
    <t>SNAK-0107</t>
  </si>
  <si>
    <t>740</t>
  </si>
  <si>
    <t>TLG-741</t>
  </si>
  <si>
    <t>2393rd</t>
  </si>
  <si>
    <t>CAB-9210</t>
  </si>
  <si>
    <t>2394th</t>
  </si>
  <si>
    <t>LES-2738</t>
  </si>
  <si>
    <t>2395th</t>
  </si>
  <si>
    <t>STRI-0112</t>
  </si>
  <si>
    <t>2396th</t>
  </si>
  <si>
    <t>BSCM-0032</t>
  </si>
  <si>
    <t>Under Paint</t>
  </si>
  <si>
    <t>2397th</t>
  </si>
  <si>
    <t>ISCR-0011 +0012</t>
  </si>
  <si>
    <t>1685</t>
  </si>
  <si>
    <t>1945</t>
  </si>
  <si>
    <t>Red + White</t>
  </si>
  <si>
    <t>2398th</t>
  </si>
  <si>
    <t>P-5346</t>
  </si>
  <si>
    <t>2399th</t>
  </si>
  <si>
    <t>SHIP-0092+93</t>
  </si>
  <si>
    <t>Shaft  &amp; Cone of Boiler ID Fan</t>
  </si>
  <si>
    <t>4000</t>
  </si>
  <si>
    <t>24-080</t>
  </si>
  <si>
    <t>HMC-III</t>
  </si>
  <si>
    <t>24-120</t>
  </si>
  <si>
    <t>Bestway</t>
  </si>
  <si>
    <t>New Karachi Hazara</t>
  </si>
  <si>
    <t>2400th</t>
  </si>
  <si>
    <t>2401st</t>
  </si>
  <si>
    <t>SKIL-0061</t>
  </si>
  <si>
    <t>660</t>
  </si>
  <si>
    <t>Yellow + Black</t>
  </si>
  <si>
    <t>2402nd</t>
  </si>
  <si>
    <t>STRI-0113</t>
  </si>
  <si>
    <t>Jacking Screw and JACKING NUT for Side Cap Housing</t>
  </si>
  <si>
    <t>360</t>
  </si>
  <si>
    <t>460</t>
  </si>
  <si>
    <t>2403rd</t>
  </si>
  <si>
    <t>NSEA-0047+48+49+50</t>
  </si>
  <si>
    <t>Liner + Bearing</t>
  </si>
  <si>
    <t>7</t>
  </si>
  <si>
    <t>3345</t>
  </si>
  <si>
    <t>4200</t>
  </si>
  <si>
    <t>2404th</t>
  </si>
  <si>
    <t>SKIL-0062</t>
  </si>
  <si>
    <t>4</t>
  </si>
  <si>
    <t>800</t>
  </si>
  <si>
    <t>950</t>
  </si>
  <si>
    <t>Yellow + White</t>
  </si>
  <si>
    <t>2405th</t>
  </si>
  <si>
    <t>SARI-0005</t>
  </si>
  <si>
    <t>Roller</t>
  </si>
  <si>
    <t>16825</t>
  </si>
  <si>
    <t>17428</t>
  </si>
  <si>
    <t>2406th</t>
  </si>
  <si>
    <t>INVI-0574 +0575</t>
  </si>
  <si>
    <t>390</t>
  </si>
  <si>
    <t>2407th</t>
  </si>
  <si>
    <t>8620</t>
  </si>
  <si>
    <t>AKI0635963</t>
  </si>
  <si>
    <t>81</t>
  </si>
  <si>
    <t>TMQ-647</t>
  </si>
  <si>
    <t>2408th</t>
  </si>
  <si>
    <t>INVI-0576 +77+78</t>
  </si>
  <si>
    <t>Scraper +  Trashplaet</t>
  </si>
  <si>
    <t>765</t>
  </si>
  <si>
    <t>2409th</t>
  </si>
  <si>
    <t>2410th</t>
  </si>
  <si>
    <t>CASA</t>
  </si>
  <si>
    <t>2411st</t>
  </si>
  <si>
    <t>INVI-0579</t>
  </si>
  <si>
    <t>Trash Plate</t>
  </si>
  <si>
    <t>270</t>
  </si>
  <si>
    <t>2412nd</t>
  </si>
  <si>
    <t>(S) NAKAMBALA</t>
  </si>
  <si>
    <t>SNAK-0011</t>
  </si>
  <si>
    <t>Head Sprocket Asly</t>
  </si>
  <si>
    <t>10720</t>
  </si>
  <si>
    <t>2413rd</t>
  </si>
  <si>
    <t>SUCA-0010</t>
  </si>
  <si>
    <t>Top Roll Asly.</t>
  </si>
  <si>
    <t>19632</t>
  </si>
  <si>
    <t>20130</t>
  </si>
  <si>
    <t>2414th</t>
  </si>
  <si>
    <t>CARMELITA</t>
  </si>
  <si>
    <t>ICRM-0002 +0003</t>
  </si>
  <si>
    <t>5</t>
  </si>
  <si>
    <t>3800</t>
  </si>
  <si>
    <t>4900</t>
  </si>
  <si>
    <t>2415th</t>
  </si>
  <si>
    <t>Part load with 2425</t>
  </si>
  <si>
    <t>INCA-0061</t>
  </si>
  <si>
    <t>3030</t>
  </si>
  <si>
    <t>2416th</t>
  </si>
  <si>
    <t>SNAK-0112</t>
  </si>
  <si>
    <t>2417th</t>
  </si>
  <si>
    <t>NSEL</t>
  </si>
  <si>
    <t>NSEA-0051</t>
  </si>
  <si>
    <t>2418th</t>
  </si>
  <si>
    <t>(S) NOODSBERG</t>
  </si>
  <si>
    <t>9</t>
  </si>
  <si>
    <t>2419th</t>
  </si>
  <si>
    <t>(S) MALELANE</t>
  </si>
  <si>
    <t>SMAL-0044</t>
  </si>
  <si>
    <t>Worm Wheel</t>
  </si>
  <si>
    <t>220</t>
  </si>
  <si>
    <t>2420th</t>
  </si>
  <si>
    <t>INTR-0020 +0021+0022</t>
  </si>
  <si>
    <t>Interuion-Design 16 x 20 x 4-Roll Mill</t>
  </si>
  <si>
    <t>2421st</t>
  </si>
  <si>
    <t>SKIL-0063</t>
  </si>
  <si>
    <t>4250</t>
  </si>
  <si>
    <t>White</t>
  </si>
  <si>
    <t>2422nd</t>
  </si>
  <si>
    <t>LAUN-0096</t>
  </si>
  <si>
    <t>Top Bearing Housing</t>
  </si>
  <si>
    <t>2423rd</t>
  </si>
  <si>
    <t>SNAK-0113</t>
  </si>
  <si>
    <t>Mill Components of 44" x 84" x 4-Roll</t>
  </si>
  <si>
    <t>2424th</t>
  </si>
  <si>
    <t>IPBJ</t>
  </si>
  <si>
    <t>2425th</t>
  </si>
  <si>
    <t>INCA-0062 +63+64+65+66+67+68+69</t>
  </si>
  <si>
    <t>Saper</t>
  </si>
  <si>
    <t>18</t>
  </si>
  <si>
    <t>2426th</t>
  </si>
  <si>
    <t>Part load with 2359</t>
  </si>
  <si>
    <t>AROA-0025</t>
  </si>
  <si>
    <t>490</t>
  </si>
  <si>
    <t>Green</t>
  </si>
  <si>
    <t>2427th</t>
  </si>
  <si>
    <t>MACKNADE</t>
  </si>
  <si>
    <t>MCKD-0001</t>
  </si>
  <si>
    <t>2250</t>
  </si>
  <si>
    <t>2500</t>
  </si>
  <si>
    <t>2428th</t>
  </si>
  <si>
    <t>Top Bearing</t>
  </si>
  <si>
    <t>2429th</t>
  </si>
  <si>
    <t>SNAK-0114</t>
  </si>
  <si>
    <t>2430th</t>
  </si>
  <si>
    <t>MAGZ-0046 +47+48+49+</t>
  </si>
  <si>
    <t>Shaft + Pinion</t>
  </si>
  <si>
    <t>8</t>
  </si>
  <si>
    <t>2431st</t>
  </si>
  <si>
    <t>MONTELIMAR</t>
  </si>
  <si>
    <t>MONT-0012+13+14+15+1+17+18+19+20+21</t>
  </si>
  <si>
    <t>2432nd</t>
  </si>
  <si>
    <t>(S) UBOMBO</t>
  </si>
  <si>
    <t>SUBO-0066</t>
  </si>
  <si>
    <t>2433rd</t>
  </si>
  <si>
    <t>SUBO-0067</t>
  </si>
  <si>
    <t>1100</t>
  </si>
  <si>
    <t>2434st</t>
  </si>
  <si>
    <t>SUBO-0063 +64</t>
  </si>
  <si>
    <t>Qadri-Design Heavy Duty 44" X 84" X 4-Roll Cane + MMC</t>
  </si>
  <si>
    <t>35</t>
  </si>
  <si>
    <t>2435th</t>
  </si>
  <si>
    <t>NSEA-0052 +53+54</t>
  </si>
  <si>
    <t>Bornze Sleeve</t>
  </si>
  <si>
    <t>2437th</t>
  </si>
  <si>
    <t>INVELT</t>
  </si>
  <si>
    <t>INVI-0580</t>
  </si>
  <si>
    <t>Juice Flanges for Mill Top Roll</t>
  </si>
  <si>
    <t>2438th</t>
  </si>
  <si>
    <t>PGMP-0032+33+34</t>
  </si>
  <si>
    <t>2439th</t>
  </si>
  <si>
    <t>LULS-0269</t>
  </si>
  <si>
    <t>2441st</t>
  </si>
  <si>
    <t>SUCL-0051+52</t>
  </si>
  <si>
    <t>1000</t>
  </si>
  <si>
    <t>2442nd</t>
  </si>
  <si>
    <t>SUBO-0068</t>
  </si>
  <si>
    <t>2443rd</t>
  </si>
  <si>
    <t>(S) NCHALO</t>
  </si>
  <si>
    <t>2444th</t>
  </si>
  <si>
    <t>LAFOURCHE</t>
  </si>
  <si>
    <t>LSLC-0028</t>
  </si>
  <si>
    <t>Anvil Plate for Cane Shredder</t>
  </si>
  <si>
    <t>2445th</t>
  </si>
  <si>
    <t>FIVES</t>
  </si>
  <si>
    <t>FCGL-0627</t>
  </si>
  <si>
    <t>Wedge</t>
  </si>
  <si>
    <t>375</t>
  </si>
  <si>
    <t>550</t>
  </si>
  <si>
    <t>2446th</t>
  </si>
  <si>
    <t>INVI-0581 +82+83</t>
  </si>
  <si>
    <t>Scraper for Mill Top Roll</t>
  </si>
  <si>
    <t>2447th</t>
  </si>
  <si>
    <t>SDWA-0036</t>
  </si>
  <si>
    <t>2448th</t>
  </si>
  <si>
    <t>SUCL-0053 +54+55+56</t>
  </si>
  <si>
    <t>Roller+ Pinion</t>
  </si>
  <si>
    <t>1+5</t>
  </si>
  <si>
    <t>2449th</t>
  </si>
  <si>
    <t>CSS- Senegal</t>
  </si>
  <si>
    <t>2450th</t>
  </si>
  <si>
    <t>2451st</t>
  </si>
  <si>
    <t>SUBO-0069</t>
  </si>
  <si>
    <t>Crown Pinion</t>
  </si>
  <si>
    <t>2452nd</t>
  </si>
  <si>
    <t>2453rd</t>
  </si>
  <si>
    <t>2454th</t>
  </si>
  <si>
    <t>ALMA</t>
  </si>
  <si>
    <t>ALMA-0079+80</t>
  </si>
  <si>
    <t>2455th</t>
  </si>
  <si>
    <t>(S) MHLUME</t>
  </si>
  <si>
    <t>2456th</t>
  </si>
  <si>
    <t>25-0132</t>
  </si>
  <si>
    <t>Motofrenos</t>
  </si>
  <si>
    <t>DLI</t>
  </si>
  <si>
    <t>25-016</t>
  </si>
  <si>
    <t>Cement-Export</t>
  </si>
  <si>
    <t>FIVES FCB MINERALS</t>
  </si>
  <si>
    <t>FCBM-0022</t>
  </si>
  <si>
    <t>BEARING ASSEMBLY WITH BABBITTING</t>
  </si>
  <si>
    <t>1270</t>
  </si>
  <si>
    <t>1410</t>
  </si>
  <si>
    <t>N/A</t>
  </si>
  <si>
    <t>25-018</t>
  </si>
  <si>
    <t>CE25-FCBM-0023 +24+25</t>
  </si>
  <si>
    <t>ROLLER SHAFT</t>
  </si>
  <si>
    <t>5350</t>
  </si>
  <si>
    <t>6090</t>
  </si>
  <si>
    <t>SPAIN</t>
  </si>
  <si>
    <t>GSAPCASK2500199</t>
  </si>
  <si>
    <t>SEASPAN BREEZE / 00622W</t>
  </si>
  <si>
    <t>25-018th</t>
  </si>
  <si>
    <t>25-025</t>
  </si>
  <si>
    <t>FLSMIDTH CEMENT</t>
  </si>
  <si>
    <t>CE25-FLSE-0051</t>
  </si>
  <si>
    <t>HAMMER PP-10576076</t>
  </si>
  <si>
    <t>255</t>
  </si>
  <si>
    <t>268</t>
  </si>
  <si>
    <t>Bejaia</t>
  </si>
  <si>
    <t>ALGERIA</t>
  </si>
  <si>
    <t>MNS</t>
  </si>
  <si>
    <t>CMA-CGM</t>
  </si>
  <si>
    <t>AKI0611377</t>
  </si>
  <si>
    <t>GROTON / 0TO18W1MA</t>
  </si>
  <si>
    <t>25-025th</t>
  </si>
  <si>
    <t>MNS World</t>
  </si>
  <si>
    <t>25-026</t>
  </si>
  <si>
    <t>FLMX-0034</t>
  </si>
  <si>
    <t>STRIKE BAR</t>
  </si>
  <si>
    <t>8250</t>
  </si>
  <si>
    <t>9420</t>
  </si>
  <si>
    <t>Buevanentura</t>
  </si>
  <si>
    <t>25-026th</t>
  </si>
  <si>
    <t>FLS</t>
  </si>
  <si>
    <t>25-029</t>
  </si>
  <si>
    <t>FLSmidth</t>
  </si>
  <si>
    <t>GRATE SEGMENT</t>
  </si>
  <si>
    <t>FLSU-0007+0008+0009+0010+0011</t>
  </si>
  <si>
    <t>3675</t>
  </si>
  <si>
    <t>3885</t>
  </si>
  <si>
    <t>SAN PEDRO DE MACORIS</t>
  </si>
  <si>
    <t>DOMINICAN - REPUBLIC</t>
  </si>
  <si>
    <t>Sea Shore</t>
  </si>
  <si>
    <t>SSL-SEJ-701/26</t>
  </si>
  <si>
    <t>TS KEELUNG</t>
  </si>
  <si>
    <t>25-030</t>
  </si>
  <si>
    <t>FLSU-0008+0009+0010+0011+0012+0013+0014+0015+0016+0017</t>
  </si>
  <si>
    <t>3680</t>
  </si>
  <si>
    <t>25-031</t>
  </si>
  <si>
    <t>25-033</t>
  </si>
  <si>
    <t>MOTOFRENOS S.A.S</t>
  </si>
  <si>
    <t>MSDI-0037+38</t>
  </si>
  <si>
    <t>SUGAR SCOOP 326+HARDWARE (BOLT + NUT+ WASHER)</t>
  </si>
  <si>
    <t>793</t>
  </si>
  <si>
    <t>908</t>
  </si>
  <si>
    <t>Seagold</t>
  </si>
  <si>
    <t>SEJ-12215/26</t>
  </si>
  <si>
    <t>55</t>
  </si>
  <si>
    <t>ZHONG GU LAN ZHOU</t>
  </si>
  <si>
    <t>25-034</t>
  </si>
  <si>
    <t>Mechprotech</t>
  </si>
  <si>
    <t>MPTS-0001</t>
  </si>
  <si>
    <t>GEAR WHEEL</t>
  </si>
  <si>
    <t>Vessel CARL SCHULTE DP Voyage: 772724</t>
  </si>
  <si>
    <t>25-034 + 36</t>
  </si>
  <si>
    <t>1st B</t>
  </si>
  <si>
    <t>Mecprotech</t>
  </si>
  <si>
    <t>25-036</t>
  </si>
  <si>
    <t>MECHPROTECH PTY LTD</t>
  </si>
  <si>
    <t>CE25-MPTS-0003</t>
  </si>
  <si>
    <t>SPUR GEAR – PINION</t>
  </si>
  <si>
    <t>25-036th</t>
  </si>
  <si>
    <t>25-037</t>
  </si>
  <si>
    <t>CE25-MSDI-0039+40</t>
  </si>
  <si>
    <t>LIFTER 324+100 Sets</t>
  </si>
  <si>
    <t>1120</t>
  </si>
  <si>
    <t>1259</t>
  </si>
  <si>
    <t>New York</t>
  </si>
  <si>
    <t>DLI Logistics</t>
  </si>
  <si>
    <t>ELENI T  / 584S</t>
  </si>
  <si>
    <t>25-039</t>
  </si>
  <si>
    <t>FLSE-0052</t>
  </si>
  <si>
    <t>HAMMER</t>
  </si>
  <si>
    <t>48</t>
  </si>
  <si>
    <t>4800</t>
  </si>
  <si>
    <t>5160</t>
  </si>
  <si>
    <t>25-040</t>
  </si>
  <si>
    <t>MSDI-0044+45</t>
  </si>
  <si>
    <t>NOSE RING+ Bolts</t>
  </si>
  <si>
    <t>2615</t>
  </si>
  <si>
    <t>Baltimore</t>
  </si>
  <si>
    <t>Ace - PK</t>
  </si>
  <si>
    <t>Saudi Arabian Airline</t>
  </si>
  <si>
    <t>074-7302 6704</t>
  </si>
  <si>
    <t>25-041</t>
  </si>
  <si>
    <t>MPTS-0004+5+6+7</t>
  </si>
  <si>
    <t>CAST GIRTH GEAR</t>
  </si>
  <si>
    <t>3 Sets</t>
  </si>
  <si>
    <t>SEASPAN OSAKA DP Voyage: 776513</t>
  </si>
  <si>
    <t>25-042</t>
  </si>
  <si>
    <t>MPTS-0008</t>
  </si>
  <si>
    <t>1240</t>
  </si>
  <si>
    <t>25-043</t>
  </si>
  <si>
    <t>FLMX-0039+40+41+42+43+44+45+46+47+48+49+50+51+52+53+54</t>
  </si>
  <si>
    <t>INNER LINING PLATE+INLET BOTTOM XJ-342+ Hardware</t>
  </si>
  <si>
    <t>6740</t>
  </si>
  <si>
    <t>7565</t>
  </si>
  <si>
    <t>25-044</t>
  </si>
  <si>
    <t>FCBM-0030+31+32+33</t>
  </si>
  <si>
    <t>BEARING BODY+</t>
  </si>
  <si>
    <t>2+1+3+2</t>
  </si>
  <si>
    <t>866</t>
  </si>
  <si>
    <t>1026</t>
  </si>
  <si>
    <t>25-045</t>
  </si>
  <si>
    <t>Lucky Cement</t>
  </si>
  <si>
    <t>TAK-219</t>
  </si>
  <si>
    <t>25-058</t>
  </si>
  <si>
    <t>Tandlianwala (Z)</t>
  </si>
  <si>
    <t>C-2515</t>
  </si>
  <si>
    <t>25-059</t>
  </si>
  <si>
    <t>DG Cement-Kofli</t>
  </si>
  <si>
    <t>CAU-3125</t>
  </si>
  <si>
    <t>25-069</t>
  </si>
  <si>
    <t>QFL</t>
  </si>
  <si>
    <t>25-072 &amp; MO-1069</t>
  </si>
  <si>
    <t>Attock Cement</t>
  </si>
  <si>
    <t>25-075</t>
  </si>
  <si>
    <t>Pak Navy</t>
  </si>
  <si>
    <t>25-078</t>
  </si>
  <si>
    <t>Olympia Chemicals</t>
  </si>
  <si>
    <t>PX-3515</t>
  </si>
  <si>
    <t>25-080</t>
  </si>
  <si>
    <t>Fatima Fertilizer</t>
  </si>
  <si>
    <t>25-093</t>
  </si>
  <si>
    <t>Fauji Cement</t>
  </si>
  <si>
    <t>25-095</t>
  </si>
  <si>
    <t>Pakistan Navy</t>
  </si>
  <si>
    <t>25-097</t>
  </si>
  <si>
    <t>Dewan</t>
  </si>
  <si>
    <t>25-107 &amp; MO-1096</t>
  </si>
  <si>
    <t>25-108</t>
  </si>
  <si>
    <t>Universal Casting</t>
  </si>
  <si>
    <t>LWN-7203</t>
  </si>
  <si>
    <t>25-118 &amp;1052 &amp; 1059</t>
  </si>
  <si>
    <t>Kohat Cement</t>
  </si>
  <si>
    <t>P-5800</t>
  </si>
  <si>
    <t>25-119</t>
  </si>
  <si>
    <t>Bestway Cement</t>
  </si>
  <si>
    <t>CAZ-2713</t>
  </si>
  <si>
    <t>25-121</t>
  </si>
  <si>
    <t>JT-6260</t>
  </si>
  <si>
    <t>25-124</t>
  </si>
  <si>
    <t>Power Cement</t>
  </si>
  <si>
    <t>25-132</t>
  </si>
  <si>
    <t>MSDI-0046 + MSDI-0047 + MSDI-0048</t>
  </si>
  <si>
    <t>Sugar Scoop + Angles</t>
  </si>
  <si>
    <t>Los Angeles</t>
  </si>
  <si>
    <t>0FFGGE1MA</t>
  </si>
  <si>
    <t>0</t>
  </si>
  <si>
    <t>25-139 &amp; MO-2409</t>
  </si>
  <si>
    <t>Fatima Sugar Mills</t>
  </si>
  <si>
    <t>25-146</t>
  </si>
  <si>
    <t>Tandlianwala (R)</t>
  </si>
  <si>
    <t>TKB-092</t>
  </si>
  <si>
    <t>25-185</t>
  </si>
  <si>
    <t>Hunza Sugar Mills-1</t>
  </si>
  <si>
    <t>OKI-127</t>
  </si>
  <si>
    <t>25-205 &amp; 25-260</t>
  </si>
  <si>
    <t>TLX-058</t>
  </si>
  <si>
    <t>25-215</t>
  </si>
  <si>
    <t>Al Moiz Sugar Mill 1</t>
  </si>
  <si>
    <t>25-219 &amp; MO-2440</t>
  </si>
  <si>
    <t>JK Sugar Mills 2</t>
  </si>
  <si>
    <t>EXP # 2321</t>
  </si>
  <si>
    <t>(S) HIPPOVALLEY</t>
  </si>
  <si>
    <t>EXP # 2343</t>
  </si>
  <si>
    <t>EXP # 2348</t>
  </si>
  <si>
    <t>JT-1854</t>
  </si>
  <si>
    <t>EXP # 2352</t>
  </si>
  <si>
    <t>LA Union</t>
  </si>
  <si>
    <t>EXP # 2355</t>
  </si>
  <si>
    <t>CHAPARRASTIQUE</t>
  </si>
  <si>
    <t>EXP # 2356</t>
  </si>
  <si>
    <t>EWART</t>
  </si>
  <si>
    <t>EXP-2341</t>
  </si>
  <si>
    <t>EXP-2366</t>
  </si>
  <si>
    <t>(S) SARIS</t>
  </si>
  <si>
    <t>FWCL-0023 &amp; 0025</t>
  </si>
  <si>
    <t>Fauji Cement (Wah)</t>
  </si>
  <si>
    <t>IDS-8902</t>
  </si>
  <si>
    <t>IOL MEMO No. 212 - 2265 ( FOCR )</t>
  </si>
  <si>
    <t>SUCL-0028</t>
  </si>
  <si>
    <t>SHAFT for Bottom Scraper Asly.+LEVER for Bottom Scraper Asly.</t>
  </si>
  <si>
    <t>2+1</t>
  </si>
  <si>
    <t>MO-0131</t>
  </si>
  <si>
    <t>Dip Tube</t>
  </si>
  <si>
    <t>FLMX-0035+36+37+38</t>
  </si>
  <si>
    <t>15364</t>
  </si>
  <si>
    <t>16934</t>
  </si>
  <si>
    <t>Galaxy Shipping</t>
  </si>
  <si>
    <t>COSU6445395470</t>
  </si>
  <si>
    <t>70</t>
  </si>
  <si>
    <t>MO-0133</t>
  </si>
  <si>
    <t>FLSE-0053</t>
  </si>
  <si>
    <t>Hammers</t>
  </si>
  <si>
    <t>3420</t>
  </si>
  <si>
    <t>3600</t>
  </si>
  <si>
    <t>Cotonou</t>
  </si>
  <si>
    <t>BENIN</t>
  </si>
  <si>
    <t>One line</t>
  </si>
  <si>
    <t>DSA-SEJ-4492/26</t>
  </si>
  <si>
    <t>HMM FOREST</t>
  </si>
  <si>
    <t>JV-1590</t>
  </si>
  <si>
    <t>MO-0134</t>
  </si>
  <si>
    <t>Alpha Cement</t>
  </si>
  <si>
    <t>ALCM-0002</t>
  </si>
  <si>
    <t>SHOCK PLATE</t>
  </si>
  <si>
    <t>900</t>
  </si>
  <si>
    <t>TOAMASINA</t>
  </si>
  <si>
    <t>MADAGASCAR</t>
  </si>
  <si>
    <t>SEJ-2200/26</t>
  </si>
  <si>
    <t>MO-0135</t>
  </si>
  <si>
    <t>FLSE-0054+55+56+57+58+59+60</t>
  </si>
  <si>
    <t>CAST SEGMENT</t>
  </si>
  <si>
    <t>150</t>
  </si>
  <si>
    <t>250</t>
  </si>
  <si>
    <t>QCL</t>
  </si>
  <si>
    <t>MO-0136</t>
  </si>
  <si>
    <t>FLSE-0060</t>
  </si>
  <si>
    <t>4480</t>
  </si>
  <si>
    <t>4760</t>
  </si>
  <si>
    <t>MO-0137</t>
  </si>
  <si>
    <t>FLMX-0055</t>
  </si>
  <si>
    <t>HAMMER BOLT</t>
  </si>
  <si>
    <t>1488</t>
  </si>
  <si>
    <t>1550</t>
  </si>
  <si>
    <t>MO-0138</t>
  </si>
  <si>
    <t>MOTOFRENOS</t>
  </si>
  <si>
    <t>LIFTER 332+SCREW+ NUT + WASHER</t>
  </si>
  <si>
    <t>MSDI-0049+MSDI-0050</t>
  </si>
  <si>
    <t>1470</t>
  </si>
  <si>
    <t>1770</t>
  </si>
  <si>
    <t>Houston</t>
  </si>
  <si>
    <t>Baltic</t>
  </si>
  <si>
    <t>Turkish Airline</t>
  </si>
  <si>
    <t>E-7961</t>
  </si>
  <si>
    <t>MO-0139</t>
  </si>
  <si>
    <t>LINDEMANN GERMANY GMBH</t>
  </si>
  <si>
    <t>LMGR-0001+0002</t>
  </si>
  <si>
    <t>HAMMER+ GRID</t>
  </si>
  <si>
    <t>10+4</t>
  </si>
  <si>
    <t>11002</t>
  </si>
  <si>
    <t>MO-0140</t>
  </si>
  <si>
    <t>MAC GRINDING</t>
  </si>
  <si>
    <t>CE26-MACG-0003+4+5+6</t>
  </si>
  <si>
    <t>RACE PART ASSEMBLY + PINS + BOLT (M20 X 80) + NUT (M20) + WASHER + SHIMS SET</t>
  </si>
  <si>
    <t>2+4+16+2</t>
  </si>
  <si>
    <t>MO-0141</t>
  </si>
  <si>
    <t>225</t>
  </si>
  <si>
    <t>BARCELONA</t>
  </si>
  <si>
    <t>SEJ-2601/26</t>
  </si>
  <si>
    <t>HANSA EUROPE</t>
  </si>
  <si>
    <t>100 % DA</t>
  </si>
  <si>
    <t>TMR-979</t>
  </si>
  <si>
    <t>MO-0142</t>
  </si>
  <si>
    <t>FLMX-0056</t>
  </si>
  <si>
    <t>MO-0143</t>
  </si>
  <si>
    <t>Broco Logistics</t>
  </si>
  <si>
    <t>CAC-017</t>
  </si>
  <si>
    <t>MO-0144</t>
  </si>
  <si>
    <t>MAC GRINING</t>
  </si>
  <si>
    <t>50 % DA</t>
  </si>
  <si>
    <t>MO-0145</t>
  </si>
  <si>
    <t>FLMX-0057+58+59+60+61</t>
  </si>
  <si>
    <t>20</t>
  </si>
  <si>
    <t>955</t>
  </si>
  <si>
    <t>1075</t>
  </si>
  <si>
    <t>MO-0146</t>
  </si>
  <si>
    <t>FLMX-0062+63+64+65+66+</t>
  </si>
  <si>
    <t>313</t>
  </si>
  <si>
    <t>14</t>
  </si>
  <si>
    <t>23155</t>
  </si>
  <si>
    <t>24960</t>
  </si>
  <si>
    <t>MO-0147</t>
  </si>
  <si>
    <t>PPC CEMENT</t>
  </si>
  <si>
    <t>PPPE-0007+0008+0009+0010+0011+0012+0013+0014+0015+0016</t>
  </si>
  <si>
    <t>LINER+ BOLT SET</t>
  </si>
  <si>
    <t>MO-0148</t>
  </si>
  <si>
    <t>FULLER TECHNOLOGIES - DENMARK A/S</t>
  </si>
  <si>
    <t>FLTD-0001 +002+003+</t>
  </si>
  <si>
    <t>LOCK ELEMENT (KY-0242)+NORMAL ELEMENT (KY-0284)+HANGER SUPPORT RING+HANGER SUPPORT</t>
  </si>
  <si>
    <t>242</t>
  </si>
  <si>
    <t>MO-0149</t>
  </si>
  <si>
    <t>FLTB-0001</t>
  </si>
  <si>
    <t>4500</t>
  </si>
  <si>
    <t>MO-0150</t>
  </si>
  <si>
    <t>FLTD-0005</t>
  </si>
  <si>
    <t>1296</t>
  </si>
  <si>
    <t>1400</t>
  </si>
  <si>
    <t>MO-0151</t>
  </si>
  <si>
    <t>FLMX-0068+69+70+71+72+73+74+75+76+77+78+79</t>
  </si>
  <si>
    <t>MO-0152</t>
  </si>
  <si>
    <t>FLMX-0080+81+82+83+84+85+86+87+88+89+90+91+92</t>
  </si>
  <si>
    <t>MO-0153</t>
  </si>
  <si>
    <t>FLMX-0093+94+95+96+97+98+99+100+101+102+103+104+105</t>
  </si>
  <si>
    <t>MO-0155</t>
  </si>
  <si>
    <t>LMGR-0003+0004+0005+0006+</t>
  </si>
  <si>
    <t>OUTER PROTECTIVE CAP+PROTECTIVE CAP WELDED PART+PROTECTIVE CAP WELDED PART+OUTER PROTECTIVE CAP</t>
  </si>
  <si>
    <t>MO-0156</t>
  </si>
  <si>
    <t>AFRIMAT CEMENT – LICHTENBURG PLANT</t>
  </si>
  <si>
    <t>AFRL-0067</t>
  </si>
  <si>
    <t>32</t>
  </si>
  <si>
    <t>1660</t>
  </si>
  <si>
    <t>MO-0157</t>
  </si>
  <si>
    <t>FLMX-0111</t>
  </si>
  <si>
    <t>DOBB.MELB.YDR.RIST (XJ-423)</t>
  </si>
  <si>
    <t>1500</t>
  </si>
  <si>
    <t>MO-0161</t>
  </si>
  <si>
    <t>FLMX-0112</t>
  </si>
  <si>
    <t>LINING PLATE FOR MANHOLE (XN170)</t>
  </si>
  <si>
    <t>710</t>
  </si>
  <si>
    <t>MO-0164</t>
  </si>
  <si>
    <t>FULLER TECHNOLOGIES - MEXICO</t>
  </si>
  <si>
    <t>FLTM-0001</t>
  </si>
  <si>
    <t>LINING PLATE FOR MANHOLE (XN-170)</t>
  </si>
  <si>
    <t>MO-0187</t>
  </si>
  <si>
    <t>MO-0188</t>
  </si>
  <si>
    <t>Dummer Floor Mill</t>
  </si>
  <si>
    <t>STG-8877</t>
  </si>
  <si>
    <t>MO-0226</t>
  </si>
  <si>
    <t>RNU-4498</t>
  </si>
  <si>
    <t>MO-0261</t>
  </si>
  <si>
    <t>Suwe Aasil</t>
  </si>
  <si>
    <t>LRO-5545</t>
  </si>
  <si>
    <t>MO-1045</t>
  </si>
  <si>
    <t>Builty</t>
  </si>
  <si>
    <t>MO-1050</t>
  </si>
  <si>
    <t>MO-1051</t>
  </si>
  <si>
    <t>J-7098</t>
  </si>
  <si>
    <t>CBA-6211</t>
  </si>
  <si>
    <t>MO-1055</t>
  </si>
  <si>
    <t>TGP-786</t>
  </si>
  <si>
    <t>RIH-7001</t>
  </si>
  <si>
    <t>MO-1057</t>
  </si>
  <si>
    <t>MO-1064</t>
  </si>
  <si>
    <t>MO-1065</t>
  </si>
  <si>
    <t>MO-1066</t>
  </si>
  <si>
    <t>TMA-337</t>
  </si>
  <si>
    <t>MO-1071 &amp; 1082</t>
  </si>
  <si>
    <t>DG Cement</t>
  </si>
  <si>
    <t>FDS-1140</t>
  </si>
  <si>
    <t>MO-1073</t>
  </si>
  <si>
    <t>MO-1074</t>
  </si>
  <si>
    <t>Pioneer Cement</t>
  </si>
  <si>
    <t>MO-1078 &amp; MO-1079 &amp; MO-1080</t>
  </si>
  <si>
    <t>JT-4419</t>
  </si>
  <si>
    <t>MO-1081 &amp; 1094</t>
  </si>
  <si>
    <t>TMQ-878</t>
  </si>
  <si>
    <t>MO-1082</t>
  </si>
  <si>
    <t>MO-1083</t>
  </si>
  <si>
    <t>LES-8078</t>
  </si>
  <si>
    <t>MO-1084</t>
  </si>
  <si>
    <t>TKX-063</t>
  </si>
  <si>
    <t>MO-1086</t>
  </si>
  <si>
    <t>JT-4668</t>
  </si>
  <si>
    <t>MO-1087</t>
  </si>
  <si>
    <t>MO-1088</t>
  </si>
  <si>
    <t>MO-1089</t>
  </si>
  <si>
    <t>LES-8180</t>
  </si>
  <si>
    <t>MO-1093</t>
  </si>
  <si>
    <t>Fecto Cement</t>
  </si>
  <si>
    <t>TAL-712</t>
  </si>
  <si>
    <t>MO-1096</t>
  </si>
  <si>
    <t>MO-1098</t>
  </si>
  <si>
    <t>CAV-3409</t>
  </si>
  <si>
    <t>MO-1101</t>
  </si>
  <si>
    <t>MO-1102</t>
  </si>
  <si>
    <t>MO-1104</t>
  </si>
  <si>
    <t>MO-1107</t>
  </si>
  <si>
    <t>LXK-2503</t>
  </si>
  <si>
    <t>MO-1110</t>
  </si>
  <si>
    <t>TKQ-591</t>
  </si>
  <si>
    <t>MO-1112</t>
  </si>
  <si>
    <t>MO-1117</t>
  </si>
  <si>
    <t>MO-1120</t>
  </si>
  <si>
    <t>TAD-76</t>
  </si>
  <si>
    <t>MO-2367</t>
  </si>
  <si>
    <t>INGENIO LA GRECIA S.A</t>
  </si>
  <si>
    <t>TLV-467</t>
  </si>
  <si>
    <t>MO-2377</t>
  </si>
  <si>
    <t>Seven Star</t>
  </si>
  <si>
    <t>MO-2378</t>
  </si>
  <si>
    <t>JW-0879</t>
  </si>
  <si>
    <t>MO-2380</t>
  </si>
  <si>
    <t>RYK Sugar Mills</t>
  </si>
  <si>
    <t>AK-713</t>
  </si>
  <si>
    <t>MO-2381</t>
  </si>
  <si>
    <t>Rasool Nawaz</t>
  </si>
  <si>
    <t>MO-2382</t>
  </si>
  <si>
    <t>MirpurKhas Sugar Mills</t>
  </si>
  <si>
    <t>MO-2385</t>
  </si>
  <si>
    <t>MO-2387</t>
  </si>
  <si>
    <t>Two Star</t>
  </si>
  <si>
    <t>E-2095</t>
  </si>
  <si>
    <t>MO-2393</t>
  </si>
  <si>
    <t>Darya Khan Sugar Mills</t>
  </si>
  <si>
    <t>TLA-555</t>
  </si>
  <si>
    <t>MO-2394</t>
  </si>
  <si>
    <t>JW-9395</t>
  </si>
  <si>
    <t>MO-2409</t>
  </si>
  <si>
    <t>TMB-278</t>
  </si>
  <si>
    <t>MO-2423</t>
  </si>
  <si>
    <t>JDW Sugar Mills 1</t>
  </si>
  <si>
    <t>TMD-815</t>
  </si>
  <si>
    <t>MO-266</t>
  </si>
  <si>
    <t>Shorkot Floor Mills</t>
  </si>
  <si>
    <t>PAE-872</t>
  </si>
  <si>
    <t>QH-579</t>
  </si>
  <si>
    <t>Bilal Godaam</t>
  </si>
  <si>
    <t>LZB-2933</t>
  </si>
  <si>
    <t>POD</t>
  </si>
  <si>
    <t>DATA QUALITY CHECKS</t>
  </si>
  <si>
    <t>#</t>
  </si>
  <si>
    <t>Check</t>
  </si>
  <si>
    <t>Result</t>
  </si>
  <si>
    <t>Threshold</t>
  </si>
  <si>
    <t>Status</t>
  </si>
  <si>
    <t>Total records in Database</t>
  </si>
  <si>
    <t>—</t>
  </si>
  <si>
    <t>Duplicate Exp # keys</t>
  </si>
  <si>
    <t>Must = 0</t>
  </si>
  <si>
    <t>Blank Customer</t>
  </si>
  <si>
    <t>Blank Description</t>
  </si>
  <si>
    <t>Review</t>
  </si>
  <si>
    <t>Missing Packing record</t>
  </si>
  <si>
    <t>Missing Shipping record</t>
  </si>
  <si>
    <t>Missing Export Doc record</t>
  </si>
  <si>
    <t>Orders found in only 1 system</t>
  </si>
  <si>
    <t>Orders matched across all 4 systems</t>
  </si>
  <si>
    <t>N.W. greater than G.W. (weight mismatch)</t>
  </si>
  <si>
    <t>Docs still Pending</t>
  </si>
  <si>
    <t>Packing still Pending</t>
  </si>
  <si>
    <t>Duplicate Exp # values (if any):</t>
  </si>
  <si>
    <t>SETUP / LOOKUP LISTS</t>
  </si>
  <si>
    <t>Shipment_Status</t>
  </si>
  <si>
    <t>Packing_Status</t>
  </si>
  <si>
    <t>Doc_Status</t>
  </si>
  <si>
    <t>Shipment_Mode</t>
  </si>
  <si>
    <t>YesNo</t>
  </si>
  <si>
    <t>Sea-FCL</t>
  </si>
  <si>
    <t>Sea-LCL</t>
  </si>
  <si>
    <t>Sugar-Local</t>
  </si>
  <si>
    <t>Submitted</t>
  </si>
  <si>
    <t>CPT</t>
  </si>
  <si>
    <t>Road</t>
  </si>
  <si>
    <t>Cement-Local</t>
  </si>
  <si>
    <t>Revised</t>
  </si>
  <si>
    <t>G.I Industry</t>
  </si>
  <si>
    <t>Missing</t>
  </si>
  <si>
    <t>EXW</t>
  </si>
  <si>
    <t>POWER QUERY INTEGRATION — SCHEMA &amp; MAPPING ANALYSIS</t>
  </si>
  <si>
    <t>Prepared for the Database sheet of Qadri-Group-Logistics-Master.xlsx  |  Analysis only — no data imported, no formulas written.</t>
  </si>
  <si>
    <t>Database Column</t>
  </si>
  <si>
    <t>Source Workbook</t>
  </si>
  <si>
    <t>Source Sheet</t>
  </si>
  <si>
    <t>Source Header</t>
  </si>
  <si>
    <t>Join Key(s)</t>
  </si>
  <si>
    <t>Notes</t>
  </si>
  <si>
    <t>— (manual)</t>
  </si>
  <si>
    <t>Surrogate key generated in Database (ORD-0001…). Never sourced; keep manual/auto-numbered.</t>
  </si>
  <si>
    <t>(key present in all)</t>
  </si>
  <si>
    <t>Exp. # / Exp # / (none in Transport)</t>
  </si>
  <si>
    <t>PRIMARY KEY</t>
  </si>
  <si>
    <t>Master join key. Present in Export Docs (Exp. #), Shipping (Exp #), Packing (Exp #). NOT reliably present in Transportation — see notes.</t>
  </si>
  <si>
    <t>Packing / Shipping / Export</t>
  </si>
  <si>
    <t>Master Packing / Shipment Master / Export Documentation</t>
  </si>
  <si>
    <t>Batch # / B. # / Batch #</t>
  </si>
  <si>
    <t>SECONDARY KEY</t>
  </si>
  <si>
    <t>Secondary key for multi-batch Exp #. Mostly '-' placeholders — weak selectivity; use only as tie-breaker with Exp #.</t>
  </si>
  <si>
    <t>Master Packing Database</t>
  </si>
  <si>
    <t>Business Type + Product Category</t>
  </si>
  <si>
    <t>Derive from Packing (Product Category + Business Type → 'Sugar-Export' etc.). Matches Setup_Lists Segment values.</t>
  </si>
  <si>
    <t>Packing (primary)</t>
  </si>
  <si>
    <t>Appears in all four sources. Prefer Packing as authoritative; Shipping/Export/Transport are fallbacks. Watch trailing spaces / newlines.</t>
  </si>
  <si>
    <t>Jobs #</t>
  </si>
  <si>
    <t>Packing 'Jobs #', Shipping 'Job #'. Formats differ (e.g. concatenated '0039+40+41'). Prefer Packing. Header rename needed (Jobs #→Job #).</t>
  </si>
  <si>
    <t>Also in Shipping. Prefer Packing. Contains embedded newlines in Shipping/Export — trim in PQ.</t>
  </si>
  <si>
    <t>Qty.</t>
  </si>
  <si>
    <t>Packing is authoritative. Note Packing stores some as text ('1 Nos.') — clean to number in PQ.</t>
  </si>
  <si>
    <t>Pkgs.</t>
  </si>
  <si>
    <t>Also in Shipping (Pkgs.). Prefer Packing.</t>
  </si>
  <si>
    <t>Net Weight (Kgs)</t>
  </si>
  <si>
    <t>Also in Shipping (N.W. - Kgs). Prefer Packing. Header has stray trailing hyphen — standardize.</t>
  </si>
  <si>
    <t>Gross Weight (Kgs)</t>
  </si>
  <si>
    <t>Also in Shipping (G.W. - Kgs) and Transport (Gross/Total Gross Weight). Prefer Packing for order-level GW.</t>
  </si>
  <si>
    <t>Also in Shipping. Prefer Packing.</t>
  </si>
  <si>
    <t>Only in Packing. Values QEN/QCL/QE etc.</t>
  </si>
  <si>
    <t>Shipping</t>
  </si>
  <si>
    <t>Shipment Master Database</t>
  </si>
  <si>
    <t>Shipment Terms</t>
  </si>
  <si>
    <t>Shipping 'Shipment Terms' = Incoterm. Also Export Docs 'Shipping Term'. Prefer Shipping. Constrain to Setup_Lists Incoterm.</t>
  </si>
  <si>
    <t>Standard/Open Top/Flat Rack/OOG 20' &amp; 40', LCL, AIR</t>
  </si>
  <si>
    <t>Shipping splits containers across 10 columns (21-30). Must be summed/concatenated in PQ into one 'Containers' value. Export Docs also has Container Type/Quantity.</t>
  </si>
  <si>
    <t>Shipping (primary)</t>
  </si>
  <si>
    <t>Shipping 'POD'. Header rename needed.</t>
  </si>
  <si>
    <t>Only in Shipping.</t>
  </si>
  <si>
    <t>Only in Packing. Mixed date/'Pending' text — coerce to Date, errors→null.</t>
  </si>
  <si>
    <t>Actual RFD Date</t>
  </si>
  <si>
    <t>Packing 'Actual RFD Date'. Header rename needed.</t>
  </si>
  <si>
    <t>Actual Packing Date</t>
  </si>
  <si>
    <t>Packing has Target/Actual/Packing Date trio — map Actual Packing Date.</t>
  </si>
  <si>
    <t>Only in Packing. Constrain to Setup_Lists Packing_Status.</t>
  </si>
  <si>
    <t>Packing / Shipping</t>
  </si>
  <si>
    <t>Gate Out Date</t>
  </si>
  <si>
    <t>Packing 'Gate Out Date' (col 35). Export Docs also has Gate-Out Date. Prefer Packing; Export Docs fallback. Mixed types.</t>
  </si>
  <si>
    <t>Gate-out Status</t>
  </si>
  <si>
    <t>Only in Packing.</t>
  </si>
  <si>
    <t>Export Docs / Shipping</t>
  </si>
  <si>
    <t>Export Documentation Database</t>
  </si>
  <si>
    <t>Shipping Term / Shipment Terms</t>
  </si>
  <si>
    <t>Overlaps Incoterm concept. Export Docs 'Shipping Term'. Decide vs Incoterm to avoid duplication.</t>
  </si>
  <si>
    <t>Export Docs (primary)</t>
  </si>
  <si>
    <t>Export Docs 'Shipping Agent'; Shipping 'S/Agent'. Prefer Export Docs (full name).</t>
  </si>
  <si>
    <t>C/Agent</t>
  </si>
  <si>
    <t>Shipping 'C/Agent'. Header rename needed.</t>
  </si>
  <si>
    <t>S/Line</t>
  </si>
  <si>
    <t>Shipping 'S/Line'. Header rename needed.</t>
  </si>
  <si>
    <t>Shipping. Mixed date/'Pending' text — coerce to Date.</t>
  </si>
  <si>
    <t>Actual Arrival Dt.</t>
  </si>
  <si>
    <t>Shipping 'Actual Arrival Dt.'. Header rename needed.</t>
  </si>
  <si>
    <t>Also Transport 'Transit Days'. Prefer Shipping for sea transit.</t>
  </si>
  <si>
    <t>V. &amp; V. #</t>
  </si>
  <si>
    <t>Shipping 'V. &amp; V. #'. Header rename needed.</t>
  </si>
  <si>
    <t>Shipping. Constrain to Setup_Lists Shipment_Status.</t>
  </si>
  <si>
    <t>Shipping. FORMULA column in source — PQ imports the calculated value, not the formula. Verify it evaluates.</t>
  </si>
  <si>
    <t>Export Docs</t>
  </si>
  <si>
    <t>Bank Name</t>
  </si>
  <si>
    <t>Export Docs 'Bank Name'. Header rename needed.</t>
  </si>
  <si>
    <t>Also Transport 'Payment Terms'. Prefer Export Docs for export orders.</t>
  </si>
  <si>
    <t>(Customs Completion % / Overall)</t>
  </si>
  <si>
    <t>Roll-up of Customs_* columns. Use Export Docs 'Customs Completion %' or 'Overall Documentation Status'.</t>
  </si>
  <si>
    <t>Customer Completion %</t>
  </si>
  <si>
    <t>Roll-up of Customer_* columns in Export Docs.</t>
  </si>
  <si>
    <t>Bank Completion %</t>
  </si>
  <si>
    <t>Roll-up of Bank_* columns in Export Docs.</t>
  </si>
  <si>
    <t>Only in Export Docs.</t>
  </si>
  <si>
    <t>Overall Documentation Status</t>
  </si>
  <si>
    <t>Export Docs. Header rename needed.</t>
  </si>
  <si>
    <t>Transportation</t>
  </si>
  <si>
    <t>Master Transportation Database</t>
  </si>
  <si>
    <t>Exp # (via Batch/IDM — WEAK)</t>
  </si>
  <si>
    <t>Transport table has NO Exp #. Join is problematic — see key notes. Transporter also NOT in other tables.</t>
  </si>
  <si>
    <t>Vehicle Number</t>
  </si>
  <si>
    <t>Exp # (WEAK)</t>
  </si>
  <si>
    <t>Transport 'Vehicle Number'. Same weak-join caveat.</t>
  </si>
  <si>
    <t>Tracking Status / Operational Status</t>
  </si>
  <si>
    <t>Transport. Same weak-join caveat.</t>
  </si>
  <si>
    <t>Export Docs 'Sailing Date' (clean dates). Shipping ETD Karachi is related. Prefer Export Docs.</t>
  </si>
  <si>
    <t>Export Docs 'Month'. Could also be derived from any date column in PQ.</t>
  </si>
  <si>
    <t>— (derived)</t>
  </si>
  <si>
    <t>Existence flag — set in PQ after merge (=not null on Packing join). Keep as calculated, not sourced.</t>
  </si>
  <si>
    <t>Existence flag — set in PQ after Shipping merge.</t>
  </si>
  <si>
    <t>Existence flag — set in PQ after Export Docs merge.</t>
  </si>
  <si>
    <t>Existence flag — set in PQ after Transport merge (subject to weak-join caveat).</t>
  </si>
  <si>
    <t>Count of source tables matched. Calculated in PQ / Database, never sourced.</t>
  </si>
  <si>
    <t>Legend:</t>
  </si>
  <si>
    <t>Primary key (Exp #)</t>
  </si>
  <si>
    <t>Secondary key (Batch #)</t>
  </si>
  <si>
    <t>Weak / problematic join</t>
  </si>
  <si>
    <t>Manual or derived — not sourced</t>
  </si>
  <si>
    <t>Exp. #</t>
  </si>
  <si>
    <t>Container Type</t>
  </si>
  <si>
    <t>Container Quantity</t>
  </si>
  <si>
    <t>Cut Off Date</t>
  </si>
  <si>
    <t>Customs Invoice Status</t>
  </si>
  <si>
    <t>Customs Packing List Status</t>
  </si>
  <si>
    <t>Customs FI Status</t>
  </si>
  <si>
    <t>Customs Bank Documents Status</t>
  </si>
  <si>
    <t>GD Status</t>
  </si>
  <si>
    <t>Undertaking Status</t>
  </si>
  <si>
    <t>EFS Status</t>
  </si>
  <si>
    <t>Customer Invoice Status</t>
  </si>
  <si>
    <t>Customer Packing List Status</t>
  </si>
  <si>
    <t>BL Type</t>
  </si>
  <si>
    <t>Certificate of Origin Status</t>
  </si>
  <si>
    <t>Fumigation Certificate Status</t>
  </si>
  <si>
    <t>Insurance Certificate Status</t>
  </si>
  <si>
    <t>Bank Invoice Status</t>
  </si>
  <si>
    <t>Bank Packing List Status</t>
  </si>
  <si>
    <t>Bank FI Status</t>
  </si>
  <si>
    <t>Bank GD Status</t>
  </si>
  <si>
    <t>Bank BL Status</t>
  </si>
  <si>
    <t>Bank Certificate of Origin Status</t>
  </si>
  <si>
    <t>DHL Documents Status</t>
  </si>
  <si>
    <t>Insurance Bill Status</t>
  </si>
  <si>
    <t>Handed Over To Mr.Umar</t>
  </si>
  <si>
    <t>Total Documents</t>
  </si>
  <si>
    <t>Completed Documents</t>
  </si>
  <si>
    <t>Pending Documents</t>
  </si>
  <si>
    <t>Documentation Completion %</t>
  </si>
  <si>
    <t>Customs Completion %</t>
  </si>
  <si>
    <t>Shipment Documentation Stage</t>
  </si>
  <si>
    <t>Days Pending</t>
  </si>
  <si>
    <t>Delay Status</t>
  </si>
  <si>
    <t>Ready for Customs Clearance</t>
  </si>
  <si>
    <t>Ready for Customer Submission</t>
  </si>
  <si>
    <t>Ready for Bank Submission</t>
  </si>
  <si>
    <t>Missing Customs Documents</t>
  </si>
  <si>
    <t>Missing Customer Documents</t>
  </si>
  <si>
    <t>Missing Bank Documents</t>
  </si>
  <si>
    <t>-</t>
  </si>
  <si>
    <t>Non-EFS</t>
  </si>
  <si>
    <t>Sea Way</t>
  </si>
  <si>
    <t>In Progress</t>
  </si>
  <si>
    <t>Bank Processing</t>
  </si>
  <si>
    <t>Delayed</t>
  </si>
  <si>
    <t>DHL Documents</t>
  </si>
  <si>
    <t>DHL Documents, Insurance Bill</t>
  </si>
  <si>
    <t xml:space="preserve">4th </t>
  </si>
  <si>
    <t>EFS</t>
  </si>
  <si>
    <t>Original</t>
  </si>
  <si>
    <t>Insurance Bill</t>
  </si>
  <si>
    <t>5th B</t>
  </si>
  <si>
    <t>6th B</t>
  </si>
  <si>
    <t>Completed</t>
  </si>
  <si>
    <t>Documentation Completed</t>
  </si>
  <si>
    <t>On Time</t>
  </si>
  <si>
    <t>7th B</t>
  </si>
  <si>
    <t>Telex</t>
  </si>
  <si>
    <t>Insurance Certificate</t>
  </si>
  <si>
    <t>Invoice, Packing List, DHL Documents, Insurance Bill</t>
  </si>
  <si>
    <t>BL, Insurance Certificate</t>
  </si>
  <si>
    <t>Invoice, Packing List, BL, DHL Documents, Insurance Bill</t>
  </si>
  <si>
    <t>BL, DHL Documents, Insurance Bill</t>
  </si>
  <si>
    <t>AGRO ARORA</t>
  </si>
  <si>
    <t>Air Way</t>
  </si>
  <si>
    <t>40' Flat Rack
20' Open Top</t>
  </si>
  <si>
    <t>Invoice, Packing List, BL</t>
  </si>
  <si>
    <t>Invoice, Packing List, BL, Insurance Certificate</t>
  </si>
  <si>
    <t>Invoice, Packing List, Insurance Certificate</t>
  </si>
  <si>
    <t>Invoice, Packing List, BL, Certificate of Origin, Fumigation Certificate, Insurance Certificate</t>
  </si>
  <si>
    <t>Invoice, Packing List, BL, Certificate of Origin, DHL Documents, Insurance Bill</t>
  </si>
  <si>
    <t>Invoice, Packing List, Documents, GD, Undertaking</t>
  </si>
  <si>
    <t>Invoice, Packing List, GD, BL, Certificate of Origin, DHL Documents, Insurance Bill</t>
  </si>
  <si>
    <t>Invoice, Packing List, FI, Documents, GD, Undertaking</t>
  </si>
  <si>
    <t>Invoice, Packing List, FI, GD, BL, Certificate of Origin, DHL Documents, Insurance Bill</t>
  </si>
  <si>
    <t>FLSmidth - Denmark</t>
  </si>
  <si>
    <t xml:space="preserve">1st </t>
  </si>
  <si>
    <t>40' Flat Rack O/W
40' Flat Rack
40' Open Top</t>
  </si>
  <si>
    <t>2421th</t>
  </si>
  <si>
    <t>Freight Link</t>
  </si>
  <si>
    <t>Handover to Mr. Sheraz</t>
  </si>
  <si>
    <t>Fuller Technology</t>
  </si>
  <si>
    <t>Orient Cargo</t>
  </si>
  <si>
    <t>Handover to Mr. Umar</t>
  </si>
  <si>
    <t>Fuller Technology - Denmark</t>
  </si>
  <si>
    <t>FLSmidth - Mexico</t>
  </si>
  <si>
    <t>DSV</t>
  </si>
  <si>
    <t>Business Type</t>
  </si>
  <si>
    <t>Product Category</t>
  </si>
  <si>
    <t>Customer Type</t>
  </si>
  <si>
    <t>Quoted Packing Cost</t>
  </si>
  <si>
    <t>Actual Packing Cost</t>
  </si>
  <si>
    <t>Packing Cost Budgeted</t>
  </si>
  <si>
    <t>Packing Cost Actual</t>
  </si>
  <si>
    <t>Cost Variance</t>
  </si>
  <si>
    <t>Cost Variance %</t>
  </si>
  <si>
    <t>RFD Date</t>
  </si>
  <si>
    <t>RFD Delay</t>
  </si>
  <si>
    <t>Marketing RFD Delay</t>
  </si>
  <si>
    <t>Target Packing Material Mfg Date</t>
  </si>
  <si>
    <t>Actual Packing Material Mfg Date</t>
  </si>
  <si>
    <t>Packing Material Mfg Delay</t>
  </si>
  <si>
    <t>Target Packing Date</t>
  </si>
  <si>
    <t>Packing Delay</t>
  </si>
  <si>
    <t>Packing Execution Time</t>
  </si>
  <si>
    <t>Shipment Status</t>
  </si>
  <si>
    <t>Shipment Delay</t>
  </si>
  <si>
    <t>Packing Cost Variance</t>
  </si>
  <si>
    <t>On-Time Packing</t>
  </si>
  <si>
    <t>Packing Efficiency %</t>
  </si>
  <si>
    <t>Days Pending Packing</t>
  </si>
  <si>
    <t>Overall Status</t>
  </si>
  <si>
    <t>Local</t>
  </si>
  <si>
    <t>Sugar</t>
  </si>
  <si>
    <t>DIGRI SUGAR MILLS LIMITED.</t>
  </si>
  <si>
    <t>SL25-DIGS-0053</t>
  </si>
  <si>
    <t>REFURBISHMENT OF MILL ROLLER SHAFT</t>
  </si>
  <si>
    <t>1 Nos.</t>
  </si>
  <si>
    <t/>
  </si>
  <si>
    <t>Pending Packing</t>
  </si>
  <si>
    <t>SL24-DIGS-0052</t>
  </si>
  <si>
    <t>RE-SHELLING OF MILL ROLLER ( UN-GROOVED</t>
  </si>
  <si>
    <t>TANDLIANWALA SUGAR MILLS LTD. - RH</t>
  </si>
  <si>
    <t>SL25-TANR-0030</t>
  </si>
  <si>
    <t>FORCE FEEDER SHAFT</t>
  </si>
  <si>
    <t>SL25-TANR-0031</t>
  </si>
  <si>
    <t>REMOVAL OF BROKEN SHAFT FROM SHELL AND SHRINK FIT ONTO NEW FORCE FEEDER SHAFT</t>
  </si>
  <si>
    <t>JK SUGAR MILLS  I</t>
  </si>
  <si>
    <t>SL24-MEHS-0336</t>
  </si>
  <si>
    <t>PRESSURE FEEDER ROLLER SHAFT &amp; REMOVAL OF BROKEN SHAFT FROM SHELL &amp; SHRINK FIT ONTO NEW SHAFT</t>
  </si>
  <si>
    <t>ITTEFAQ SUGAR MILLS LTD.</t>
  </si>
  <si>
    <t>SL25-ITFS-0113</t>
  </si>
  <si>
    <t>RE-SHELLING OF MILL ROLLER WITH LONG HOLES UN-GROOVED )</t>
  </si>
  <si>
    <t>1 No</t>
  </si>
  <si>
    <t>BABA FARID SUGAR MILLS LTD</t>
  </si>
  <si>
    <t>SL25-JKS1-0234</t>
  </si>
  <si>
    <t>REFURBISHMENT OF SHAFT FOR JOB # SL24-BFSL-0030</t>
  </si>
  <si>
    <t>MIRPURKHAS SUGAR MILLS LTD.</t>
  </si>
  <si>
    <t>SL25-MSML-0307</t>
  </si>
  <si>
    <t>MILL LIFT INDICATOR ( RIGHT HAND )</t>
  </si>
  <si>
    <t>SL25-MSML-0308</t>
  </si>
  <si>
    <t>QADBROS ENGINEERING</t>
  </si>
  <si>
    <t>QG25-QESS-0008</t>
  </si>
  <si>
    <t>TOP SCRAPER FOR MILL MAX 84"</t>
  </si>
  <si>
    <t>1 Sets</t>
  </si>
  <si>
    <t>QG25-QESS-0009</t>
  </si>
  <si>
    <t>BOTTOM SCRAPER FOR MILL MAX 84"</t>
  </si>
  <si>
    <t>SL24-BFSL-0029</t>
  </si>
  <si>
    <t>RE-SHELLING OF MILL ROLLER ( STD. TYPE )</t>
  </si>
  <si>
    <t>SL25-MSML-0306</t>
  </si>
  <si>
    <t>REMOVAL OF SHAFT FROM SHELL AND SHRINK FITTING ONTO CUSTOMER PROVIDED NEW MILL ROLLER SHAFT</t>
  </si>
  <si>
    <t>INDUS SUGAR MILLS LTD.</t>
  </si>
  <si>
    <t>SL25-ISMP-0120</t>
  </si>
  <si>
    <t>QADRI-FIVES FCB 50" X 100" X 4-ROLL CANE CRUSHING MILL</t>
  </si>
  <si>
    <t>TANDO ALLAYAR SUGAR MILLS II</t>
  </si>
  <si>
    <t>SL25-TAY2-0008</t>
  </si>
  <si>
    <t>HEAVY DUTY CANE SHREDDER 1800 X 2140 MM</t>
  </si>
  <si>
    <t>SW SUGAR MILLS LTD.</t>
  </si>
  <si>
    <t>SL25-SWSM-0114</t>
  </si>
  <si>
    <t>ARCING &amp; BEADING OF MILL ROLLER SHEL</t>
  </si>
  <si>
    <t>SL25-SWSM-0113</t>
  </si>
  <si>
    <t>RE-GROOVING OF MILL ROLLER SHELL</t>
  </si>
  <si>
    <t>TANDO ALLAYAR SUGAR MILLS  ( II )</t>
  </si>
  <si>
    <t>SL25-TAY2-0001</t>
  </si>
  <si>
    <t>MULTI-MISALIGNMENT COUPLING FOR 42'' X 84'' X 4-ROLL MILL # 1</t>
  </si>
  <si>
    <t>1 Asly.</t>
  </si>
  <si>
    <t>SL25-TAY2-0002</t>
  </si>
  <si>
    <t>MULTI-MISALIGNMENT COUPLING FOR 42'' X 84'' X 4-ROLL MILL # 2</t>
  </si>
  <si>
    <t>SL25-TAY2-0007</t>
  </si>
  <si>
    <t>HEAVY DUTY CANE KNIFE ASLY. 1700 X 2140 MM</t>
  </si>
  <si>
    <t>SGM SUGAR MILLS LTD</t>
  </si>
  <si>
    <t>SL25-SGMS-0092</t>
  </si>
  <si>
    <t>RE-GROOVING OF TOP MILL ROLLER ( PITCH - 60 MM )</t>
  </si>
  <si>
    <t>SL25-SGMS-0093</t>
  </si>
  <si>
    <t>RE-GROOVING OF BOTTOM MILL ROLLER ( P - 60 MM )</t>
  </si>
  <si>
    <t>SL25-TAY2-0003</t>
  </si>
  <si>
    <t>MULTI-MISALIGNMENT COUPLING FOR 42'' X 84'' X 4-ROLL MILL # 3</t>
  </si>
  <si>
    <t>SL25-TAY2-0004</t>
  </si>
  <si>
    <t>MULTI-MISALIGNMENT COUPLING FOR 42'' X 84'' X 4-ROLL</t>
  </si>
  <si>
    <t>JDW SUGAR MILLS LTD. I</t>
  </si>
  <si>
    <t>SL25-JDW1-0714</t>
  </si>
  <si>
    <t>RE-SHELLING OF TOP LOTUS ROLLER</t>
  </si>
  <si>
    <t>SL25-TAY2-0006</t>
  </si>
  <si>
    <t>MIRPURKHAS SUGAR MILLS</t>
  </si>
  <si>
    <t>SL25-MSML-0309</t>
  </si>
  <si>
    <t>SL25-JDW1-0708</t>
  </si>
  <si>
    <t>RE-SHELLING OF TOP LOTUS ROLLER (PITCH – 50.8MM)</t>
  </si>
  <si>
    <t>SL25-TAY2-0005</t>
  </si>
  <si>
    <t>SANGHAR SUGAR MILLS LIMITED</t>
  </si>
  <si>
    <t>SL25-SANS-0063</t>
  </si>
  <si>
    <t>RE-SHELLING OF MILL ROLLER SHAFT ( UN-GROOVED )</t>
  </si>
  <si>
    <t>SL25-ISMP-0122</t>
  </si>
  <si>
    <t>MULTI-MISALIGNMENT COUPLING ( ROPE COUPLING )</t>
  </si>
  <si>
    <t>SL25-JDW1-0713</t>
  </si>
  <si>
    <t>FATIMA SUGAR MILLS LTD.</t>
  </si>
  <si>
    <t>SL25-FATD-0438</t>
  </si>
  <si>
    <t>RE-SHELLING OF DISCHARGE ROLLER ( GROOVED )</t>
  </si>
  <si>
    <t>SL25-MSML-0310</t>
  </si>
  <si>
    <t>RE-SHELLING OF MILL ROLLER ( UN-GROOVED )</t>
  </si>
  <si>
    <t>TWO STAR INDUSTRIES (PVT) LTD.</t>
  </si>
  <si>
    <t>SL25-TSIL-0322</t>
  </si>
  <si>
    <t>RE-SHELLING OF F. FEEDER ROLLER ( UN-GROOVED )</t>
  </si>
  <si>
    <t>JK SUGAR MILLS (PVT.) LTD. I</t>
  </si>
  <si>
    <t>SL25-JKS1-0227</t>
  </si>
  <si>
    <t>RE-SHELLING TOP LOTUS ROLLER ( PITCH-50 MM )</t>
  </si>
  <si>
    <t>JDW SUGAR MILLS LTD. III</t>
  </si>
  <si>
    <t>SL25-JDW3-0322</t>
  </si>
  <si>
    <t>3 Nos.</t>
  </si>
  <si>
    <t>SL25-TSIL-0320</t>
  </si>
  <si>
    <t>TOP SCRAPER FOR MILLMAX 102'' ( PITCH - 60 MM )</t>
  </si>
  <si>
    <t>SL25-JDW1-0712</t>
  </si>
  <si>
    <t>SL25-FATD-0434</t>
  </si>
  <si>
    <t>WALKER- TYPE 46" X 84" X 4-ROLL CANE MILL</t>
  </si>
  <si>
    <t>SL25-SANS-0064</t>
  </si>
  <si>
    <t>SL25-MSML-0311</t>
  </si>
  <si>
    <t>RE-SHELLING OF FORCE FEEDER ROLLER</t>
  </si>
  <si>
    <t>ETIHAD SUGAR MILLS LTD.</t>
  </si>
  <si>
    <t>SL25-ESML-0153</t>
  </si>
  <si>
    <t>REFURBISHMENT OF BEARING JOURNALS OF MILL ROLLER SHAFT # ESM-11</t>
  </si>
  <si>
    <t>TANDLIANWALA SUGAR MILLS</t>
  </si>
  <si>
    <t>SL25-TANK-0264</t>
  </si>
  <si>
    <t>RE-SHELLING OF MILL BOTTOM ROLLER</t>
  </si>
  <si>
    <t>RYK MILLS LTD</t>
  </si>
  <si>
    <t>SL25-RYKS-0191</t>
  </si>
  <si>
    <t>REFURBISHMENT OF SHAFT</t>
  </si>
  <si>
    <t>JK SUGAR MILLS I</t>
  </si>
  <si>
    <t>SL25-JKS1-0260</t>
  </si>
  <si>
    <t>INSPECTION OF SHREDDER SHAFT</t>
  </si>
  <si>
    <t>SL25-TANK-0263</t>
  </si>
  <si>
    <t>RE-SHELLING OF MILL TOP ROLLER</t>
  </si>
  <si>
    <t>SL25-ESML-0151</t>
  </si>
  <si>
    <t>JDW SUGAR MILLS LTD. II</t>
  </si>
  <si>
    <t>SL25-JDW2-0372</t>
  </si>
  <si>
    <t>SHREDDER HAMMER BAR</t>
  </si>
  <si>
    <t>16 Nos.</t>
  </si>
  <si>
    <t>SL25-TSIL-0321</t>
  </si>
  <si>
    <t>BOTTOM SCRAPER FOR MILLMAX 102'' ( PITCH - 60 MM )</t>
  </si>
  <si>
    <t>SL25-JDW2-0369</t>
  </si>
  <si>
    <t>SL25-JKS1-0253</t>
  </si>
  <si>
    <t>BOLT WITH DOUBLE NUT M30 X 150 MM</t>
  </si>
  <si>
    <t>60 Sets</t>
  </si>
  <si>
    <t>SL25-FATD-0446</t>
  </si>
  <si>
    <t>8 Nos</t>
  </si>
  <si>
    <t>SL25-JDW1-0709</t>
  </si>
  <si>
    <t>SL25-JDW3-0321</t>
  </si>
  <si>
    <t>RE-SHELLING OF TOP LOTUS ROLLER (PITCH – 50 MM)</t>
  </si>
  <si>
    <t>QG25-QESS-0010</t>
  </si>
  <si>
    <t>HYDRAULIC PRE TENSIONING DEVICE FOR WALKER-TYPE 45"  X 84" MILL</t>
  </si>
  <si>
    <t>SL25-JDW3-0320</t>
  </si>
  <si>
    <t>LAYYAH SUGAR MILLS</t>
  </si>
  <si>
    <t>SL25-LAYS-0292</t>
  </si>
  <si>
    <t>BOTTOM SCRAPER</t>
  </si>
  <si>
    <t>SAFINA SUGAR MILLS LTD.</t>
  </si>
  <si>
    <t>SL25-SSMS-0143</t>
  </si>
  <si>
    <t>RE-SHELLING OF MILL ROLLER</t>
  </si>
  <si>
    <t>AL MOIZ INDUSTRIES LTD. II</t>
  </si>
  <si>
    <t>SL25-ALMP-0052</t>
  </si>
  <si>
    <t>BRONZE LINER WATER COOLED</t>
  </si>
  <si>
    <t>SL25-LAYS-0298</t>
  </si>
  <si>
    <t>RE-SHELLING OF MILL ROLLER SHELL</t>
  </si>
  <si>
    <t>JK SUGAR MILLS (PVT.) LTD. II</t>
  </si>
  <si>
    <t>SL25-JKS2-0380</t>
  </si>
  <si>
    <t>SCRAPER FOR TOP ROLL ( PITCH-63 MM )</t>
  </si>
  <si>
    <t>2 Nos</t>
  </si>
  <si>
    <t>SL25-TANK-0265</t>
  </si>
  <si>
    <t>NOON SUGAR MILLS LTD.</t>
  </si>
  <si>
    <t>SL25-SASM-0028</t>
  </si>
  <si>
    <t>CANE CUTTER KNIFE</t>
  </si>
  <si>
    <t>20 Nos.</t>
  </si>
  <si>
    <t>SL25-FATD-0448</t>
  </si>
  <si>
    <t>BRONZE LINER OF BOTTOM HALF TOP BEARING</t>
  </si>
  <si>
    <t>1 Nos</t>
  </si>
  <si>
    <t>SL25-FATD-0439</t>
  </si>
  <si>
    <t>BOTTOM SCRAPER FOR MILL MAX 90'' ( PITCH 50 MM )</t>
  </si>
  <si>
    <t>SL25-FATD-0440</t>
  </si>
  <si>
    <t>TOP SCRAPER FOR MILL MAX 90'' ( PITCH 50 MM )</t>
  </si>
  <si>
    <t>SL25-JDW1-0715</t>
  </si>
  <si>
    <t>8 Nos.</t>
  </si>
  <si>
    <t>SL25-SGMS-0097</t>
  </si>
  <si>
    <t>CANE CUTTER KNIVES</t>
  </si>
  <si>
    <t>200 Nos</t>
  </si>
  <si>
    <t>SL25-ESML-0154</t>
  </si>
  <si>
    <t>REFURBISHMENT OF BEARING JOURNALS OF MILL ROLLER SHAFT # ESM-14</t>
  </si>
  <si>
    <t>SL25-SANS-0062</t>
  </si>
  <si>
    <t>LOTUS RE-SHELLING OF MILL TOP ROLLER (PITCH-60)</t>
  </si>
  <si>
    <t>SL25-JKS1-0230</t>
  </si>
  <si>
    <t>BOLT WITH DOUBLE NUT M39 X 154 MM</t>
  </si>
  <si>
    <t>300 Sets.</t>
  </si>
  <si>
    <t>SL25-SWSM-0112</t>
  </si>
  <si>
    <t>TANDLIANWALA SUGAR MILLS LTD</t>
  </si>
  <si>
    <t>SL25-TANR-0032</t>
  </si>
  <si>
    <t>RE-SHELLING OF MILL ROLLER (LONG HOLE&amp;UN-GROOVED)</t>
  </si>
  <si>
    <t>SAKRAND SUGAR MILLS LTD.</t>
  </si>
  <si>
    <t>SL25-SAKS-0100</t>
  </si>
  <si>
    <t>2 Nos.</t>
  </si>
  <si>
    <t>SL25-JKS1-0255</t>
  </si>
  <si>
    <t>SL25-JDW1-0707</t>
  </si>
  <si>
    <t>4 Nos.</t>
  </si>
  <si>
    <t>SL25-ESML-0150</t>
  </si>
  <si>
    <t>LOTUS RE-SHELLING OF TOP ROLLER ( PITCH - 63MM )</t>
  </si>
  <si>
    <t>SL25-JDW1-0716</t>
  </si>
  <si>
    <t>SL25-FATD-0447</t>
  </si>
  <si>
    <t>ANVIL GRID BAR</t>
  </si>
  <si>
    <t>SL25-FATD-0443</t>
  </si>
  <si>
    <t>BRONZE LINER ( FOR BOTTOM BEARING )</t>
  </si>
  <si>
    <t>ALLIANCE SUGAR MILLS LTD.</t>
  </si>
  <si>
    <t>SL25-ASMZ-0057</t>
  </si>
  <si>
    <t>SL25-TANZ-0048</t>
  </si>
  <si>
    <t>RE-SHELLING OF MILL ROLLER (LONG HOLE UN-GROOVED)</t>
  </si>
  <si>
    <t>SL25-JKS2-0381</t>
  </si>
  <si>
    <t>SCRAPER FOR TOP ROLL ( PITCH - 50 MM )</t>
  </si>
  <si>
    <t>4 Nos</t>
  </si>
  <si>
    <t>JDW SUGAR MILLS LTD I</t>
  </si>
  <si>
    <t>SL25-JDW1-0718</t>
  </si>
  <si>
    <t>SL25-TANK-0266</t>
  </si>
  <si>
    <t>TANDLIANWALA SUGAR MILLS LTD.</t>
  </si>
  <si>
    <t>SL25-TANR-0034</t>
  </si>
  <si>
    <t>BRONZE LINER</t>
  </si>
  <si>
    <t>HAMZA SUGAR MILLS LTD.</t>
  </si>
  <si>
    <t>SL25-HAMS-0272</t>
  </si>
  <si>
    <t>RYK MILLS LTD.</t>
  </si>
  <si>
    <t>SL25-RYKS-0178</t>
  </si>
  <si>
    <t>SL25-JKS1-0229</t>
  </si>
  <si>
    <t>DUMP TURNER ( FOR 40’’ X 80’’ MILL )</t>
  </si>
  <si>
    <t>SL25-JKS1-0241</t>
  </si>
  <si>
    <t>TRASHPLATE FOR MILL # 5 ( PITCH-50 MM )</t>
  </si>
  <si>
    <t>SL25-JDW2-0367</t>
  </si>
  <si>
    <t>SL25-JDW2-0370</t>
  </si>
  <si>
    <t>BRONZE LINER ( WATER COOLED )</t>
  </si>
  <si>
    <t>SL25-ALMP-0058</t>
  </si>
  <si>
    <t>SL25-ALMP-0057</t>
  </si>
  <si>
    <t>MILL PINION TEETH-16</t>
  </si>
  <si>
    <t>SL25-FATD-0449</t>
  </si>
  <si>
    <t>SL25-FATD-0445</t>
  </si>
  <si>
    <t>SHREDDER HAMMER ( WITH S.S BUSH )</t>
  </si>
  <si>
    <t>100 Nos</t>
  </si>
  <si>
    <t>SHAHTAJ SUGAR MILLS LTD.</t>
  </si>
  <si>
    <t>SL25-SHTS-0342</t>
  </si>
  <si>
    <t>RE-SHELLING MILL ROLLER SHAFT ( UN-GROOVED )</t>
  </si>
  <si>
    <t>SL25-LAYS-0293</t>
  </si>
  <si>
    <t>JK SUGAR MILLS . II</t>
  </si>
  <si>
    <t>SL25-JKS2-0358</t>
  </si>
  <si>
    <t>RE-SHELLING MILL ROLLER (LONG HOLE &amp; UN-GROOVED)</t>
  </si>
  <si>
    <t>SL25-JDW3-0323</t>
  </si>
  <si>
    <t>BRONZE LINER ( WATER COOL ) UNIVERSAL TYPE</t>
  </si>
  <si>
    <t>SL25-JDW2-0368</t>
  </si>
  <si>
    <t>SL25-JKS1-0237</t>
  </si>
  <si>
    <t>TRASHPLATE FOR MILL # 1 ( PITCH-63 MM )</t>
  </si>
  <si>
    <t>PATTOKI SUGAR MILLS</t>
  </si>
  <si>
    <t>SL25-PATS-0065</t>
  </si>
  <si>
    <t>REFURBISHMENT OF MILL ROLLER SHAFT # PATS -090</t>
  </si>
  <si>
    <t>SL25-PATS-0066</t>
  </si>
  <si>
    <t>SL25-TANR-0036</t>
  </si>
  <si>
    <t>REFURBISHMENT OF JOURNAL SIZE &amp; CRACK OF MILL</t>
  </si>
  <si>
    <t>RAMZAN SUGAR MILLS</t>
  </si>
  <si>
    <t>SL25-RSML-0121</t>
  </si>
  <si>
    <t>BRONZE LINER FOR BOTTOM ROLLER</t>
  </si>
  <si>
    <t>SL25-ALMP-0054</t>
  </si>
  <si>
    <t>TOP BEARING TOP HALF</t>
  </si>
  <si>
    <t>SL25-ALMP-0055</t>
  </si>
  <si>
    <t>BRONZE LINER TOP</t>
  </si>
  <si>
    <t>SL25-ALMP-0056</t>
  </si>
  <si>
    <t>SHEIKHOO SUGAR MILLS LTD.</t>
  </si>
  <si>
    <t>SL25-SHKS-0236</t>
  </si>
  <si>
    <t>TOP NOSE PLATE</t>
  </si>
  <si>
    <t>SL25-TANR-0035</t>
  </si>
  <si>
    <t>2 No</t>
  </si>
  <si>
    <t>AL ARABIA SUGAR MILLS LTD</t>
  </si>
  <si>
    <t>SL25-ARAB-0059</t>
  </si>
  <si>
    <t>MILL PINION TEETH - 16</t>
  </si>
  <si>
    <t>SL25-LAYS-0294</t>
  </si>
  <si>
    <t>SL25-JKS2-0379</t>
  </si>
  <si>
    <t>SCRAPER FOR TOP ROLL ( PITCH-50 MM )</t>
  </si>
  <si>
    <t>SL25-SAKS-0102</t>
  </si>
  <si>
    <t>MILL ROLLER SHAFT</t>
  </si>
  <si>
    <t>SL25-FATD-0441</t>
  </si>
  <si>
    <t>SL25-FATD-0442</t>
  </si>
  <si>
    <t>240 Nos</t>
  </si>
  <si>
    <t>SL25-FATD-0444</t>
  </si>
  <si>
    <t>BOTTOM BEARING HOUSING</t>
  </si>
  <si>
    <t>SL25-SGMS-0104</t>
  </si>
  <si>
    <t>CANE CUTTER HOLDER</t>
  </si>
  <si>
    <t>5 Nos</t>
  </si>
  <si>
    <t>SL25-ESML-0155</t>
  </si>
  <si>
    <t>MULTI-MISALIGNMENT COUPLING ( ROPE COUPLING ) FOR 48'' X 90'' MILL</t>
  </si>
  <si>
    <t>SL25-ISMP-0123</t>
  </si>
  <si>
    <t>SL25-JDW2-0373</t>
  </si>
  <si>
    <t>HOLDER ( FOR CANE CUTTER KNIFE )</t>
  </si>
  <si>
    <t>SL25-JKS1-0243</t>
  </si>
  <si>
    <t>SCRAPER FOR DISCHARGE ROLL ( PITCH-63MM )</t>
  </si>
  <si>
    <t>SL25-JDW2-0374</t>
  </si>
  <si>
    <t>TWO STAR INDUSTRIES</t>
  </si>
  <si>
    <t>SL25-TSIL-0326</t>
  </si>
  <si>
    <t>SL25-RYKS-0187</t>
  </si>
  <si>
    <t>SHREDDER HAMMER</t>
  </si>
  <si>
    <t>16 Nos</t>
  </si>
  <si>
    <t>SHEIKHOO SUGAR MILLS</t>
  </si>
  <si>
    <t>SL25-SHKS-0241</t>
  </si>
  <si>
    <t>S.S BUSH FOR SHREDDER ROTOR DISC</t>
  </si>
  <si>
    <t>18 Nos</t>
  </si>
  <si>
    <t>FATIMA SUGAR MILLS</t>
  </si>
  <si>
    <t>SL25-FATD-0453</t>
  </si>
  <si>
    <t>SL25-PATS-0064</t>
  </si>
  <si>
    <t>DARYA KHAN SUGAR MILLS</t>
  </si>
  <si>
    <t>SL25-DKSM-0030</t>
  </si>
  <si>
    <t>RE-SHELLING OF MILL BOTTOM ROLLER (P-40MM)</t>
  </si>
  <si>
    <t>SL25-ISMP-0121</t>
  </si>
  <si>
    <t>SL25-RYKS-0189</t>
  </si>
  <si>
    <t>REFURBISHMENT OF SHAFT # RYK-4</t>
  </si>
  <si>
    <t>SL25-SAKS-0099</t>
  </si>
  <si>
    <t>JK SUGAR MILLS  II</t>
  </si>
  <si>
    <t>SL25-JKS2-0375</t>
  </si>
  <si>
    <t>TRASHPLATE ( PITCH-50 MM )</t>
  </si>
  <si>
    <t>SL25-JDW2-0371</t>
  </si>
  <si>
    <t>SL25-JKS1-0238</t>
  </si>
  <si>
    <t>TRASHPLATE FOR MILL # 2 ( PITCH-50 MM )</t>
  </si>
  <si>
    <t>SL25-JKS2-0367</t>
  </si>
  <si>
    <t>SL25-RYKS-0181</t>
  </si>
  <si>
    <t>TRASH PLATE</t>
  </si>
  <si>
    <t>SL25-LAYS-0299</t>
  </si>
  <si>
    <t>SL25-LAYS-0295</t>
  </si>
  <si>
    <t>SL25-JDW1-0711</t>
  </si>
  <si>
    <t>SL25-TSIL-0323</t>
  </si>
  <si>
    <t>AL MOIZ INDUSTRIES LTD. I</t>
  </si>
  <si>
    <t>SL25-ALML-0107</t>
  </si>
  <si>
    <t>SL25-JKS2-0383</t>
  </si>
  <si>
    <t>SCRAPER FOR DISCHARGE ROLL ( PITCH - 50 MM )</t>
  </si>
  <si>
    <t>SL25-FATD-0435</t>
  </si>
  <si>
    <t>RE-SHELLING OF DISCHARGE ROLLER ( UN-GROOVED )</t>
  </si>
  <si>
    <t>SL25-JDW1-0719</t>
  </si>
  <si>
    <t>SL25-SHTS-0343</t>
  </si>
  <si>
    <t>SL25-JKS1-0244</t>
  </si>
  <si>
    <t>SCRAPER FOR DISCHARGE ROLL ( PITCH-50MM )</t>
  </si>
  <si>
    <t>SL25-JKS1-0246</t>
  </si>
  <si>
    <t>SL25-HAMS-0268</t>
  </si>
  <si>
    <t>SL25-JDW2-0375</t>
  </si>
  <si>
    <t>DRIVE PINION TEETH-21</t>
  </si>
  <si>
    <t>SL25-SHKS-0237</t>
  </si>
  <si>
    <t>BOTTOM NOSE PLATE</t>
  </si>
  <si>
    <t>MEHRAN SUGAR MILLS LTD</t>
  </si>
  <si>
    <t>SL25-MEHS-0341</t>
  </si>
  <si>
    <t>REFURBISHMENT OF SHAFT # MEH- X -17</t>
  </si>
  <si>
    <t>SL25-JKS1-0261</t>
  </si>
  <si>
    <t>CAM SHAFT</t>
  </si>
  <si>
    <t>SL25-JKS1-0228</t>
  </si>
  <si>
    <t>CAM SHAFT ( FOR 42’’ X 84’’ MILL )</t>
  </si>
  <si>
    <t>SL25-JKS2-0362</t>
  </si>
  <si>
    <t>BOLT WITH NUT FOR CANE CUTTER</t>
  </si>
  <si>
    <t>150 Sets</t>
  </si>
  <si>
    <t>SL25-JKS2-0363</t>
  </si>
  <si>
    <t>200 Sets</t>
  </si>
  <si>
    <t>SL25-JKS2-0376</t>
  </si>
  <si>
    <t>TRASHPLATE ( PITCH-63 MM )</t>
  </si>
  <si>
    <t>SL25-JKS1-0239</t>
  </si>
  <si>
    <t>TRASHPLATE FOR MILL # 3 ( PITCH-50 MM )</t>
  </si>
  <si>
    <t>SL25-SAKS-0101</t>
  </si>
  <si>
    <t>SL25-JKS2-0368</t>
  </si>
  <si>
    <t>SL25-TSIL-0325</t>
  </si>
  <si>
    <t>REMOVAL OF CRACKED M.R. SHAFT FROM SHELL</t>
  </si>
  <si>
    <t>BRONZE BEARING FOR TOP ROLLER</t>
  </si>
  <si>
    <t>SL25-RSML-0122</t>
  </si>
  <si>
    <t>SL25-RYKS-0184</t>
  </si>
  <si>
    <t>TOP SCRAPER FOR MILL MAX 102”</t>
  </si>
  <si>
    <t>SL25-RYKS-0182</t>
  </si>
  <si>
    <t>SL25-JKS2-0384</t>
  </si>
  <si>
    <t>SCRAPER FOR DISCHARGE ROLL ( PITCH- 63 )</t>
  </si>
  <si>
    <t>SL25-FATD-0437</t>
  </si>
  <si>
    <t>SL25-ESML-0156</t>
  </si>
  <si>
    <t>SL25-RYKS-0177</t>
  </si>
  <si>
    <t>DEHARKI SUGAR MILLS</t>
  </si>
  <si>
    <t>SL25-DSLD-0267</t>
  </si>
  <si>
    <t>SL25-JKS1-0248</t>
  </si>
  <si>
    <t>SCRAPER FOR TOP ROLL ( PITCH-50MM )</t>
  </si>
  <si>
    <t>SL25-JKS1-0252</t>
  </si>
  <si>
    <t>SCRAPER FOR TOP ROLL ( PITCH-40MM )</t>
  </si>
  <si>
    <t>SL25-HAMS-0269</t>
  </si>
  <si>
    <t>ASHRAF SUGAR MILLS LTD</t>
  </si>
  <si>
    <t>SL25-ASHS-0167</t>
  </si>
  <si>
    <t>SL25-JKS1-0224</t>
  </si>
  <si>
    <t>RE-SHELLING DISCHARGE LOTUS ROLLER ( PITCH-50 MM )</t>
  </si>
  <si>
    <t>SL25-JDW3-0326</t>
  </si>
  <si>
    <t>HOLDER FOR CANE CUTTER KNIFE</t>
  </si>
  <si>
    <t>20 Nos</t>
  </si>
  <si>
    <t>HUNZA SUGAR MILLS II</t>
  </si>
  <si>
    <t>SL25-HUN2-0054</t>
  </si>
  <si>
    <t>RE-SHELLING OF LOTUS ROLLER</t>
  </si>
  <si>
    <t>SL25-SSMS-0144</t>
  </si>
  <si>
    <t>SL25-SHKS-0240</t>
  </si>
  <si>
    <t>210 Nos</t>
  </si>
  <si>
    <t>SL25-ALMP-0061</t>
  </si>
  <si>
    <t>SL25-PATS-0061</t>
  </si>
  <si>
    <t>SL25-PATS-0063</t>
  </si>
  <si>
    <t>SL25-SGMS-0094</t>
  </si>
  <si>
    <t>MACCA SUGAR MILLS</t>
  </si>
  <si>
    <t>SL25-MAKS-0057</t>
  </si>
  <si>
    <t>SYNTHETIC ROPES FOR MMC FOR 23"X40" ( 35 TONS)</t>
  </si>
  <si>
    <t>2 Sets</t>
  </si>
  <si>
    <t>SL25-SGMS-0099</t>
  </si>
  <si>
    <t>SL25-SGMS-0100</t>
  </si>
  <si>
    <t>TOP NOSE PLATE ( WITHOUT HARD FACING ) P-60MM</t>
  </si>
  <si>
    <t>SL25-SGMS-0101</t>
  </si>
  <si>
    <t>BOTTOM NOSE PLATE ( WITHOUT HARD FACING ) P-60MM</t>
  </si>
  <si>
    <t>SL25-SGMS-0102</t>
  </si>
  <si>
    <t>UNDER FEED PINION TEETH - 21</t>
  </si>
  <si>
    <t>SL25-SGMS-0103</t>
  </si>
  <si>
    <t>UNDER FEED PINION TEETH - 17</t>
  </si>
  <si>
    <t>FARAN SUGAR MILLS</t>
  </si>
  <si>
    <t>SL25-FSML-0150</t>
  </si>
  <si>
    <t>SL25-RYKS-0190</t>
  </si>
  <si>
    <t>REFURBISHMENT OF SHAFT # RYK-10</t>
  </si>
  <si>
    <t>JK SUGAR MILLS (PVT.).I</t>
  </si>
  <si>
    <t>SL25-JKS1-0235</t>
  </si>
  <si>
    <t>SL25-JKS2-0377</t>
  </si>
  <si>
    <t>SL25-JKS2-0369</t>
  </si>
  <si>
    <t>SL25-JKS1-0240</t>
  </si>
  <si>
    <t>TRASHPLATE FOR MILL # 4 ( PITCH-50 MM )</t>
  </si>
  <si>
    <t>SL25-JDW3-0325</t>
  </si>
  <si>
    <t>REFURBISHMENT OF PLUMMER BLOCK ( FOR CANE CUTTER )</t>
  </si>
  <si>
    <t>HABIB SUGAR MILLS LTD.</t>
  </si>
  <si>
    <t>SL25-HABL-0249</t>
  </si>
  <si>
    <t>SL25-ALMP-0059</t>
  </si>
  <si>
    <t>SL25-SSMS-0148</t>
  </si>
  <si>
    <t>BOTTOM SCRAPER FOR MILLMAX</t>
  </si>
  <si>
    <t>SL25-SSMS-0146</t>
  </si>
  <si>
    <t>TOP SCRAPER FOR MILLMAX</t>
  </si>
  <si>
    <t>MADINA SUGAR MILLS LTD</t>
  </si>
  <si>
    <t>SL25-MSCL-0116</t>
  </si>
  <si>
    <t>SL25-JDW1-0717</t>
  </si>
  <si>
    <t>SL25-RYKS-0183</t>
  </si>
  <si>
    <t>SL25-HUN2-0055</t>
  </si>
  <si>
    <t>SL25-HUN2-0056</t>
  </si>
  <si>
    <t>SL25-RYKS-0176</t>
  </si>
  <si>
    <t>3 Nos</t>
  </si>
  <si>
    <t>SL25-ARAB-0060</t>
  </si>
  <si>
    <t>SL25-SGMS-0098</t>
  </si>
  <si>
    <t>SL25-JKS1-0233</t>
  </si>
  <si>
    <t>KNIFE FOR CANE KNIFE ASLY.</t>
  </si>
  <si>
    <t>300 Nos</t>
  </si>
  <si>
    <t>SL25-JKS1-0225</t>
  </si>
  <si>
    <t>SL25-JKS1-0245</t>
  </si>
  <si>
    <t>DARYA KHAN SUGAR MILLS LTD.</t>
  </si>
  <si>
    <t>SL25-DKSM-0029</t>
  </si>
  <si>
    <t>RE-SHELLING OF MILL TOP ROLLER ( P-40MM )</t>
  </si>
  <si>
    <t>SL25-JDW2-0376</t>
  </si>
  <si>
    <t>DRIVEN PINION TEETH-17</t>
  </si>
  <si>
    <t>SL25-JKS1-0256</t>
  </si>
  <si>
    <t>SHREDDER HAMMER WITH S.S BUSH</t>
  </si>
  <si>
    <t>90 Nos</t>
  </si>
  <si>
    <t>SL25-JKS1-0254</t>
  </si>
  <si>
    <t>BRAKE BAR ( FOR ANVIL GRID ASLY )</t>
  </si>
  <si>
    <t>SL25-JKS2-0385</t>
  </si>
  <si>
    <t>HABIB SUGAR MILLS LTD</t>
  </si>
  <si>
    <t>SL25-HABL-0263</t>
  </si>
  <si>
    <t>SL25-TANK-0268</t>
  </si>
  <si>
    <t>BRONZE LINER FOR TOP HALF LINER</t>
  </si>
  <si>
    <t>MEHRAN SUGAR MILLS.</t>
  </si>
  <si>
    <t>SL25-MEHS-0337</t>
  </si>
  <si>
    <t>TOP SCRAPER</t>
  </si>
  <si>
    <t>SL25-MEHS-0338</t>
  </si>
  <si>
    <t>SL25-MEHS-0339</t>
  </si>
  <si>
    <t>REMOVAL OF SHAFT FROM SHELL</t>
  </si>
  <si>
    <t>SL25-ALMP-0051</t>
  </si>
  <si>
    <t>SL25-PATS-0062</t>
  </si>
  <si>
    <t>REFURBISHMENT OF MILL ROLLER SHAFT # 054</t>
  </si>
  <si>
    <t>SL25-ALMP-0053</t>
  </si>
  <si>
    <t>MODIFICATION OF RLD OF MILL MAX 84''</t>
  </si>
  <si>
    <t>SL25-TANK-0269</t>
  </si>
  <si>
    <t>SL25-JKS1-0247</t>
  </si>
  <si>
    <t>SCRAPER FOR DISCHARGE ROLL ( PITCH-40MM )</t>
  </si>
  <si>
    <t>SL25-JKS1-0249</t>
  </si>
  <si>
    <t>SL25-JKS2-0364</t>
  </si>
  <si>
    <t>COUPLING FOR CANE CUTTER ASLY.</t>
  </si>
  <si>
    <t>AL ABBAS SUGAR MILLS</t>
  </si>
  <si>
    <t>SL25-AABM-0180</t>
  </si>
  <si>
    <t>RUBBER SEALS</t>
  </si>
  <si>
    <t>SL25-JKS1-0231</t>
  </si>
  <si>
    <t>COUPLING ( FOR CANE CUTTER )</t>
  </si>
  <si>
    <t>2 Sets.</t>
  </si>
  <si>
    <t>SL25-JKS2-0365</t>
  </si>
  <si>
    <t>CUTTER HOLDER FOR CANE CUTTER ASLY.</t>
  </si>
  <si>
    <t>21 Nos</t>
  </si>
  <si>
    <t>SL25-JDW2-0377</t>
  </si>
  <si>
    <t>COMPLETE INSPECTION &amp; REFURBISHMENT SHREDDER DICS</t>
  </si>
  <si>
    <t>26 Nos.</t>
  </si>
  <si>
    <t>SL25-JKS1-0242</t>
  </si>
  <si>
    <t>TRASHPLATE FOR MILL # 6 ( PITCH-40 MM )</t>
  </si>
  <si>
    <t>SL25-ASHS-0166</t>
  </si>
  <si>
    <t>SL25-JKS1-0226</t>
  </si>
  <si>
    <t>RE-SHELLING TOP LOTUS ROLLER ( PITCH-40 MM )</t>
  </si>
  <si>
    <t>SL25-JDW3-0324</t>
  </si>
  <si>
    <t>SL25-JKS2-0378</t>
  </si>
  <si>
    <t>TRASHPLATE ( PITCH - 38 MM )</t>
  </si>
  <si>
    <t>SL25-SHTS-0341</t>
  </si>
  <si>
    <t>SL25-FATD-0436</t>
  </si>
  <si>
    <t>SL25-JKS2-0382</t>
  </si>
  <si>
    <t>SCRAPER FOR DISCHARGE ROLL ( PITCH-60 MM )</t>
  </si>
  <si>
    <t>JK SUGAR MILLS.II</t>
  </si>
  <si>
    <t>SL25-JKS2-0370</t>
  </si>
  <si>
    <t>SL25-LAYS-0296</t>
  </si>
  <si>
    <t>SL25-MSCL-0117</t>
  </si>
  <si>
    <t>SL25-SHKS-0238</t>
  </si>
  <si>
    <t>SL25-SHKS-0239</t>
  </si>
  <si>
    <t>SL25-SSMS-0145</t>
  </si>
  <si>
    <t>SL25-SSMS-0147</t>
  </si>
  <si>
    <t>SL25-ALMP-0050</t>
  </si>
  <si>
    <t>SL25-JDW3-0327</t>
  </si>
  <si>
    <t>SL25-JKS2-0387</t>
  </si>
  <si>
    <t>SCRAPER FOR TOP ROLL ( PITCH - 60 MM )</t>
  </si>
  <si>
    <t>CHAMBAR SUGAR MILLS</t>
  </si>
  <si>
    <t>SL25-CHMB-0016</t>
  </si>
  <si>
    <t>SL25-RYKS-0185</t>
  </si>
  <si>
    <t>BOTTOM SCRAPER FOR MILL MAX 102”</t>
  </si>
  <si>
    <t>SL25-TANR-0033</t>
  </si>
  <si>
    <t>AL ARABIA SUGAR MILLS</t>
  </si>
  <si>
    <t>SL25-ARAB-0058</t>
  </si>
  <si>
    <t>SL25-SSMS-0149</t>
  </si>
  <si>
    <t>SL25-ALMP-0062</t>
  </si>
  <si>
    <t>SAFINA SUGAR MILLS</t>
  </si>
  <si>
    <t>SL25-SSMS-0151</t>
  </si>
  <si>
    <t>SL25-JKS2-0360</t>
  </si>
  <si>
    <t>MILL ROLLER SHELL ( WITH LONG HOLE &amp; UN-GROOVED )</t>
  </si>
  <si>
    <t>1 No.</t>
  </si>
  <si>
    <t>SL25-JKS1-0236</t>
  </si>
  <si>
    <t>JK SUGAR MILLS .I</t>
  </si>
  <si>
    <t>SL25-JKS2-0371</t>
  </si>
  <si>
    <t>SL25-JKS2-0372</t>
  </si>
  <si>
    <t>BRONZE LINER ( WATER COOL )</t>
  </si>
  <si>
    <t>SL25-JKS2-0373</t>
  </si>
  <si>
    <t>AL ABBAS SUGAR MILLS LTD.</t>
  </si>
  <si>
    <t>SL25-AABM-0181</t>
  </si>
  <si>
    <t>SL25-MSCL-0118</t>
  </si>
  <si>
    <t>REFURBISHMENT OF MILL TOP CAP FOR 50” X 100" X 4 ROLL  MILL</t>
  </si>
  <si>
    <t>SL25-ALMP-0060</t>
  </si>
  <si>
    <t>HUNZA SUGAR MILLS I</t>
  </si>
  <si>
    <t>SL25-HUN1-0057</t>
  </si>
  <si>
    <t>RE-SHELLING OF MILL ROLLER SHAFT</t>
  </si>
  <si>
    <t>SL25-HAMS-0271</t>
  </si>
  <si>
    <t>SL25-RYKS-0186</t>
  </si>
  <si>
    <t>100 No</t>
  </si>
  <si>
    <t>SL25-LAYS-0297</t>
  </si>
  <si>
    <t>SL25-HUN2-0057</t>
  </si>
  <si>
    <t>SL25-HABL-0250</t>
  </si>
  <si>
    <t>SL25-SSMS-0152</t>
  </si>
  <si>
    <t>SL25-ARAB-0061</t>
  </si>
  <si>
    <t>SL25-TANK-0267</t>
  </si>
  <si>
    <t>SL25-JKS2-0388</t>
  </si>
  <si>
    <t>SCRAPER FOR TOP ROLL ( PITCH - 38 MM )</t>
  </si>
  <si>
    <t>SL25-JKS2-0386</t>
  </si>
  <si>
    <t>SCRAPER FOR DISCHARGE ROLL ( PITCH - 38 MM )</t>
  </si>
  <si>
    <t>SL25-SGMS-0095</t>
  </si>
  <si>
    <t>RE-SHELLING OF FORCE FEEDER ROLLER ( UN-GROOVED )</t>
  </si>
  <si>
    <t>SL25-JKS1-0232</t>
  </si>
  <si>
    <t>HOLDER ( FOR CANE CUTTER )</t>
  </si>
  <si>
    <t>SL25-JKS1-0250</t>
  </si>
  <si>
    <t>SCRAPER FOR TOP ROLL ( PITCH-63MM )</t>
  </si>
  <si>
    <t>SL25-SAKS-0103</t>
  </si>
  <si>
    <t>SL25-RYKS-0175</t>
  </si>
  <si>
    <t>HABIB SUGAR MILLS</t>
  </si>
  <si>
    <t>SL25-HABL-0258</t>
  </si>
  <si>
    <t>TOP SCRAPER FOR MILL MAX 84''</t>
  </si>
  <si>
    <t>SL25-JKS2-0359</t>
  </si>
  <si>
    <t>MILL ROLLER SHAFT ( IMPORTED )</t>
  </si>
  <si>
    <t>THARPARKAR SUGAR MILLS</t>
  </si>
  <si>
    <t>SL25-THAS-0079</t>
  </si>
  <si>
    <t>SL25-HABL-0259</t>
  </si>
  <si>
    <t>TOP SCRAPER FOR MILL MAX 88''</t>
  </si>
  <si>
    <t>BANDHI SUGAR MILLS</t>
  </si>
  <si>
    <t>SL25-BAND-0008</t>
  </si>
  <si>
    <t>SL25-JKS1-0263</t>
  </si>
  <si>
    <t>SL25-LAYS-0305</t>
  </si>
  <si>
    <t>SL25-BFSL-0034</t>
  </si>
  <si>
    <t>SL25-RYKS-0188</t>
  </si>
  <si>
    <t>SL25-SSMS-0150</t>
  </si>
  <si>
    <t>SL25-SAKS-0104</t>
  </si>
  <si>
    <t>SL25-JKS2-0361</t>
  </si>
  <si>
    <t>MULTI-MISALIGNMENT COUPLING ( FOR 42'' X 84'' )</t>
  </si>
  <si>
    <t>SL25-JKS1-0251</t>
  </si>
  <si>
    <t>SL25-AABM-0182</t>
  </si>
  <si>
    <t>BABA FARID SUGAR MILLS</t>
  </si>
  <si>
    <t>SL25-BFSL-0036</t>
  </si>
  <si>
    <t>REFURBISHMENT OF SHAFT # BABA FARID</t>
  </si>
  <si>
    <t>SL25-JKS2-0366</t>
  </si>
  <si>
    <t>SHAFT FOR CANE CUTTER ASLY.</t>
  </si>
  <si>
    <t>CHASHMA SUGAR MILLS</t>
  </si>
  <si>
    <t>SL25-CHMR-0013</t>
  </si>
  <si>
    <t>SL25-HABL-0254</t>
  </si>
  <si>
    <t>MILL PINION TEETH</t>
  </si>
  <si>
    <t>SL25-BFSL-0032</t>
  </si>
  <si>
    <t>ADAM SUGAR MILLS LTD</t>
  </si>
  <si>
    <t>SL25-ADML-0297</t>
  </si>
  <si>
    <t>SL25-MSCL-0119</t>
  </si>
  <si>
    <t>REFURBISHMENT OF MILL TOP CAP FOR 50” X 100" X 4</t>
  </si>
  <si>
    <t>1 Set</t>
  </si>
  <si>
    <t>SL25-HABL-0262</t>
  </si>
  <si>
    <t>TOP BEARING BOTTOM HALF LINER</t>
  </si>
  <si>
    <t>SL25-FSML-0149</t>
  </si>
  <si>
    <t>ADAM SUGAR MILLS LTD.</t>
  </si>
  <si>
    <t>SL25-ADML-0296</t>
  </si>
  <si>
    <t>SL25-LAYS-0301</t>
  </si>
  <si>
    <t>SL25-LAYS-0304</t>
  </si>
  <si>
    <t>SL25-SSMS-0153</t>
  </si>
  <si>
    <t>SL25-JKS1-0257</t>
  </si>
  <si>
    <t>REAR DISC ASLY</t>
  </si>
  <si>
    <t>SL25-JKS1-0258</t>
  </si>
  <si>
    <t>FRONT DISC ASLY</t>
  </si>
  <si>
    <t>SL25-JKS1-0259</t>
  </si>
  <si>
    <t>MIDDLE DISC ASLY</t>
  </si>
  <si>
    <t>SINDH ABADGAR’S SUGAR MILLS LTD</t>
  </si>
  <si>
    <t>SL25-SASM-0027</t>
  </si>
  <si>
    <t>COMPLETE LOTUS ROLLER ( PITCH - 30 MM )</t>
  </si>
  <si>
    <t>SL25-ALML-0108</t>
  </si>
  <si>
    <t>SL25-AABM-0183</t>
  </si>
  <si>
    <t>SL25-THAS-0080</t>
  </si>
  <si>
    <t>SL25-THAS-0081</t>
  </si>
  <si>
    <t>SL25-JKS2-0374</t>
  </si>
  <si>
    <t>SL25-CHMR-0012</t>
  </si>
  <si>
    <t>SL25-THAS-0082</t>
  </si>
  <si>
    <t>SHAHMURAD SUGAR MILLS LTD</t>
  </si>
  <si>
    <t>SL25-SMSM-0254</t>
  </si>
  <si>
    <t>SL25-LAYS-0300</t>
  </si>
  <si>
    <t>SL25-ASMZ-0058</t>
  </si>
  <si>
    <t>SL25-ASMZ-0059</t>
  </si>
  <si>
    <t>MILL ROLLER SHELL ( UN-GROOVED )</t>
  </si>
  <si>
    <t>SL25-SASM-0026</t>
  </si>
  <si>
    <t>COMPLETE LOTUS ROLLER ( PITCH - 50 MM )</t>
  </si>
  <si>
    <t>PATTOKI SUGAR MILLS LTD</t>
  </si>
  <si>
    <t>SL25-PATS-0060</t>
  </si>
  <si>
    <t>10 Nos.</t>
  </si>
  <si>
    <t>DEHARKI SUGAR MILLS (PVT.) LTD</t>
  </si>
  <si>
    <t>SL25-DSLD-0268</t>
  </si>
  <si>
    <t>SHREDDER SHAFT ( IMPORTED )</t>
  </si>
  <si>
    <t>SL25-HABL-0256</t>
  </si>
  <si>
    <t>SL25-HABL-0260</t>
  </si>
  <si>
    <t>BOTTOM SCRAPER FOR MILL MAX 84''</t>
  </si>
  <si>
    <t>SL25-AABM-0184</t>
  </si>
  <si>
    <t>RE-SHELLING OF TOP MILL ROLLER</t>
  </si>
  <si>
    <t>SL25-HABL-0255</t>
  </si>
  <si>
    <t>AL ABBAS SUGAR MILLS LTD</t>
  </si>
  <si>
    <t>SL25-AABM-0189</t>
  </si>
  <si>
    <t>TOP SCRAPER TEETH PITCH 50MM ( MILLMAX 88’’ )</t>
  </si>
  <si>
    <t>SL25-AABM-0188</t>
  </si>
  <si>
    <t>LOTUS RE-SHELLING OF TOP ROLLER</t>
  </si>
  <si>
    <t>JAUHARABAD SUGAR MILLS</t>
  </si>
  <si>
    <t>SL25-JUHA-0163</t>
  </si>
  <si>
    <t>BOTTOM SCRAPER FOR MCU (PITCH 40 MM)</t>
  </si>
  <si>
    <t>SHAHMURAD SUGAR MILLS</t>
  </si>
  <si>
    <t>SL25-SMSM-0255</t>
  </si>
  <si>
    <t>LOTUS RE-SHELLING OF MILL DISCHARGE ROLLER</t>
  </si>
  <si>
    <t>SL25-HABL-0257</t>
  </si>
  <si>
    <t>SL25-FSML-0151</t>
  </si>
  <si>
    <t>SL25-FSML-0152</t>
  </si>
  <si>
    <t>REMOVAL OF SHAFT FROM SHELL &amp; SHRINK FIT NEW SHAFT</t>
  </si>
  <si>
    <t>SL25-LAYS-0302</t>
  </si>
  <si>
    <t>SL25-LAYS-0303</t>
  </si>
  <si>
    <t>SL25-TSIL-0324</t>
  </si>
  <si>
    <t>SL25-BFSL-0035</t>
  </si>
  <si>
    <t>SHAFT FOR CANE CUTTER</t>
  </si>
  <si>
    <t>SL25-RYKS-0179</t>
  </si>
  <si>
    <t>FORCE FEEDER SHELL</t>
  </si>
  <si>
    <t>SL25-RYKS-0180</t>
  </si>
  <si>
    <t>SL25-HABL-0261</t>
  </si>
  <si>
    <t>BOTTOM SCRAPER FOR MILL MAX 88''</t>
  </si>
  <si>
    <t>RASOOL NAWAZ SUGAR MILLS</t>
  </si>
  <si>
    <t>SL25-RNSM-0055</t>
  </si>
  <si>
    <t>RE-SHELLING OF MILL ROLLER 4-ROLL MILL</t>
  </si>
  <si>
    <t>SL25-JUHA-0159</t>
  </si>
  <si>
    <t>BOTTOM SCRAPER FOR MILLMAX 90” ( PITCH - 50 MM )</t>
  </si>
  <si>
    <t>SL25-JKS1-0266</t>
  </si>
  <si>
    <t>MACHINING OF MILL ROLLER SHAFT</t>
  </si>
  <si>
    <t>SL25-AABM-0185</t>
  </si>
  <si>
    <t>RE-SHELLING OF BOTTOM MILL ROLLER</t>
  </si>
  <si>
    <t>SL25-ADML-0298</t>
  </si>
  <si>
    <t>RE-SHELLING OF LOTUS ROLLER ( PITCH-40 MM )</t>
  </si>
  <si>
    <t>SL25-AABM-0187</t>
  </si>
  <si>
    <t>LOTUS RE-SHELLING OF DISCHARGE ROLLER</t>
  </si>
  <si>
    <t>SL25-SGMS-0096</t>
  </si>
  <si>
    <t>COMPLETE MILL ROLLER SHAFT WITH SHELL (PITCH-60MM)</t>
  </si>
  <si>
    <t>SL25-HABL-0251</t>
  </si>
  <si>
    <t>SL25-SMSM-0256</t>
  </si>
  <si>
    <t>LOTUS RE-SHELLING OF MILL TOP ROLLER (PITCH-50.8MM)</t>
  </si>
  <si>
    <t>BAWANY SUGAR MILLS</t>
  </si>
  <si>
    <t>SL25-BNYS-0036</t>
  </si>
  <si>
    <t>COMPLETE MILL ROLLER</t>
  </si>
  <si>
    <t>SL25-AABM-0190</t>
  </si>
  <si>
    <t>BOTTOM SCRAPER TEETH PITCH 50MM ( MILLMAX 88’’ )</t>
  </si>
  <si>
    <t>SHEIKHOO SUGAR MILLS LTD</t>
  </si>
  <si>
    <t>SL25-SHKS-0235</t>
  </si>
  <si>
    <t>MULTI-MISALIGNMENT COUPLING</t>
  </si>
  <si>
    <t>SL25-CHMB-0017</t>
  </si>
  <si>
    <t>SL25-CHMB-0018</t>
  </si>
  <si>
    <t>MILL ROLLER SHELL</t>
  </si>
  <si>
    <t>SL25-SMSM-0257</t>
  </si>
  <si>
    <t>SL25-MEHS-0340</t>
  </si>
  <si>
    <t>COMPLETE MILL TOP LOTUS ROLLER WITH MILL ROLLER</t>
  </si>
  <si>
    <t>SL25-BFSL-0033</t>
  </si>
  <si>
    <t>SL25-ASHS-0169</t>
  </si>
  <si>
    <t>SL25-AABM-0186</t>
  </si>
  <si>
    <t>SL25-JKS1-0262</t>
  </si>
  <si>
    <t>SL25-JUHA-0157</t>
  </si>
  <si>
    <t>SL25-JUHA-0165</t>
  </si>
  <si>
    <t>REFURBISHMENT OF BEARING JOURNALS OF MILL ROLLER  SHAFT</t>
  </si>
  <si>
    <t>SL25-JUHA-0162</t>
  </si>
  <si>
    <t>SL25-JUHA-0164</t>
  </si>
  <si>
    <t>TOP SCRAPER FOR MCU (PITCH 40 MM)</t>
  </si>
  <si>
    <t>SL25-JUHA-0160</t>
  </si>
  <si>
    <t>TOP SCRAPER FOR MILLMAX 90” ( PITCH - 50 MM )</t>
  </si>
  <si>
    <t>KHOSKI SUGAR MILLS</t>
  </si>
  <si>
    <t>SL25-DHKM-0076</t>
  </si>
  <si>
    <t>SL25-SMSM-0258</t>
  </si>
  <si>
    <t>SL25-ASHS-0170</t>
  </si>
  <si>
    <t>TOP LOTUS ROLLER SHELL ( PITCH-38MM )</t>
  </si>
  <si>
    <t>SL25-ASHS-0168</t>
  </si>
  <si>
    <t>MACHINING OF MILL ROLLER SHAFTS</t>
  </si>
  <si>
    <t>SAFINA SUGAR MILLS LTD</t>
  </si>
  <si>
    <t>SL25-SSMS-0154</t>
  </si>
  <si>
    <t>4 No</t>
  </si>
  <si>
    <t>SL25-JUHA-0158</t>
  </si>
  <si>
    <t>SL25-JUHA-0161</t>
  </si>
  <si>
    <t>NEW DADU SUGAR MILLS</t>
  </si>
  <si>
    <t>SL25-NDSM-0042</t>
  </si>
  <si>
    <t>SL25-ALML-0111</t>
  </si>
  <si>
    <t>BRONZE BEARING LINER ( FOR BOTTOM MILL ROLLER )</t>
  </si>
  <si>
    <t>SL25-ALML-0110</t>
  </si>
  <si>
    <t>BRONZE LINER BOTTOM ( TOP BOTTOM HALF )</t>
  </si>
  <si>
    <t>SL25-NSML-0235</t>
  </si>
  <si>
    <t>SL25-HABL-0252</t>
  </si>
  <si>
    <t>SL25-HABL-0253</t>
  </si>
  <si>
    <t>SPUR PINION TEETH</t>
  </si>
  <si>
    <t>SL25-ALML-0109</t>
  </si>
  <si>
    <t>CAM PIN FOR (50”X100”)</t>
  </si>
  <si>
    <t>SL25-ADML-0299</t>
  </si>
  <si>
    <t>SITE ERECTION &amp; COLD COMMISSIONING OF 44'' X 88'' X  4-ROLL MILL</t>
  </si>
  <si>
    <t>3 Asly</t>
  </si>
  <si>
    <t>SL25-JKS1-0264</t>
  </si>
  <si>
    <t>1ST MOTION PINION SHAFT ( IMPORTED ) WITH KEYS 4-ROLL MILL</t>
  </si>
  <si>
    <t>SL25-JKS1-0265</t>
  </si>
  <si>
    <t>SPUR PINION TEETH - 24 ( IMPORTED )</t>
  </si>
  <si>
    <t>INDUS SUGAR MILLS LTD</t>
  </si>
  <si>
    <t>SL25-ISMP-0124</t>
  </si>
  <si>
    <t>Export</t>
  </si>
  <si>
    <t>41820</t>
  </si>
  <si>
    <t>15/06/2026</t>
  </si>
  <si>
    <t>05/07/2026</t>
  </si>
  <si>
    <t>30/06/2026</t>
  </si>
  <si>
    <t>SUCAF (S) SOMDIAA</t>
  </si>
  <si>
    <t>40265</t>
  </si>
  <si>
    <t>22/06/2026</t>
  </si>
  <si>
    <t>07/07/2026</t>
  </si>
  <si>
    <t>15</t>
  </si>
  <si>
    <t>02/07/2026</t>
  </si>
  <si>
    <t>Under final Packing</t>
  </si>
  <si>
    <t>4025</t>
  </si>
  <si>
    <t>10/06/2026</t>
  </si>
  <si>
    <t>27</t>
  </si>
  <si>
    <t>STPC-0050+51+56</t>
  </si>
  <si>
    <t>47768</t>
  </si>
  <si>
    <t>49568</t>
  </si>
  <si>
    <t>86267</t>
  </si>
  <si>
    <t>11000</t>
  </si>
  <si>
    <t>12500</t>
  </si>
  <si>
    <t>115290</t>
  </si>
  <si>
    <t>17/06/2026</t>
  </si>
  <si>
    <t>08/07/2026</t>
  </si>
  <si>
    <t>21</t>
  </si>
  <si>
    <t>03/07/2026</t>
  </si>
  <si>
    <t>SUMF-0027</t>
  </si>
  <si>
    <t>17340</t>
  </si>
  <si>
    <t>17685</t>
  </si>
  <si>
    <t>37670</t>
  </si>
  <si>
    <t>10/07/2026</t>
  </si>
  <si>
    <t>SUMF-0028+29</t>
  </si>
  <si>
    <t>34680</t>
  </si>
  <si>
    <t>35280</t>
  </si>
  <si>
    <t>75340</t>
  </si>
  <si>
    <t>25/06/2026</t>
  </si>
  <si>
    <t>-5</t>
  </si>
  <si>
    <t>SNCH-0043+45</t>
  </si>
  <si>
    <t>12660</t>
  </si>
  <si>
    <t>13280</t>
  </si>
  <si>
    <t>344780</t>
  </si>
  <si>
    <t>15/07/2026</t>
  </si>
  <si>
    <t>STPC-0049+52+57</t>
  </si>
  <si>
    <t>57303</t>
  </si>
  <si>
    <t>58907</t>
  </si>
  <si>
    <t>102475</t>
  </si>
  <si>
    <t>10/08/2026</t>
  </si>
  <si>
    <t>05/08/2026</t>
  </si>
  <si>
    <t>SNCH-0044</t>
  </si>
  <si>
    <t>15/08/2026</t>
  </si>
  <si>
    <t>25/08/2026</t>
  </si>
  <si>
    <t>20/08/2026</t>
  </si>
  <si>
    <t>SKOM-0068+69</t>
  </si>
  <si>
    <t>04/09/2026</t>
  </si>
  <si>
    <t>30/08/2026</t>
  </si>
  <si>
    <t>17/09/2026</t>
  </si>
  <si>
    <t>12/09/2026</t>
  </si>
  <si>
    <t>25/09/2026</t>
  </si>
  <si>
    <t>20/09/2026</t>
  </si>
  <si>
    <t>SCHD-0001+0002</t>
  </si>
  <si>
    <t>01/10/2026</t>
  </si>
  <si>
    <t>26/09/2026</t>
  </si>
  <si>
    <t>SMHE-0084+85+86</t>
  </si>
  <si>
    <t>10/10/2026</t>
  </si>
  <si>
    <t>05/10/2026</t>
  </si>
  <si>
    <t>2463rd</t>
  </si>
  <si>
    <t>SDWA-0037</t>
  </si>
  <si>
    <t>Tailbar</t>
  </si>
  <si>
    <t>SNOO-0101+0102+0103+0104+0105+0106+0107</t>
  </si>
  <si>
    <t>SNOO-0100</t>
  </si>
  <si>
    <t>2473rd</t>
  </si>
  <si>
    <t>SNAK-0115</t>
  </si>
  <si>
    <t>2474th</t>
  </si>
  <si>
    <t>Elevator Head Shaft for Intercarrier</t>
  </si>
  <si>
    <t>2461st</t>
  </si>
  <si>
    <t>2460th</t>
  </si>
  <si>
    <t>CANCELED</t>
  </si>
  <si>
    <t>1000000</t>
  </si>
  <si>
    <t>05/03/2026</t>
  </si>
  <si>
    <t>08/06/2026</t>
  </si>
  <si>
    <t>95</t>
  </si>
  <si>
    <t>03/06/2026</t>
  </si>
  <si>
    <t>30000</t>
  </si>
  <si>
    <t>31/05/2026</t>
  </si>
  <si>
    <t>18/06/2026</t>
  </si>
  <si>
    <t>19</t>
  </si>
  <si>
    <t>13/06/2026</t>
  </si>
  <si>
    <t>127500</t>
  </si>
  <si>
    <t>23/06/2026</t>
  </si>
  <si>
    <t>BAIS-0029+30</t>
  </si>
  <si>
    <t>36400</t>
  </si>
  <si>
    <t>37050</t>
  </si>
  <si>
    <t>113610</t>
  </si>
  <si>
    <t>04/07/2026</t>
  </si>
  <si>
    <t>29/06/2026</t>
  </si>
  <si>
    <t>27975</t>
  </si>
  <si>
    <t>28575</t>
  </si>
  <si>
    <t>37720</t>
  </si>
  <si>
    <t>06/07/2026</t>
  </si>
  <si>
    <t>-1</t>
  </si>
  <si>
    <t>25461</t>
  </si>
  <si>
    <t>30/05/2026</t>
  </si>
  <si>
    <t>38</t>
  </si>
  <si>
    <t>IOL MEMO NO. 211 - 2082</t>
  </si>
  <si>
    <t>3466</t>
  </si>
  <si>
    <t>3810</t>
  </si>
  <si>
    <t>IOL MEMO NO. 211 - 2110</t>
  </si>
  <si>
    <t>15996</t>
  </si>
  <si>
    <t>16200</t>
  </si>
  <si>
    <t>189358</t>
  </si>
  <si>
    <t>2nd Part load with 2415</t>
  </si>
  <si>
    <t>BAIS-0028</t>
  </si>
  <si>
    <t>18200</t>
  </si>
  <si>
    <t>18530</t>
  </si>
  <si>
    <t>12/07/2026</t>
  </si>
  <si>
    <t>26520</t>
  </si>
  <si>
    <t>26960</t>
  </si>
  <si>
    <t>52100</t>
  </si>
  <si>
    <t>13/07/2026</t>
  </si>
  <si>
    <t>CASA-0038</t>
  </si>
  <si>
    <t>38761</t>
  </si>
  <si>
    <t>26/06/2026</t>
  </si>
  <si>
    <t>24/07/2026</t>
  </si>
  <si>
    <t>19/07/2026</t>
  </si>
  <si>
    <t>Ship with 2417</t>
  </si>
  <si>
    <t>610</t>
  </si>
  <si>
    <t>960</t>
  </si>
  <si>
    <t>28800</t>
  </si>
  <si>
    <t>25/07/2026</t>
  </si>
  <si>
    <t>20/07/2026</t>
  </si>
  <si>
    <t>33925</t>
  </si>
  <si>
    <t>36025</t>
  </si>
  <si>
    <t>221555</t>
  </si>
  <si>
    <t>14500</t>
  </si>
  <si>
    <t>15100</t>
  </si>
  <si>
    <t>38960</t>
  </si>
  <si>
    <t>30/07/2026</t>
  </si>
  <si>
    <t>17268</t>
  </si>
  <si>
    <t>21270</t>
  </si>
  <si>
    <t>ISCR-0013</t>
  </si>
  <si>
    <t>1050</t>
  </si>
  <si>
    <t>80000</t>
  </si>
  <si>
    <t>31/07/2026</t>
  </si>
  <si>
    <t>Ship with 2435</t>
  </si>
  <si>
    <t>INDO SUTECH</t>
  </si>
  <si>
    <t>2458th</t>
  </si>
  <si>
    <t>ADKG-0001</t>
  </si>
  <si>
    <t>Feed Roller</t>
  </si>
  <si>
    <t>18/09/2026</t>
  </si>
  <si>
    <t>13/09/2026</t>
  </si>
  <si>
    <t>20/10/2026</t>
  </si>
  <si>
    <t>15/10/2026</t>
  </si>
  <si>
    <t>CASA-0041+42+43</t>
  </si>
  <si>
    <t>CANCELLED</t>
  </si>
  <si>
    <t>IPBJ-0107+0108+0109+0110</t>
  </si>
  <si>
    <t>4 Asly</t>
  </si>
  <si>
    <t>CIA. AZUCARERA CHUMBAGUA</t>
  </si>
  <si>
    <t>CHUM-0001+0002</t>
  </si>
  <si>
    <t>MANUELITA</t>
  </si>
  <si>
    <t>2457th</t>
  </si>
  <si>
    <t>MLTS-0035</t>
  </si>
  <si>
    <t>2462nd</t>
  </si>
  <si>
    <t>ISCR-0014</t>
  </si>
  <si>
    <t>Drive Pinion</t>
  </si>
  <si>
    <t>GREEN FUEL</t>
  </si>
  <si>
    <t>2465th</t>
  </si>
  <si>
    <t>GFUL-0145+146+147+148+149+150+151+152+153+154+155+156+157+158</t>
  </si>
  <si>
    <t>212</t>
  </si>
  <si>
    <t>2477th</t>
  </si>
  <si>
    <t>CSSR-0002</t>
  </si>
  <si>
    <t>Bottom Bearing Liner</t>
  </si>
  <si>
    <t>2459th</t>
  </si>
  <si>
    <t>Pin Dia, Eye Bolt</t>
  </si>
  <si>
    <t>2464th</t>
  </si>
  <si>
    <t>FCGL-0628 0629+0630+0631</t>
  </si>
  <si>
    <t>BELIZE</t>
  </si>
  <si>
    <t>2466th</t>
  </si>
  <si>
    <t>BLIZ-0003 ( 1st Batch ) + SE26-BLIZ-0003 ( 2nd Batch )</t>
  </si>
  <si>
    <t>2467th</t>
  </si>
  <si>
    <t>PONGOLA</t>
  </si>
  <si>
    <t>2468th</t>
  </si>
  <si>
    <t>Mill  Components 36 x 72 x 4 Roll</t>
  </si>
  <si>
    <t>2469th</t>
  </si>
  <si>
    <t>Head Stock</t>
  </si>
  <si>
    <t>2470th</t>
  </si>
  <si>
    <t>2471st</t>
  </si>
  <si>
    <t>Shaft</t>
  </si>
  <si>
    <t>RAYONG</t>
  </si>
  <si>
    <t>2472nd</t>
  </si>
  <si>
    <t>2475th</t>
  </si>
  <si>
    <t>2476th</t>
  </si>
  <si>
    <t>Cement</t>
  </si>
  <si>
    <t>CHERAT CEMENT</t>
  </si>
  <si>
    <t>Gate Out</t>
  </si>
  <si>
    <t>ATTOCK</t>
  </si>
  <si>
    <t>BI-METALLIC HAMMER</t>
  </si>
  <si>
    <t>QCL + QEN</t>
  </si>
  <si>
    <t>LUCKY CEMENT</t>
  </si>
  <si>
    <t>CRUSHING RING FOR IKN COOLER</t>
  </si>
  <si>
    <t>DG KHAN</t>
  </si>
  <si>
    <t>CFG GRATE PLATE KQ-1901, WITH HARDWARE</t>
  </si>
  <si>
    <t>RFT GRATE PLATE KQ-1902, WITH HARDWARE</t>
  </si>
  <si>
    <t>RIDGE FOR COANDA NOZZLE</t>
  </si>
  <si>
    <t>GUILLOTINE FOR COANDA NOZZLE</t>
  </si>
  <si>
    <t>LUCKY  CEMENT</t>
  </si>
  <si>
    <t>FAUJI JHANG BAHATAR</t>
  </si>
  <si>
    <t>CONVEYOR ELEMENT MAT#10313512</t>
  </si>
  <si>
    <t>PINS FOR TRANSPORT TRACKS MTR 10314950</t>
  </si>
  <si>
    <t>PIONEER CEMENT</t>
  </si>
  <si>
    <t>PINS</t>
  </si>
  <si>
    <t>DRIVE END COVER OF ROTARY  FEEDER</t>
  </si>
  <si>
    <t>QEN / QE</t>
  </si>
  <si>
    <t>NON-DRIVE END COVER OF ROTARY  FEEDER</t>
  </si>
  <si>
    <t>BESTWAY CEMENT-HATTAR PLANT</t>
  </si>
  <si>
    <t>BLASTER NOZZLE FOR KILN INLET</t>
  </si>
  <si>
    <t>ATTOCK CEMENT</t>
  </si>
  <si>
    <t>CONNECTING CLAMP</t>
  </si>
  <si>
    <t>LUCKY CEMENT-KARACHI PLANT</t>
  </si>
  <si>
    <t>GYPSUM CRUSHER</t>
  </si>
  <si>
    <t>BRACKETS FOR FEEDING TONGUE</t>
  </si>
  <si>
    <t>FEEDING TONGUE</t>
  </si>
  <si>
    <t>WEDGE STEEL FOR FEEDING TONGUE</t>
  </si>
  <si>
    <t>THATTA</t>
  </si>
  <si>
    <t>KILN SUPPORTING ROLLER</t>
  </si>
  <si>
    <t>BEARING SUPPORT FOR ROLLER</t>
  </si>
  <si>
    <t>SUSPENSION PLATE</t>
  </si>
  <si>
    <t>OVAL HEAD BOLT</t>
  </si>
  <si>
    <t>DEWAN CEMENT-KHI</t>
  </si>
  <si>
    <t>SECTOR PLATE WITH BOLT ASLY.</t>
  </si>
  <si>
    <t>MAPLE LEAF CEMENT LTD</t>
  </si>
  <si>
    <t>DEWAN CEMENT</t>
  </si>
  <si>
    <t>NOSE RING PLATE</t>
  </si>
  <si>
    <t>DG KHAN CEMENT-KOFLI PLANT</t>
  </si>
  <si>
    <t>GRATE PLATE</t>
  </si>
  <si>
    <t>DEWAN</t>
  </si>
  <si>
    <t>DIP TUBE SEGMENT # 1</t>
  </si>
  <si>
    <t>DIP TUBE SEGMENT # 2</t>
  </si>
  <si>
    <t>DIP TUBE SEGMENT # 3 A</t>
  </si>
  <si>
    <t>DIP TUBE SEGMENT # 3 B</t>
  </si>
  <si>
    <t>DIP TUBE SEGMENT # 4</t>
  </si>
  <si>
    <t>DIP TUBE LOCK SEGMENT</t>
  </si>
  <si>
    <t>GHARIBWAL CEMENT</t>
  </si>
  <si>
    <t>HAMMER FOR LIME</t>
  </si>
  <si>
    <t>KOHAT CEMENT</t>
  </si>
  <si>
    <t>U-PROFILE</t>
  </si>
  <si>
    <t>CROSS BAR</t>
  </si>
  <si>
    <t>SHAFT FLAP DAMPER</t>
  </si>
  <si>
    <t>FLAP DAMPER</t>
  </si>
  <si>
    <t>LUCKY</t>
  </si>
  <si>
    <t>STRAINING SCREW AND SQUARE NUT FOR COANDA NOZZLE</t>
  </si>
  <si>
    <t>BLADE FIRST OF 25/0 IKN- TYPE IKN 494-2-23</t>
  </si>
  <si>
    <t>CENTRAL BLADE FOR COANDA NOZZLE</t>
  </si>
  <si>
    <t>PLATE FRONT RC 200 IKN</t>
  </si>
  <si>
    <t>BESTWAY CEMENT</t>
  </si>
  <si>
    <t>DRIVEN SPROCKET 940X475X48MM</t>
  </si>
  <si>
    <t>VC</t>
  </si>
  <si>
    <t>DRIVE SPROCKET 940X475X48 MM</t>
  </si>
  <si>
    <t>FAUJI CEMENT-WAH</t>
  </si>
  <si>
    <t>UPPER SEALING PLATE</t>
  </si>
  <si>
    <t>GRATE PLATE TYPE-C</t>
  </si>
  <si>
    <t>PIONEER</t>
  </si>
  <si>
    <t>WOBBLER SHAFT</t>
  </si>
  <si>
    <t>Gateout</t>
  </si>
  <si>
    <t>POWER CEMENT</t>
  </si>
  <si>
    <t>OUT LET BAR</t>
  </si>
  <si>
    <t>INLET CROSS BAR</t>
  </si>
  <si>
    <t>BESTWAY CEMENT- HATTAR PLANT</t>
  </si>
  <si>
    <t>INLET U-PROFILE KJ-0261</t>
  </si>
  <si>
    <t>Gate out</t>
  </si>
  <si>
    <t>CRUSHING RING</t>
  </si>
  <si>
    <t>CRUSHING RING P#S001.13.2587</t>
  </si>
  <si>
    <t>WEAR RING P#S001.13.2502</t>
  </si>
  <si>
    <t>SPACER RING</t>
  </si>
  <si>
    <t>HUB CASTING MACHINE</t>
  </si>
  <si>
    <t>TOP SEGMENT PLATE</t>
  </si>
  <si>
    <t>HANGER</t>
  </si>
  <si>
    <t>SEGMENT PLATE</t>
  </si>
  <si>
    <t>LOCK SEGMENT</t>
  </si>
  <si>
    <t>MACHINING OF MB PFISTER- UPPER SEALING PLATE</t>
  </si>
  <si>
    <t>PC PFISTER- UPPER SEALING PLATE</t>
  </si>
  <si>
    <t>HEAD SPROCKET</t>
  </si>
  <si>
    <t>GREAT BASKET SEGMENT</t>
  </si>
  <si>
    <t>CROSS BAR+U-Profile</t>
  </si>
  <si>
    <t>ANCHOR BOLT</t>
  </si>
  <si>
    <t>NUTS</t>
  </si>
  <si>
    <t>DISK SPRING</t>
  </si>
  <si>
    <t>DIP TUBE</t>
  </si>
  <si>
    <t>LINK BLOCKS</t>
  </si>
  <si>
    <t>BARREL</t>
  </si>
  <si>
    <t>GD KHAN CEMENT</t>
  </si>
  <si>
    <t>KILN RISER</t>
  </si>
  <si>
    <t>INLET SECTOR PLATE</t>
  </si>
  <si>
    <t>BOLTS+NUTS+WASHER</t>
  </si>
  <si>
    <t>GRATE BASKET SEGMENT</t>
  </si>
  <si>
    <t>MAPLE LEAF CEMENT</t>
  </si>
  <si>
    <t>CYLINDER PISTON ROD</t>
  </si>
  <si>
    <t>RE-CHROMING OF PISTON ROD</t>
  </si>
  <si>
    <t>PFISTER PLATES</t>
  </si>
  <si>
    <t>MAPLE LEAF  CEMENT</t>
  </si>
  <si>
    <t>MANUFACTURING OF KILN SUPPORT ROLLER SHAFT</t>
  </si>
  <si>
    <t>RE-CHROMING OF HYDRAULIC</t>
  </si>
  <si>
    <t>KILN SHELL</t>
  </si>
  <si>
    <t>FIRST BLADE FOR COANDA NOZZLE</t>
  </si>
  <si>
    <t>FINAL BLADE FOR COANDA NOZZLE</t>
  </si>
  <si>
    <t>CENTRAL BLADE</t>
  </si>
  <si>
    <t>RETAINER RING</t>
  </si>
  <si>
    <t>HANGING SEGMENT</t>
  </si>
  <si>
    <t>NOSE RING SEGMENT</t>
  </si>
  <si>
    <t>REFLECT PLATE THICK</t>
  </si>
  <si>
    <t>DANDOT CEMENT</t>
  </si>
  <si>
    <t>GEAR COUPLING</t>
  </si>
  <si>
    <t>LUCKY CEMENT-PEZU PLANT</t>
  </si>
  <si>
    <t>SQUARE HEAD BOLTS</t>
  </si>
  <si>
    <t>LUCKY CEMENT khi</t>
  </si>
  <si>
    <t>GRINDING BEAM</t>
  </si>
  <si>
    <t>HARDWARE + COMPLETE DIP TUBE</t>
  </si>
  <si>
    <t>FECTO CEMENT</t>
  </si>
  <si>
    <t>HAMMER FOR CRUSHER</t>
  </si>
  <si>
    <t>SIDE HAMMER</t>
  </si>
  <si>
    <t>HARD-CHROMING OF PISTON RODS</t>
  </si>
  <si>
    <t>FLAP VALVE</t>
  </si>
  <si>
    <t>POLISHING</t>
  </si>
  <si>
    <t>INLET CAST SEGMENT</t>
  </si>
  <si>
    <t>HEX BOLT M30X130 DOUBLE NUT AND WASHERS</t>
  </si>
  <si>
    <t>HEX BOLT M30X110 DOUBLE NUT AND WASHERS</t>
  </si>
  <si>
    <t>CROSS BAR LONG ( KJ-0248)</t>
  </si>
  <si>
    <t>U-PROFILE ( KJ-0238)</t>
  </si>
  <si>
    <t>HAMMERS</t>
  </si>
  <si>
    <t>EYE HOOK-APD</t>
  </si>
  <si>
    <t>BEARING HOUSING</t>
  </si>
  <si>
    <t>ANVIL FOR L/S CRUSHER</t>
  </si>
  <si>
    <t>BESTWAY CEMENT- KALLAR KAHAR PLANT</t>
  </si>
  <si>
    <t>FLSMIDTH</t>
  </si>
  <si>
    <t>GRAPHITE ADAPTOR</t>
  </si>
  <si>
    <t>SPRING PIN 5X30</t>
  </si>
  <si>
    <t>BRACKET FOR WIRE ARRANGEMENT</t>
  </si>
  <si>
    <t>WHEEL BRACKET LEFT</t>
  </si>
  <si>
    <t>WHEEL BRACKET RIGHT</t>
  </si>
  <si>
    <t>WHEEL</t>
  </si>
  <si>
    <t>DG KHAN CEMENT</t>
  </si>
  <si>
    <t>OUTLET GRATE BAR</t>
  </si>
  <si>
    <t>DG KHAN CEMENT- KHAIRPUR PLANT</t>
  </si>
  <si>
    <t>DAM RING SEGMENT</t>
  </si>
  <si>
    <t>SHIM SEGMENT</t>
  </si>
  <si>
    <t>HAMMER FOR ADDITIVE CRUSHER</t>
  </si>
  <si>
    <t>CHERAT CEMENT LTD.</t>
  </si>
  <si>
    <t>LINK BLOCK</t>
  </si>
  <si>
    <t>WEAR BOARD L/S MOVABLE</t>
  </si>
  <si>
    <t>WEAR BOARD R/D MOVABLE</t>
  </si>
  <si>
    <t>DG KHAN CEMENT LTD-Khirpur</t>
  </si>
  <si>
    <t>INLET SECTOR</t>
  </si>
  <si>
    <t>HEX HEAD BOLT, NUTS, WASHER M33X2X130</t>
  </si>
  <si>
    <t>THATTA CEMENT</t>
  </si>
  <si>
    <t>BEARING METAL FOR SUPPORTING</t>
  </si>
  <si>
    <t>DG KHAN CEMENT- KOFLI PLANT</t>
  </si>
  <si>
    <t>NORMAL ELEMENT</t>
  </si>
  <si>
    <t>HAMMER FOR LIME STONE CRUSHER</t>
  </si>
  <si>
    <t>BESTWAY CEMENT LTD</t>
  </si>
  <si>
    <t>TOOTHED HAMMER</t>
  </si>
  <si>
    <t>PLAIN HAMMER</t>
  </si>
  <si>
    <t>DEWAN CEMENT LTD</t>
  </si>
  <si>
    <t>DIP TUBE SEGMENT# 1</t>
  </si>
  <si>
    <t>SEGMENT PLATE-1</t>
  </si>
  <si>
    <t>HANGER FOR DIP TUBE</t>
  </si>
  <si>
    <t>FAUJI CEMENT COMPANY</t>
  </si>
  <si>
    <t>SHEET SPRING 4.0</t>
  </si>
  <si>
    <t>FAUJI CEMENT - NIZAMPUR</t>
  </si>
  <si>
    <t>LOWER SEALING PLATE PFISTER</t>
  </si>
  <si>
    <t>UPPER SEALING PLATE PFISTER</t>
  </si>
  <si>
    <t>POWER CEMENT LTD</t>
  </si>
  <si>
    <t>NORMAL ELEMENT (KY-0240)</t>
  </si>
  <si>
    <t>NORMAL ELEMENT ( KY-0284)</t>
  </si>
  <si>
    <t>LOCK ELEMENT (KY-0242</t>
  </si>
  <si>
    <t>U-PROFILE (KJ-0232)</t>
  </si>
  <si>
    <t>INLET CROSS BAR (KJ-0248)</t>
  </si>
  <si>
    <t>U-PROFILE OUTLET 7L (KJ-0236)</t>
  </si>
  <si>
    <t>CROSS BAR (KJ-0239)</t>
  </si>
  <si>
    <t>CROSS BAR 240 KJ-0303</t>
  </si>
  <si>
    <t>CROSS BAR 242 KJ-0307</t>
  </si>
  <si>
    <t>CROSS BAR KJ-0239</t>
  </si>
  <si>
    <t>INLET U-PROFILE KJ-261</t>
  </si>
  <si>
    <t>U-PROFILE INLET KJ-0260</t>
  </si>
  <si>
    <t>FAUJI CEMENT COMPANY LTD</t>
  </si>
  <si>
    <t>FENCE GATE FOR L/S CRUSHER</t>
  </si>
  <si>
    <t>CONNECTING CLAMP HYD. JACK</t>
  </si>
  <si>
    <t>EYE HOOK FOR HYD. CYLINDER</t>
  </si>
  <si>
    <t>KOHAT CEMENT COMPANY LTD. KOHAT</t>
  </si>
  <si>
    <t>SHELDING PLATE</t>
  </si>
  <si>
    <t>HARDWARE</t>
  </si>
  <si>
    <t>FINAL BLADE P#M11605020010086N-W+GUILLOTINE, FIXED P#M11605010010070N-S</t>
  </si>
  <si>
    <t>CHERAT CEMENT LTD</t>
  </si>
  <si>
    <t>FEEDING TONGUE P</t>
  </si>
  <si>
    <t>BOLT M30X150</t>
  </si>
  <si>
    <t>NUT M30</t>
  </si>
  <si>
    <t>FAUJI CEMENT COMPANY LTD. - WAH</t>
  </si>
  <si>
    <t>DRAG CHAIN STRAND</t>
  </si>
  <si>
    <t>KOHAT CEMENT COMPANY</t>
  </si>
  <si>
    <t>FAUJI CEMENT</t>
  </si>
  <si>
    <t>LINING PLATE XP-246</t>
  </si>
  <si>
    <t>PLATE STEP LINING XP-55</t>
  </si>
  <si>
    <t>SEALING ANGLE 4.0</t>
  </si>
  <si>
    <t>ROHRI CEMENT LTD</t>
  </si>
  <si>
    <t>HAMMERS FOR LIMESTONE CRUSHER</t>
  </si>
  <si>
    <t>Bestway Cement Ltd. - Kallar</t>
  </si>
  <si>
    <t>CLAMP FOR WEAR SEGMENT</t>
  </si>
  <si>
    <t>DIP TUBE PLATE -1</t>
  </si>
  <si>
    <t>DIP TUBES OF CYLCONE C2 A &amp; B</t>
  </si>
  <si>
    <t>DIP TUBES OF CYCLONE C3 A &amp; B</t>
  </si>
  <si>
    <t>COLD HEAD PLATE</t>
  </si>
  <si>
    <t>DEWAN CEMENT-HATTAR PLANT</t>
  </si>
  <si>
    <t>WARM HEAD PLATE</t>
  </si>
  <si>
    <t>BI-METALLIC HAMMER OF LIMESTONE CRUSHER</t>
  </si>
  <si>
    <t>LONGITUDINAL SEALING 4.0</t>
  </si>
  <si>
    <t>Size Pending</t>
  </si>
  <si>
    <t>SEALING ANGLE</t>
  </si>
  <si>
    <t>RIDGE P</t>
  </si>
  <si>
    <t>FIRST BLADE</t>
  </si>
  <si>
    <t>FINAL BLADE MOVEA</t>
  </si>
  <si>
    <t>RFT GRATE PLATE</t>
  </si>
  <si>
    <t>Un-Packed</t>
  </si>
  <si>
    <t>Plastic Wrap</t>
  </si>
  <si>
    <t>DG KHAN CEMENT LTD. - KOFLI PLANT</t>
  </si>
  <si>
    <t>CROSS BAR KJ-0145</t>
  </si>
  <si>
    <t>CROSS BAR KJ-0154</t>
  </si>
  <si>
    <t>SIDE SEALING LIPS R.H</t>
  </si>
  <si>
    <t>SIDE SEALING LIPS L.H</t>
  </si>
  <si>
    <t>SIDE LINER</t>
  </si>
  <si>
    <t>UNIVERSAL STEEL CASTING TRADERS</t>
  </si>
  <si>
    <t>STATIONERY JAW PLATE SIZES: W: 28” * L: 37.5”</t>
  </si>
  <si>
    <t>STATIONERY JAW PLATE SIZES W: 21.5” * L: 31.5”</t>
  </si>
  <si>
    <t>BESTWAY CEMENT LTD. - CHAKWAL PLANT</t>
  </si>
  <si>
    <t>CLINKER BREAKER HAMMER</t>
  </si>
  <si>
    <t>HAMMER PINS FOR CLINKER BREAKER</t>
  </si>
  <si>
    <t>LINER PLATE 4 TKPC 20D22-4</t>
  </si>
  <si>
    <t>LINER 7 TKPC 20D22-7</t>
  </si>
  <si>
    <t>LINER 8 TKPC 20D22-8</t>
  </si>
  <si>
    <t>LINER 9 TKPC 20D22-9</t>
  </si>
  <si>
    <t>LINER 10 TKPC 20D22-10</t>
  </si>
  <si>
    <t>LINER 11 TKPC 20D22-11</t>
  </si>
  <si>
    <t>LINER 14 TKPC 20D22-14</t>
  </si>
  <si>
    <t>HOLLOW SHAFT</t>
  </si>
  <si>
    <t>PROTECTION PLATE OUTLET</t>
  </si>
  <si>
    <t>FINAL BLADE P#M11605020010086N-W</t>
  </si>
  <si>
    <t>GUILLOTINE, FIXED P#M11605010010070N-S</t>
  </si>
  <si>
    <t>SHAFT P#M11613600010068N-W COOLER CRUSHER</t>
  </si>
  <si>
    <t>ATTOCK CEMENT PAKISTAN LTD.</t>
  </si>
  <si>
    <t>MB PFISTER UPPER SEALING PLATE</t>
  </si>
  <si>
    <t>MB PFISTER LOWER SEALING PLATE</t>
  </si>
  <si>
    <t>FLAP DAMPER ASSEMBLY</t>
  </si>
  <si>
    <t>HAMMER TECPS17008.1-10</t>
  </si>
  <si>
    <t>MAPLE LEAF CEMENT LTD.</t>
  </si>
  <si>
    <t>RE-CHROMING OF HYDRAULIC CYLINDER</t>
  </si>
  <si>
    <t>RE-CHROMING OF HYDRAULIC CYLINDER PISTON ROD</t>
  </si>
  <si>
    <t>LUCKY CEMENT LTD. - PEZU PLANT</t>
  </si>
  <si>
    <t>FLAP VALVE WITH SHAFTS</t>
  </si>
  <si>
    <t>DANDOT CEMENT LIMITED</t>
  </si>
  <si>
    <t>SWING JAW PLATE (LOWER)</t>
  </si>
  <si>
    <t>UPPER SWING JAW PLATE</t>
  </si>
  <si>
    <t>FAUJI CEMENT COMPANY LTD. - DG KHAN</t>
  </si>
  <si>
    <t>POWER CEMENT LTD.</t>
  </si>
  <si>
    <t>OUTER SEAL RING</t>
  </si>
  <si>
    <t>BUSHING</t>
  </si>
  <si>
    <t>WEAR TUBE FOR JOINT HEAD</t>
  </si>
  <si>
    <t>BESTWAY CEMENT LTD. - HATTAR PLANT</t>
  </si>
  <si>
    <t>SNAP RING</t>
  </si>
  <si>
    <t>BODY LINER OF GYPSUM CRUSHER</t>
  </si>
  <si>
    <t>DEWAN CEMENT LTD. - KARACHI PLANT</t>
  </si>
  <si>
    <t>MACHINING SERVICES OF PFISTER ROTOR</t>
  </si>
  <si>
    <t>MACHINING OF PFISTER UPPER SEALING PLATE</t>
  </si>
  <si>
    <t>MACHINING OF PFISTER LOWER SEALING PLATE</t>
  </si>
  <si>
    <t>DG KHAN CEMENT LTD. - HUB PLANT</t>
  </si>
  <si>
    <t>TRAVEL WHEEL FOR ADDITIVE RECLAIMER</t>
  </si>
  <si>
    <t>HAMMERS WITH TIC INSERTS</t>
  </si>
  <si>
    <t>Fauji Cement Company Ltd. - Nizampur</t>
  </si>
  <si>
    <t>GRATE PLATE TYPE - C</t>
  </si>
  <si>
    <t>LUCKY CEMENT LTD. - KARACHI PLANT</t>
  </si>
  <si>
    <t>RE-SHELLING OF KILN SUPPORTING ROLLERS</t>
  </si>
  <si>
    <t>08/04/2026 12:00:00 am</t>
  </si>
  <si>
    <t>KILN TROUGH PLATE</t>
  </si>
  <si>
    <t>DG KHAN CEMENT LTD</t>
  </si>
  <si>
    <t>HAMMER (PP-2969)</t>
  </si>
  <si>
    <t>LUCKY CEMENT LTD</t>
  </si>
  <si>
    <t>DIP TUBE COMPLETE CYCLONE #C5</t>
  </si>
  <si>
    <t>DEWAN CEMENT LTD.</t>
  </si>
  <si>
    <t>FINAL BLADE</t>
  </si>
  <si>
    <t>THRUST ROLLER ROTARY KILN LINE-2</t>
  </si>
  <si>
    <t>21/01/2026</t>
  </si>
  <si>
    <t>167</t>
  </si>
  <si>
    <t>16/03/2026</t>
  </si>
  <si>
    <t>113</t>
  </si>
  <si>
    <t>05/06/2026</t>
  </si>
  <si>
    <t>1695</t>
  </si>
  <si>
    <t>1845</t>
  </si>
  <si>
    <t>42635</t>
  </si>
  <si>
    <t>44420</t>
  </si>
  <si>
    <t>1155</t>
  </si>
  <si>
    <t>1205</t>
  </si>
  <si>
    <t>12112</t>
  </si>
  <si>
    <t>46210</t>
  </si>
  <si>
    <t>05/04/2026</t>
  </si>
  <si>
    <t>-46213</t>
  </si>
  <si>
    <t>FULLER TECHNOLOGIES</t>
  </si>
  <si>
    <t>MO-0158</t>
  </si>
  <si>
    <t>FLTD-0006+FLTD-0007</t>
  </si>
  <si>
    <t>HAMMER +GRATE BARS</t>
  </si>
  <si>
    <t>12+33</t>
  </si>
  <si>
    <t>MO-0163</t>
  </si>
  <si>
    <t>FLTD-0008+0009</t>
  </si>
  <si>
    <t>HAMMER (PP-2969) + HAMMER (PP-2940)</t>
  </si>
  <si>
    <t>240 + 288</t>
  </si>
  <si>
    <t>MO-0166</t>
  </si>
  <si>
    <t>FLTB-0002</t>
  </si>
  <si>
    <t>2100</t>
  </si>
  <si>
    <t>30/09/2025</t>
  </si>
  <si>
    <t>293</t>
  </si>
  <si>
    <t>25/09/2025</t>
  </si>
  <si>
    <t>25/11/2025</t>
  </si>
  <si>
    <t>01/07/2026</t>
  </si>
  <si>
    <t>218</t>
  </si>
  <si>
    <t>20/11/2025</t>
  </si>
  <si>
    <t>AFRISAM CEMENT</t>
  </si>
  <si>
    <t>MO-0159</t>
  </si>
  <si>
    <t>AFVP-0001+ AFVP-0003</t>
  </si>
  <si>
    <t>GIRTH GEAR+HARDWARE ACCESSORIES</t>
  </si>
  <si>
    <t>17/11/2026</t>
  </si>
  <si>
    <t>357</t>
  </si>
  <si>
    <t>TEXAS-SHREDDER LINDEMANN</t>
  </si>
  <si>
    <t>MO-0162</t>
  </si>
  <si>
    <t>TSLU-0001+0002+0003+0004+0005+0006+0008+0009+0010+0011+0012+0013+0014+0015+0016</t>
  </si>
  <si>
    <t>TEXAS-SHREDDER</t>
  </si>
  <si>
    <t>31/10/2026</t>
  </si>
  <si>
    <t>MO-0160</t>
  </si>
  <si>
    <t>AFVP-0002</t>
  </si>
  <si>
    <t>PINION</t>
  </si>
  <si>
    <t>1040</t>
  </si>
  <si>
    <t>1200</t>
  </si>
  <si>
    <t>20/10/2025</t>
  </si>
  <si>
    <t>376</t>
  </si>
  <si>
    <t>15/10/2025</t>
  </si>
  <si>
    <t>MO-0154</t>
  </si>
  <si>
    <t>AFRL-0001+0002+0003+0004+0005+0006+0007+0008+0009+0010+0011+0012+0013+0014+0015</t>
  </si>
  <si>
    <t>396</t>
  </si>
  <si>
    <t>NYUMBA YA AKIBA SA</t>
  </si>
  <si>
    <t>MO-0165</t>
  </si>
  <si>
    <t>NYMA-0002</t>
  </si>
  <si>
    <t>BLOW BAR</t>
  </si>
  <si>
    <t>4620</t>
  </si>
  <si>
    <t>5000</t>
  </si>
  <si>
    <t>353</t>
  </si>
  <si>
    <t>MO-0167</t>
  </si>
  <si>
    <t>FLTD-0010+0011+0012</t>
  </si>
  <si>
    <t>COARSE GRATE</t>
  </si>
  <si>
    <t>9 +13+13</t>
  </si>
  <si>
    <t>MO-0168</t>
  </si>
  <si>
    <t>FLTM-0002+0003+0004+0005+0006+0007</t>
  </si>
  <si>
    <t>314</t>
  </si>
  <si>
    <t>MO-0173</t>
  </si>
  <si>
    <t>FLTD-0015</t>
  </si>
  <si>
    <t>LINING PLATE OUTER FOR OUTLET</t>
  </si>
  <si>
    <t>36 No</t>
  </si>
  <si>
    <t>2800</t>
  </si>
  <si>
    <t>06/09/2026</t>
  </si>
  <si>
    <t>341</t>
  </si>
  <si>
    <t>MO-0171</t>
  </si>
  <si>
    <t>FLTM-0008 + 0009</t>
  </si>
  <si>
    <t>RIST M. 6MM SPALTER (XJ-421) + RETAINING RING (XJ-419)</t>
  </si>
  <si>
    <t>12 + 25</t>
  </si>
  <si>
    <t>27/08/2026</t>
  </si>
  <si>
    <t>331</t>
  </si>
  <si>
    <t>MO-0172</t>
  </si>
  <si>
    <t>FLTU-0001</t>
  </si>
  <si>
    <t>HAMMER (PP-2932)</t>
  </si>
  <si>
    <t>1870</t>
  </si>
  <si>
    <t>21/10/2026</t>
  </si>
  <si>
    <t>386</t>
  </si>
  <si>
    <t>MO-0174</t>
  </si>
  <si>
    <t>FLTD-0016 +0017+0018+0019+0020</t>
  </si>
  <si>
    <t>TOP ELEMENT</t>
  </si>
  <si>
    <t>06/10/2026</t>
  </si>
  <si>
    <t>371</t>
  </si>
  <si>
    <t>MO-0176</t>
  </si>
  <si>
    <t>FLTM-0010</t>
  </si>
  <si>
    <t>8320</t>
  </si>
  <si>
    <t>9520</t>
  </si>
  <si>
    <t>06/11/2026</t>
  </si>
  <si>
    <t>402</t>
  </si>
  <si>
    <t>Dispatched</t>
  </si>
  <si>
    <t>( S ) SOMDIAA</t>
  </si>
  <si>
    <t>2060th</t>
  </si>
  <si>
    <t>SSOM-0032+34</t>
  </si>
  <si>
    <t>Blank Shells</t>
  </si>
  <si>
    <t>21240</t>
  </si>
  <si>
    <t>21320</t>
  </si>
  <si>
    <t>15/07/2024</t>
  </si>
  <si>
    <t>24/07/2024</t>
  </si>
  <si>
    <t>10/07/2024</t>
  </si>
  <si>
    <t>05/08/2024 12:00:00 am</t>
  </si>
  <si>
    <t>Shipped</t>
  </si>
  <si>
    <t>SSOM-0031+33</t>
  </si>
  <si>
    <t>21960</t>
  </si>
  <si>
    <t>22045</t>
  </si>
  <si>
    <t>SSOM-0035+36</t>
  </si>
  <si>
    <t>Machined Shell</t>
  </si>
  <si>
    <t>Red+ Black</t>
  </si>
  <si>
    <t>18755</t>
  </si>
  <si>
    <t>19355</t>
  </si>
  <si>
    <t>06/08/2024</t>
  </si>
  <si>
    <t>29/07/2024</t>
  </si>
  <si>
    <t>06/08/2024 12:00:00 am</t>
  </si>
  <si>
    <t>( S ) KILOMBERO</t>
  </si>
  <si>
    <t>2017th</t>
  </si>
  <si>
    <t>SKIL-0048</t>
  </si>
  <si>
    <t>Shaft of Bull Gear</t>
  </si>
  <si>
    <t>Orange+Balck</t>
  </si>
  <si>
    <t>31/07/2024</t>
  </si>
  <si>
    <t>( S ) NOODSBERG</t>
  </si>
  <si>
    <t>2001th</t>
  </si>
  <si>
    <t>SNOO-0068+76</t>
  </si>
  <si>
    <t>Blue</t>
  </si>
  <si>
    <t>48000</t>
  </si>
  <si>
    <t>49300</t>
  </si>
  <si>
    <t>12/08/2024</t>
  </si>
  <si>
    <t>09/08/2024</t>
  </si>
  <si>
    <t>14/08/2024 12:00:00 am</t>
  </si>
  <si>
    <t>( S ) UBOMBO</t>
  </si>
  <si>
    <t>2029th</t>
  </si>
  <si>
    <t>SUBO-0055</t>
  </si>
  <si>
    <t>Liners</t>
  </si>
  <si>
    <t>Orange+White</t>
  </si>
  <si>
    <t>18/07/2024</t>
  </si>
  <si>
    <t>05/07/2024</t>
  </si>
  <si>
    <t>( S ) SEZELA</t>
  </si>
  <si>
    <t>2073rd</t>
  </si>
  <si>
    <t>SSEZ-0024+25+27</t>
  </si>
  <si>
    <t>Shell (Grooved)</t>
  </si>
  <si>
    <t>25885</t>
  </si>
  <si>
    <t>26255</t>
  </si>
  <si>
    <t>05/08/2024</t>
  </si>
  <si>
    <t>SNOO-0075</t>
  </si>
  <si>
    <t>Reshellings</t>
  </si>
  <si>
    <t>24000</t>
  </si>
  <si>
    <t>24650</t>
  </si>
  <si>
    <t>18/08/2024</t>
  </si>
  <si>
    <t>18/08/2024 12:00:00 am</t>
  </si>
  <si>
    <t>2001st</t>
  </si>
  <si>
    <t>SNOO-0069</t>
  </si>
  <si>
    <t>20/08/2024</t>
  </si>
  <si>
    <t>21/08/2024 12:00:00 am</t>
  </si>
  <si>
    <t>SNOO-0071</t>
  </si>
  <si>
    <t>21/08/2024</t>
  </si>
  <si>
    <t>23/08/2024</t>
  </si>
  <si>
    <t>25/08/2024 12:00:00 am</t>
  </si>
  <si>
    <t>SSEZ-0026 + Hardware</t>
  </si>
  <si>
    <t>9675</t>
  </si>
  <si>
    <t>9775</t>
  </si>
  <si>
    <t>22/08/2024</t>
  </si>
  <si>
    <t>SNOO-0072+73+74</t>
  </si>
  <si>
    <t>70860</t>
  </si>
  <si>
    <t>71870</t>
  </si>
  <si>
    <t>05/09/2024</t>
  </si>
  <si>
    <t>09/09/2024 12:00:00 am</t>
  </si>
  <si>
    <t>( S ) NAKAMBALA</t>
  </si>
  <si>
    <t>2090th</t>
  </si>
  <si>
    <t>SNAK-0084</t>
  </si>
  <si>
    <t>Red + Brown</t>
  </si>
  <si>
    <t>535</t>
  </si>
  <si>
    <t>675</t>
  </si>
  <si>
    <t>09/09/2024</t>
  </si>
  <si>
    <t>04/09/2024</t>
  </si>
  <si>
    <t>( S ) UMFOLOZI</t>
  </si>
  <si>
    <t>2057th</t>
  </si>
  <si>
    <t>SUMF-0020</t>
  </si>
  <si>
    <t>Orange</t>
  </si>
  <si>
    <t>50845</t>
  </si>
  <si>
    <t>51665</t>
  </si>
  <si>
    <t>29/09/2024</t>
  </si>
  <si>
    <t>01/10/2024</t>
  </si>
  <si>
    <t>24/09/2024</t>
  </si>
  <si>
    <t>02/10/2024</t>
  </si>
  <si>
    <t>03/10/2024 12:00:00 am</t>
  </si>
  <si>
    <t>2087th</t>
  </si>
  <si>
    <t>SNAK-0083</t>
  </si>
  <si>
    <t>Mill Pinions ( Excl. Keys )</t>
  </si>
  <si>
    <t>Black+Blue</t>
  </si>
  <si>
    <t>7395</t>
  </si>
  <si>
    <t>8325</t>
  </si>
  <si>
    <t>19/09/2024</t>
  </si>
  <si>
    <t>23/09/2024</t>
  </si>
  <si>
    <t>12/09/2024</t>
  </si>
  <si>
    <t>26/09/2024 12:00:00 am</t>
  </si>
  <si>
    <t>2092nd</t>
  </si>
  <si>
    <t>SNAK-0082</t>
  </si>
  <si>
    <t>Mill Pinion ( Excl. Keys )</t>
  </si>
  <si>
    <t>Pink+ Black</t>
  </si>
  <si>
    <t>12850</t>
  </si>
  <si>
    <t>14550</t>
  </si>
  <si>
    <t>05/10/2024</t>
  </si>
  <si>
    <t>09/10/2024</t>
  </si>
  <si>
    <t>07/10/2024</t>
  </si>
  <si>
    <t>15/10/2024 12:00:00 am</t>
  </si>
  <si>
    <t>2070th</t>
  </si>
  <si>
    <t>SSOM-0037+38</t>
  </si>
  <si>
    <t>Top Roller Aslys</t>
  </si>
  <si>
    <t>Black + Gray</t>
  </si>
  <si>
    <t>34505</t>
  </si>
  <si>
    <t>35080</t>
  </si>
  <si>
    <t>30/09/2024</t>
  </si>
  <si>
    <t>17/10/2024</t>
  </si>
  <si>
    <t>17</t>
  </si>
  <si>
    <t>17/10/2024 12:00:00 am</t>
  </si>
  <si>
    <t>( S ) UCL</t>
  </si>
  <si>
    <t>2066th</t>
  </si>
  <si>
    <t>SUCL-0015</t>
  </si>
  <si>
    <t>Top Roller Asly.</t>
  </si>
  <si>
    <t>Black+Green</t>
  </si>
  <si>
    <t>16755</t>
  </si>
  <si>
    <t>17090</t>
  </si>
  <si>
    <t>10/09/2024</t>
  </si>
  <si>
    <t>37</t>
  </si>
  <si>
    <t>10/10/2024</t>
  </si>
  <si>
    <t>2089th</t>
  </si>
  <si>
    <t>SNAK-0085+86+87</t>
  </si>
  <si>
    <t>Liners+Bearing</t>
  </si>
  <si>
    <t>Orange+Black</t>
  </si>
  <si>
    <t>15/09/2024</t>
  </si>
  <si>
    <t>14/09/2024</t>
  </si>
  <si>
    <t>( S ) SIMUNYE</t>
  </si>
  <si>
    <t>2083rd</t>
  </si>
  <si>
    <t>SSIM-0066</t>
  </si>
  <si>
    <t>Roll Aslys.</t>
  </si>
  <si>
    <t>Black+Yellow</t>
  </si>
  <si>
    <t>16880</t>
  </si>
  <si>
    <t>17210</t>
  </si>
  <si>
    <t>2056th</t>
  </si>
  <si>
    <t>SUCL-0014</t>
  </si>
  <si>
    <t>Black +Green</t>
  </si>
  <si>
    <t>17060</t>
  </si>
  <si>
    <t>17390</t>
  </si>
  <si>
    <t>01/09/2024</t>
  </si>
  <si>
    <t>23/10/2024</t>
  </si>
  <si>
    <t>52</t>
  </si>
  <si>
    <t>23/10/2024 12:00:00 am</t>
  </si>
  <si>
    <t>( S ) KOMATI</t>
  </si>
  <si>
    <t>2096th</t>
  </si>
  <si>
    <t>SKOM-0054+55</t>
  </si>
  <si>
    <t>Trashplates</t>
  </si>
  <si>
    <t>2590</t>
  </si>
  <si>
    <t>2955</t>
  </si>
  <si>
    <t>( S ) GLEDHOW</t>
  </si>
  <si>
    <t>2098th</t>
  </si>
  <si>
    <t>SGLE-0061+62</t>
  </si>
  <si>
    <t>52030</t>
  </si>
  <si>
    <t>52980</t>
  </si>
  <si>
    <t>15/10/2024</t>
  </si>
  <si>
    <t>31/10/2024</t>
  </si>
  <si>
    <t>02/11/2024 12:00:00 am</t>
  </si>
  <si>
    <t>2048th</t>
  </si>
  <si>
    <t>SKIL-0049</t>
  </si>
  <si>
    <t>Boiler Id Fan</t>
  </si>
  <si>
    <t>Black + Red Oxide</t>
  </si>
  <si>
    <t>395</t>
  </si>
  <si>
    <t>25/08/2024</t>
  </si>
  <si>
    <t>06/11/2024</t>
  </si>
  <si>
    <t>06/09/2024</t>
  </si>
  <si>
    <t>12/11/2024 12:00:00 am</t>
  </si>
  <si>
    <t>2116th</t>
  </si>
  <si>
    <t>SNAK-0088</t>
  </si>
  <si>
    <t>Lift Indicator Asly.</t>
  </si>
  <si>
    <t>05/11/2024</t>
  </si>
  <si>
    <t>08/11/2024</t>
  </si>
  <si>
    <t>( S ) MHLUME</t>
  </si>
  <si>
    <t>2084th</t>
  </si>
  <si>
    <t>SMHE-0064+00653</t>
  </si>
  <si>
    <t>Roller Aslys.</t>
  </si>
  <si>
    <t>33130</t>
  </si>
  <si>
    <t>33780</t>
  </si>
  <si>
    <t>07/11/2024</t>
  </si>
  <si>
    <t>11/11/2024</t>
  </si>
  <si>
    <t>02/11/2024</t>
  </si>
  <si>
    <t>SSIM-0065</t>
  </si>
  <si>
    <t>Black + Yellow</t>
  </si>
  <si>
    <t>10/11/2024</t>
  </si>
  <si>
    <t>2141st</t>
  </si>
  <si>
    <t>SSIM-0073</t>
  </si>
  <si>
    <t>Synthetic Ropes</t>
  </si>
  <si>
    <t>3 Set</t>
  </si>
  <si>
    <t>450</t>
  </si>
  <si>
    <t>12/11/2024</t>
  </si>
  <si>
    <t>5th</t>
  </si>
  <si>
    <t>SNOO-0070+77</t>
  </si>
  <si>
    <t>Blue + White</t>
  </si>
  <si>
    <t>24870</t>
  </si>
  <si>
    <t>25300</t>
  </si>
  <si>
    <t>14/11/2024</t>
  </si>
  <si>
    <t>600</t>
  </si>
  <si>
    <t>14/11/2024 12:00:00 am</t>
  </si>
  <si>
    <t>SSIM-0064</t>
  </si>
  <si>
    <t>19930</t>
  </si>
  <si>
    <t>20200</t>
  </si>
  <si>
    <t>20/11/2024</t>
  </si>
  <si>
    <t>594</t>
  </si>
  <si>
    <t>23/11/2024 12:00:00 am</t>
  </si>
  <si>
    <t>( S ) TRANSMARA</t>
  </si>
  <si>
    <t>2054th</t>
  </si>
  <si>
    <t>STMA-0017+18</t>
  </si>
  <si>
    <t>Mill Top Roller Aslys.</t>
  </si>
  <si>
    <t>Yellow</t>
  </si>
  <si>
    <t>34550</t>
  </si>
  <si>
    <t>35060</t>
  </si>
  <si>
    <t>20/10/2024</t>
  </si>
  <si>
    <t>21/11/2024</t>
  </si>
  <si>
    <t>591</t>
  </si>
  <si>
    <t>15/11/2024</t>
  </si>
  <si>
    <t>23/11/2024</t>
  </si>
  <si>
    <t>2102nd</t>
  </si>
  <si>
    <t>SSOM-0039+40+41+42+43</t>
  </si>
  <si>
    <t>Scraper+ TrashPlate</t>
  </si>
  <si>
    <t>Red</t>
  </si>
  <si>
    <t>8+2</t>
  </si>
  <si>
    <t>1805</t>
  </si>
  <si>
    <t>2105</t>
  </si>
  <si>
    <t>27/11/2024</t>
  </si>
  <si>
    <t>587</t>
  </si>
  <si>
    <t>02/12/2024 12:00:00 am</t>
  </si>
  <si>
    <t>2067th</t>
  </si>
  <si>
    <t>STMA-0021+20+24</t>
  </si>
  <si>
    <t>22595</t>
  </si>
  <si>
    <t>23110</t>
  </si>
  <si>
    <t>30/11/2024</t>
  </si>
  <si>
    <t>28/11/2024</t>
  </si>
  <si>
    <t>-2</t>
  </si>
  <si>
    <t>586</t>
  </si>
  <si>
    <t>(S) MAIDSTONE</t>
  </si>
  <si>
    <t>2112nd</t>
  </si>
  <si>
    <t>SMAI-0025</t>
  </si>
  <si>
    <t>3465</t>
  </si>
  <si>
    <t>03/12/2024</t>
  </si>
  <si>
    <t>13</t>
  </si>
  <si>
    <t>581</t>
  </si>
  <si>
    <t>26/11/2024</t>
  </si>
  <si>
    <t>09/12/2024 12:00:00 am</t>
  </si>
  <si>
    <t>2086th</t>
  </si>
  <si>
    <t>SMHE-0066+69+71</t>
  </si>
  <si>
    <t>Reshelings</t>
  </si>
  <si>
    <t>Black</t>
  </si>
  <si>
    <t>31660</t>
  </si>
  <si>
    <t>32345</t>
  </si>
  <si>
    <t>06/12/2024</t>
  </si>
  <si>
    <t>578</t>
  </si>
  <si>
    <t>01/12/2024</t>
  </si>
  <si>
    <t>( S ) HIPPO VALLEY</t>
  </si>
  <si>
    <t>2095th</t>
  </si>
  <si>
    <t>SHIP-0072</t>
  </si>
  <si>
    <t>Head Shaft Asly.</t>
  </si>
  <si>
    <t>19580</t>
  </si>
  <si>
    <t>20500</t>
  </si>
  <si>
    <t>09/12/2024</t>
  </si>
  <si>
    <t>24</t>
  </si>
  <si>
    <t>575</t>
  </si>
  <si>
    <t>04/12/2024</t>
  </si>
  <si>
    <t>2133rd</t>
  </si>
  <si>
    <t>STMA-0025</t>
  </si>
  <si>
    <t>3480</t>
  </si>
  <si>
    <t>4050</t>
  </si>
  <si>
    <t>10/12/2024</t>
  </si>
  <si>
    <t>574</t>
  </si>
  <si>
    <t>05/12/2024</t>
  </si>
  <si>
    <t>12/12/2024 12:00:00 am</t>
  </si>
  <si>
    <t>2109th</t>
  </si>
  <si>
    <t>SSOM-0044</t>
  </si>
  <si>
    <t>Mill Bottom Roll Asly.</t>
  </si>
  <si>
    <t>Brown</t>
  </si>
  <si>
    <t>16375</t>
  </si>
  <si>
    <t>16630</t>
  </si>
  <si>
    <t>11/12/2024</t>
  </si>
  <si>
    <t>11</t>
  </si>
  <si>
    <t>573</t>
  </si>
  <si>
    <t>( S ) TPC</t>
  </si>
  <si>
    <t>2122nd</t>
  </si>
  <si>
    <t>STPC-0045+46+47</t>
  </si>
  <si>
    <t>Pink + Black</t>
  </si>
  <si>
    <t>1456</t>
  </si>
  <si>
    <t>SMAI-0022+23+24</t>
  </si>
  <si>
    <t>Juice Ring+ Shell (Grooved)</t>
  </si>
  <si>
    <t>2+2+1</t>
  </si>
  <si>
    <t>23190</t>
  </si>
  <si>
    <t>23770</t>
  </si>
  <si>
    <t>13/12/2024</t>
  </si>
  <si>
    <t>568</t>
  </si>
  <si>
    <t>08/12/2024</t>
  </si>
  <si>
    <t>16/12/2024</t>
  </si>
  <si>
    <t>17/12/2024 12:00:00 am</t>
  </si>
  <si>
    <t>SMHE-0067+68+70</t>
  </si>
  <si>
    <t>30430</t>
  </si>
  <si>
    <t>31110</t>
  </si>
  <si>
    <t>571</t>
  </si>
  <si>
    <t>2085th</t>
  </si>
  <si>
    <t>SSIM-0072</t>
  </si>
  <si>
    <t>19140</t>
  </si>
  <si>
    <t>19380</t>
  </si>
  <si>
    <t>15/12/2024</t>
  </si>
  <si>
    <t>17/12/2024</t>
  </si>
  <si>
    <t>567</t>
  </si>
  <si>
    <t>12/12/2024</t>
  </si>
  <si>
    <t>19/12/2024 12:00:00 am</t>
  </si>
  <si>
    <t>SSIM-0069+70</t>
  </si>
  <si>
    <t>30655</t>
  </si>
  <si>
    <t>31115</t>
  </si>
  <si>
    <t>STMA-0019+22+26+23</t>
  </si>
  <si>
    <t>25725</t>
  </si>
  <si>
    <t>26230</t>
  </si>
  <si>
    <t>(S)  PONGOLA</t>
  </si>
  <si>
    <t>2099th</t>
  </si>
  <si>
    <t>SPON-0014</t>
  </si>
  <si>
    <t>White + Blue</t>
  </si>
  <si>
    <t>20530</t>
  </si>
  <si>
    <t>20810</t>
  </si>
  <si>
    <t>18/12/2024</t>
  </si>
  <si>
    <t>565</t>
  </si>
  <si>
    <t>19/12/2024</t>
  </si>
  <si>
    <t>SMHE-0072+73</t>
  </si>
  <si>
    <t>28645</t>
  </si>
  <si>
    <t>29210</t>
  </si>
  <si>
    <t>21/12/2024</t>
  </si>
  <si>
    <t>563</t>
  </si>
  <si>
    <t>21/12/2024 12:00:00 am</t>
  </si>
  <si>
    <t>SSIM-0067+68+71</t>
  </si>
  <si>
    <t>59095</t>
  </si>
  <si>
    <t>60020</t>
  </si>
  <si>
    <t>25/12/2024</t>
  </si>
  <si>
    <t>03/01/2025</t>
  </si>
  <si>
    <t>29/12/2024</t>
  </si>
  <si>
    <t>04/01/2025 12:00:00 am</t>
  </si>
  <si>
    <t>2114th</t>
  </si>
  <si>
    <t>SHIP-0073+74</t>
  </si>
  <si>
    <t>Impeller Asly+DYNAMIC Balance of Impeller Asly+Impeller Cone</t>
  </si>
  <si>
    <t>1890</t>
  </si>
  <si>
    <t>3200</t>
  </si>
  <si>
    <t>04/01/2025</t>
  </si>
  <si>
    <t>549</t>
  </si>
  <si>
    <t>30/12/2024</t>
  </si>
  <si>
    <t>SGLE-0061</t>
  </si>
  <si>
    <t>Juice Ring</t>
  </si>
  <si>
    <t>110</t>
  </si>
  <si>
    <t>210</t>
  </si>
  <si>
    <t>585</t>
  </si>
  <si>
    <t>29/11/2024</t>
  </si>
  <si>
    <t>2097th</t>
  </si>
  <si>
    <t>SGLE-0065</t>
  </si>
  <si>
    <t>Resheling</t>
  </si>
  <si>
    <t>20540</t>
  </si>
  <si>
    <t>20890</t>
  </si>
  <si>
    <t>05/01/2025</t>
  </si>
  <si>
    <t>31/12/2024</t>
  </si>
  <si>
    <t>2103rd</t>
  </si>
  <si>
    <t>SUBO-0059</t>
  </si>
  <si>
    <t>White+Black</t>
  </si>
  <si>
    <t>17875</t>
  </si>
  <si>
    <t>18130</t>
  </si>
  <si>
    <t>SGLE-0064</t>
  </si>
  <si>
    <t>06/01/2025</t>
  </si>
  <si>
    <t>08/01/2025</t>
  </si>
  <si>
    <t>01/01/2025</t>
  </si>
  <si>
    <t>08/01/2025 12:00:00 am</t>
  </si>
  <si>
    <t>SGLE-0063</t>
  </si>
  <si>
    <t>19940</t>
  </si>
  <si>
    <t>20280</t>
  </si>
  <si>
    <t>13/01/2025</t>
  </si>
  <si>
    <t>14/01/2025 12:00:00 am</t>
  </si>
  <si>
    <t>2146th</t>
  </si>
  <si>
    <t>SNAK-0090</t>
  </si>
  <si>
    <t>07/01/2025</t>
  </si>
  <si>
    <t>17/01/2025 12:00:00 am</t>
  </si>
  <si>
    <t>2140th</t>
  </si>
  <si>
    <t>SHIP-0077</t>
  </si>
  <si>
    <t>Muff Coupling Box</t>
  </si>
  <si>
    <t>Black+Gray</t>
  </si>
  <si>
    <t>2135</t>
  </si>
  <si>
    <t>2315</t>
  </si>
  <si>
    <t>11/01/2025</t>
  </si>
  <si>
    <t>2128th</t>
  </si>
  <si>
    <t>SNOO-0078</t>
  </si>
  <si>
    <t>White + Red</t>
  </si>
  <si>
    <t>5090</t>
  </si>
  <si>
    <t>5710</t>
  </si>
  <si>
    <t>15/01/2025</t>
  </si>
  <si>
    <t>20/01/2025</t>
  </si>
  <si>
    <t>10/01/2025</t>
  </si>
  <si>
    <t>14/01/2025</t>
  </si>
  <si>
    <t>-6</t>
  </si>
  <si>
    <t>( S ) TRIANGLE</t>
  </si>
  <si>
    <t>2113rd</t>
  </si>
  <si>
    <t>STRI-0096+99+100</t>
  </si>
  <si>
    <t>21535</t>
  </si>
  <si>
    <t>22085</t>
  </si>
  <si>
    <t>2129th</t>
  </si>
  <si>
    <t>SSOM-0045+46+47+48</t>
  </si>
  <si>
    <t>2405</t>
  </si>
  <si>
    <t>2665</t>
  </si>
  <si>
    <t>25/01/2025 12:00:00 am</t>
  </si>
  <si>
    <t>SNOO-0079</t>
  </si>
  <si>
    <t>5540</t>
  </si>
  <si>
    <t>6190</t>
  </si>
  <si>
    <t>(S) TRIANGLE</t>
  </si>
  <si>
    <t>STRI-0097+98+101</t>
  </si>
  <si>
    <t>24675</t>
  </si>
  <si>
    <t>25250</t>
  </si>
  <si>
    <t>24/01/2025</t>
  </si>
  <si>
    <t>25/01/2025</t>
  </si>
  <si>
    <t>2132nd</t>
  </si>
  <si>
    <t>SHIP-0075</t>
  </si>
  <si>
    <t>3300</t>
  </si>
  <si>
    <t>2145th</t>
  </si>
  <si>
    <t>SNAK-0089</t>
  </si>
  <si>
    <t>Top Bearing Asly</t>
  </si>
  <si>
    <t>Orange+Blue</t>
  </si>
  <si>
    <t>2985</t>
  </si>
  <si>
    <t>3370</t>
  </si>
  <si>
    <t>28/01/2025</t>
  </si>
  <si>
    <t>23/01/2025</t>
  </si>
  <si>
    <t>13/02/2025 12:00:00 am</t>
  </si>
  <si>
    <t>2151st</t>
  </si>
  <si>
    <t>SHIP-0078</t>
  </si>
  <si>
    <t>Gray</t>
  </si>
  <si>
    <t>570</t>
  </si>
  <si>
    <t>655</t>
  </si>
  <si>
    <t>31/01/2025</t>
  </si>
  <si>
    <t>26/01/2025</t>
  </si>
  <si>
    <t>2149th</t>
  </si>
  <si>
    <t>SNCH-0037</t>
  </si>
  <si>
    <t>Messcheart Knife Bar</t>
  </si>
  <si>
    <t>195</t>
  </si>
  <si>
    <t>03/02/2025</t>
  </si>
  <si>
    <t>29/01/2025</t>
  </si>
  <si>
    <t>04/02/2025</t>
  </si>
  <si>
    <t>2153rd</t>
  </si>
  <si>
    <t>STRI-0103</t>
  </si>
  <si>
    <t>300</t>
  </si>
  <si>
    <t>30/01/2025</t>
  </si>
  <si>
    <t>SHIP-0076</t>
  </si>
  <si>
    <t>Worm</t>
  </si>
  <si>
    <t>385</t>
  </si>
  <si>
    <t>13/02/2025</t>
  </si>
  <si>
    <t>172</t>
  </si>
  <si>
    <t>08/02/2025</t>
  </si>
  <si>
    <t>2180th</t>
  </si>
  <si>
    <t>SHIP-0081</t>
  </si>
  <si>
    <t>Packing Piece for Shredder Washboard</t>
  </si>
  <si>
    <t>(S) MAFAMBISSE</t>
  </si>
  <si>
    <t>2111st</t>
  </si>
  <si>
    <t>SMAF-0033</t>
  </si>
  <si>
    <t>Gray+Blue</t>
  </si>
  <si>
    <t>22140</t>
  </si>
  <si>
    <t>22510</t>
  </si>
  <si>
    <t>18/02/2025</t>
  </si>
  <si>
    <t>10/03/2025</t>
  </si>
  <si>
    <t>05/03/2025</t>
  </si>
  <si>
    <t>12/03/2025 12:00:00 am</t>
  </si>
  <si>
    <t>2142nd</t>
  </si>
  <si>
    <t>SKOM-0057+58</t>
  </si>
  <si>
    <t>Green+Black</t>
  </si>
  <si>
    <t>42975</t>
  </si>
  <si>
    <t>43730</t>
  </si>
  <si>
    <t>19/03/2025</t>
  </si>
  <si>
    <t>475</t>
  </si>
  <si>
    <t>14/03/2025</t>
  </si>
  <si>
    <t>20/03/2025 12:00:00 am</t>
  </si>
  <si>
    <t>SMAF-0034</t>
  </si>
  <si>
    <t>18280</t>
  </si>
  <si>
    <t>18520</t>
  </si>
  <si>
    <t>21/03/2025</t>
  </si>
  <si>
    <t>31</t>
  </si>
  <si>
    <t>473</t>
  </si>
  <si>
    <t>16/03/2025</t>
  </si>
  <si>
    <t>21/03/2025 12:00:00 am</t>
  </si>
  <si>
    <t>2134th</t>
  </si>
  <si>
    <t>SNOO-0080</t>
  </si>
  <si>
    <t>Tail Bar</t>
  </si>
  <si>
    <t>3970</t>
  </si>
  <si>
    <t>22/03/2025</t>
  </si>
  <si>
    <t>472</t>
  </si>
  <si>
    <t>17/03/2025</t>
  </si>
  <si>
    <t>22/03/2025 12:00:00 am</t>
  </si>
  <si>
    <t>(S) XINAVANE</t>
  </si>
  <si>
    <t>2120th</t>
  </si>
  <si>
    <t>SXIN-0004</t>
  </si>
  <si>
    <t>13370</t>
  </si>
  <si>
    <t>13580</t>
  </si>
  <si>
    <t>15/03/2025</t>
  </si>
  <si>
    <t>03/04/2025</t>
  </si>
  <si>
    <t>29/03/2025</t>
  </si>
  <si>
    <t>04/04/2025 12:00:00 am</t>
  </si>
  <si>
    <t>2121st</t>
  </si>
  <si>
    <t>STPC-0040+41</t>
  </si>
  <si>
    <t>33725</t>
  </si>
  <si>
    <t>34215</t>
  </si>
  <si>
    <t>25/03/2025</t>
  </si>
  <si>
    <t>07/04/2025</t>
  </si>
  <si>
    <t>455</t>
  </si>
  <si>
    <t>20/03/2025</t>
  </si>
  <si>
    <t>08/04/2025</t>
  </si>
  <si>
    <t>09/04/2025 12:00:00 am</t>
  </si>
  <si>
    <t>STPC-0043+44</t>
  </si>
  <si>
    <t>25970</t>
  </si>
  <si>
    <t>26390</t>
  </si>
  <si>
    <t>SMAF-0035</t>
  </si>
  <si>
    <t>Gray + Blue</t>
  </si>
  <si>
    <t>8440</t>
  </si>
  <si>
    <t>8575</t>
  </si>
  <si>
    <t>2183rd</t>
  </si>
  <si>
    <t>STRI-0104</t>
  </si>
  <si>
    <t>Bearing Block Aslys.</t>
  </si>
  <si>
    <t>645</t>
  </si>
  <si>
    <t>755</t>
  </si>
  <si>
    <t>469</t>
  </si>
  <si>
    <t>2150th</t>
  </si>
  <si>
    <t>STRI-0102</t>
  </si>
  <si>
    <t>Crane Winding Drum</t>
  </si>
  <si>
    <t>Black + Red</t>
  </si>
  <si>
    <t>1250</t>
  </si>
  <si>
    <t>1450</t>
  </si>
  <si>
    <t>11/04/2025</t>
  </si>
  <si>
    <t>452</t>
  </si>
  <si>
    <t>06/04/2025</t>
  </si>
  <si>
    <t>11/04/2025 12:00:00 am</t>
  </si>
  <si>
    <t>(S) SEZELA</t>
  </si>
  <si>
    <t>2157th</t>
  </si>
  <si>
    <t>SSEZ-0028</t>
  </si>
  <si>
    <t>Shaft  ( rough-machined )</t>
  </si>
  <si>
    <t>Gray+Red</t>
  </si>
  <si>
    <t>10775</t>
  </si>
  <si>
    <t>10925</t>
  </si>
  <si>
    <t>30/03/2025</t>
  </si>
  <si>
    <t>17/04/2025</t>
  </si>
  <si>
    <t>446</t>
  </si>
  <si>
    <t>18/04/2025 12:00:00 am</t>
  </si>
  <si>
    <t>2164th</t>
  </si>
  <si>
    <t>SMAL-0039+40</t>
  </si>
  <si>
    <t>Blcak</t>
  </si>
  <si>
    <t>915</t>
  </si>
  <si>
    <t>33</t>
  </si>
  <si>
    <t>12/04/2025</t>
  </si>
  <si>
    <t>21/04/2025 12:00:00 am</t>
  </si>
  <si>
    <t>2173rd</t>
  </si>
  <si>
    <t>SKIL-0050+51+52+53</t>
  </si>
  <si>
    <t>Bearing + Trashbeam + Shell</t>
  </si>
  <si>
    <t>Black + Green</t>
  </si>
  <si>
    <t>4+2</t>
  </si>
  <si>
    <t>3640</t>
  </si>
  <si>
    <t>22/04/2025</t>
  </si>
  <si>
    <t>30/04/2025 12:00:00 am</t>
  </si>
  <si>
    <t>2212nd</t>
  </si>
  <si>
    <t>SNAK-0093</t>
  </si>
  <si>
    <t>U-TYPE CUP for Top Cap Asly.</t>
  </si>
  <si>
    <t>29/04/2025</t>
  </si>
  <si>
    <t>434</t>
  </si>
  <si>
    <t>24/04/2025</t>
  </si>
  <si>
    <t>2194th</t>
  </si>
  <si>
    <t>SHIP-0083 + 84</t>
  </si>
  <si>
    <t>Skid Wheel +Clamp Piece</t>
  </si>
  <si>
    <t>4+8</t>
  </si>
  <si>
    <t>30/04/2025</t>
  </si>
  <si>
    <t>STPC-0042+48</t>
  </si>
  <si>
    <t>13030</t>
  </si>
  <si>
    <t>13230</t>
  </si>
  <si>
    <t>25/04/2025</t>
  </si>
  <si>
    <t>15/05/2025</t>
  </si>
  <si>
    <t>418</t>
  </si>
  <si>
    <t>20/04/2025</t>
  </si>
  <si>
    <t>16/05/2025 12:00:00 am</t>
  </si>
  <si>
    <t>2182nd</t>
  </si>
  <si>
    <t>SKIL-0054</t>
  </si>
  <si>
    <t>Black +Blue</t>
  </si>
  <si>
    <t>1970</t>
  </si>
  <si>
    <t>2215</t>
  </si>
  <si>
    <t>03/06/2025</t>
  </si>
  <si>
    <t>-45811</t>
  </si>
  <si>
    <t>29/05/2025</t>
  </si>
  <si>
    <t>03/06/2025 12:00:00 am</t>
  </si>
  <si>
    <t>2190th</t>
  </si>
  <si>
    <t>SSEZ-0029</t>
  </si>
  <si>
    <t>Black+Red</t>
  </si>
  <si>
    <t>9500</t>
  </si>
  <si>
    <t>9720</t>
  </si>
  <si>
    <t>2178th</t>
  </si>
  <si>
    <t>SNOO-0084+89</t>
  </si>
  <si>
    <t>45975</t>
  </si>
  <si>
    <t>46770</t>
  </si>
  <si>
    <t>11/06/2025</t>
  </si>
  <si>
    <t>-45819</t>
  </si>
  <si>
    <t>06/06/2025</t>
  </si>
  <si>
    <t>13/06/2025 12:00:00 am</t>
  </si>
  <si>
    <t>(S) GLEDHOW</t>
  </si>
  <si>
    <t>Mamo 206</t>
  </si>
  <si>
    <t>SGLE-0066</t>
  </si>
  <si>
    <t>8830</t>
  </si>
  <si>
    <t>17/06/2025</t>
  </si>
  <si>
    <t>12/06/2025</t>
  </si>
  <si>
    <t>19/06/2025 12:00:00 am</t>
  </si>
  <si>
    <t>2203rd</t>
  </si>
  <si>
    <t>SMAF-0036+37+38+39</t>
  </si>
  <si>
    <t>Worm Wheel + Worm Asly</t>
  </si>
  <si>
    <t>White+ Black</t>
  </si>
  <si>
    <t>1605</t>
  </si>
  <si>
    <t>2360</t>
  </si>
  <si>
    <t>19/06/2025</t>
  </si>
  <si>
    <t>-45827</t>
  </si>
  <si>
    <t>2208th</t>
  </si>
  <si>
    <t>SNAK-0092</t>
  </si>
  <si>
    <t>2940</t>
  </si>
  <si>
    <t>3340</t>
  </si>
  <si>
    <t>2288th</t>
  </si>
  <si>
    <t>SUCL-0044,45</t>
  </si>
  <si>
    <t>White + Black</t>
  </si>
  <si>
    <t>975</t>
  </si>
  <si>
    <t>1055</t>
  </si>
  <si>
    <t>30/06/2025</t>
  </si>
  <si>
    <t>02/07/2025</t>
  </si>
  <si>
    <t>03/07/2025 12:00:00 am</t>
  </si>
  <si>
    <t>2185th</t>
  </si>
  <si>
    <t>SHIP-0080</t>
  </si>
  <si>
    <t>Gear Wheel</t>
  </si>
  <si>
    <t>Black + Blue</t>
  </si>
  <si>
    <t>13960</t>
  </si>
  <si>
    <t>14120</t>
  </si>
  <si>
    <t>20/06/2025</t>
  </si>
  <si>
    <t>03/07/2025</t>
  </si>
  <si>
    <t>369</t>
  </si>
  <si>
    <t>15/06/2025</t>
  </si>
  <si>
    <t>Juice Flange</t>
  </si>
  <si>
    <t>1330</t>
  </si>
  <si>
    <t>1540</t>
  </si>
  <si>
    <t>01/07/2025</t>
  </si>
  <si>
    <t>26/06/2025</t>
  </si>
  <si>
    <t>SXIN-0003</t>
  </si>
  <si>
    <t>Blue+ Gray</t>
  </si>
  <si>
    <t>23710</t>
  </si>
  <si>
    <t>24060</t>
  </si>
  <si>
    <t>04/07/2025 12:00:00 am</t>
  </si>
  <si>
    <t>2200th</t>
  </si>
  <si>
    <t>SUBO-0061</t>
  </si>
  <si>
    <t>Pink</t>
  </si>
  <si>
    <t>18845</t>
  </si>
  <si>
    <t>19200</t>
  </si>
  <si>
    <t>24/07/2025</t>
  </si>
  <si>
    <t>-45862</t>
  </si>
  <si>
    <t>19/07/2025</t>
  </si>
  <si>
    <t>27/07/2025 12:00:00 am</t>
  </si>
  <si>
    <t>2238th</t>
  </si>
  <si>
    <t>SDWA-0029</t>
  </si>
  <si>
    <t>Yellow+Black</t>
  </si>
  <si>
    <t>16/07/2025</t>
  </si>
  <si>
    <t>356</t>
  </si>
  <si>
    <t>11/07/2025</t>
  </si>
  <si>
    <t>30/07/2025 12:00:00 am</t>
  </si>
  <si>
    <t>2235th</t>
  </si>
  <si>
    <t>SKOM-0062+63</t>
  </si>
  <si>
    <t>27095</t>
  </si>
  <si>
    <t>27695</t>
  </si>
  <si>
    <t>25/07/2025</t>
  </si>
  <si>
    <t>-45854</t>
  </si>
  <si>
    <t>20/07/2025</t>
  </si>
  <si>
    <t>-9</t>
  </si>
  <si>
    <t>2227th</t>
  </si>
  <si>
    <t>STRI-0105+0106</t>
  </si>
  <si>
    <t>Red + Black</t>
  </si>
  <si>
    <t>505</t>
  </si>
  <si>
    <t>670</t>
  </si>
  <si>
    <t>31/07/2025 12:00:00 am</t>
  </si>
  <si>
    <t>2210th</t>
  </si>
  <si>
    <t>SSOM-0049+50+51+52+53+54+55</t>
  </si>
  <si>
    <t>Trashplate + Scrper</t>
  </si>
  <si>
    <t>White+Red</t>
  </si>
  <si>
    <t>2+14</t>
  </si>
  <si>
    <t>3766</t>
  </si>
  <si>
    <t>4350</t>
  </si>
  <si>
    <t>2216th</t>
  </si>
  <si>
    <t>SSOM-0056+57+58+59+60+61+62</t>
  </si>
  <si>
    <t>Trashplae + Scraper</t>
  </si>
  <si>
    <t>1825</t>
  </si>
  <si>
    <t>2115</t>
  </si>
  <si>
    <t>SNOO-0086</t>
  </si>
  <si>
    <t>22300</t>
  </si>
  <si>
    <t>22570</t>
  </si>
  <si>
    <t>08/08/2025</t>
  </si>
  <si>
    <t>-45877</t>
  </si>
  <si>
    <t>08/08/2025 12:00:00 am</t>
  </si>
  <si>
    <t>2241st</t>
  </si>
  <si>
    <t>SDWA-0030</t>
  </si>
  <si>
    <t>Black+ Gray</t>
  </si>
  <si>
    <t>970</t>
  </si>
  <si>
    <t>11/08/2025</t>
  </si>
  <si>
    <t>330</t>
  </si>
  <si>
    <t>12/08/2025 12:00:00 am</t>
  </si>
  <si>
    <t>2179th</t>
  </si>
  <si>
    <t>SHIP-0082</t>
  </si>
  <si>
    <t>Mill Gear Pinion</t>
  </si>
  <si>
    <t>Black +Red</t>
  </si>
  <si>
    <t>1710</t>
  </si>
  <si>
    <t>12/08/2025</t>
  </si>
  <si>
    <t>-45881</t>
  </si>
  <si>
    <t>SUBO-0060</t>
  </si>
  <si>
    <t>22380</t>
  </si>
  <si>
    <t>22720</t>
  </si>
  <si>
    <t>-45883</t>
  </si>
  <si>
    <t>14/08/2025</t>
  </si>
  <si>
    <t>14/08/2025 12:00:00 am</t>
  </si>
  <si>
    <t>SKOM-0061+63</t>
  </si>
  <si>
    <t>29470</t>
  </si>
  <si>
    <t>30365</t>
  </si>
  <si>
    <t>15/08/2025</t>
  </si>
  <si>
    <t>327</t>
  </si>
  <si>
    <t>SUBO-0062</t>
  </si>
  <si>
    <t>18490</t>
  </si>
  <si>
    <t>18830</t>
  </si>
  <si>
    <t>-45884</t>
  </si>
  <si>
    <t>15/08/2025 12:00:00 am</t>
  </si>
  <si>
    <t>2234th</t>
  </si>
  <si>
    <t>SNOO-0093</t>
  </si>
  <si>
    <t>Black+Pink</t>
  </si>
  <si>
    <t>3605</t>
  </si>
  <si>
    <t>3850</t>
  </si>
  <si>
    <t>26/08/2025</t>
  </si>
  <si>
    <t>315</t>
  </si>
  <si>
    <t>26/08/2025 12:00:00 am</t>
  </si>
  <si>
    <t>2309th</t>
  </si>
  <si>
    <t>SE25-SSIM-0083</t>
  </si>
  <si>
    <t>4 Sets</t>
  </si>
  <si>
    <t>560</t>
  </si>
  <si>
    <t>-45895</t>
  </si>
  <si>
    <t>2204th</t>
  </si>
  <si>
    <t>SNOO-0090+0095</t>
  </si>
  <si>
    <t>Coupling Box</t>
  </si>
  <si>
    <t>6970</t>
  </si>
  <si>
    <t>7490</t>
  </si>
  <si>
    <t>03/09/2025</t>
  </si>
  <si>
    <t>-45903</t>
  </si>
  <si>
    <t>06/09/2025 12:00:00 am</t>
  </si>
  <si>
    <t>SNOO-0081</t>
  </si>
  <si>
    <t>25010</t>
  </si>
  <si>
    <t>25370</t>
  </si>
  <si>
    <t>05/09/2025</t>
  </si>
  <si>
    <t>-45905</t>
  </si>
  <si>
    <t>2244th</t>
  </si>
  <si>
    <t>SNCH-0038+39+40</t>
  </si>
  <si>
    <t>Blue+Pink</t>
  </si>
  <si>
    <t>19760</t>
  </si>
  <si>
    <t>20375</t>
  </si>
  <si>
    <t>305</t>
  </si>
  <si>
    <t>4th +5th</t>
  </si>
  <si>
    <t>SNOO-0087+88</t>
  </si>
  <si>
    <t>43740</t>
  </si>
  <si>
    <t>44280</t>
  </si>
  <si>
    <t>13/09/2025</t>
  </si>
  <si>
    <t>-45913</t>
  </si>
  <si>
    <t>13/09/2025 12:00:00 am</t>
  </si>
  <si>
    <t>6th</t>
  </si>
  <si>
    <t>SNOO-0085</t>
  </si>
  <si>
    <t>21815</t>
  </si>
  <si>
    <t>22090</t>
  </si>
  <si>
    <t>16/09/2025</t>
  </si>
  <si>
    <t>294</t>
  </si>
  <si>
    <t>16/09/2025 12:00:00 am</t>
  </si>
  <si>
    <t>2207th</t>
  </si>
  <si>
    <t>SNOO-0091</t>
  </si>
  <si>
    <t>Color Code Change hona ha Blue Laga Ha</t>
  </si>
  <si>
    <t>24955</t>
  </si>
  <si>
    <t>25320</t>
  </si>
  <si>
    <t>SNOO-0092</t>
  </si>
  <si>
    <t>24570</t>
  </si>
  <si>
    <t>24940</t>
  </si>
  <si>
    <t>SKIL-0051</t>
  </si>
  <si>
    <t>1180</t>
  </si>
  <si>
    <t>170</t>
  </si>
  <si>
    <t>2229th</t>
  </si>
  <si>
    <t>SUMF-0023+24+25</t>
  </si>
  <si>
    <t>52170</t>
  </si>
  <si>
    <t>53000</t>
  </si>
  <si>
    <t>21/09/2025</t>
  </si>
  <si>
    <t>289</t>
  </si>
  <si>
    <t>21/09/2025 12:00:00 am</t>
  </si>
  <si>
    <t>35340</t>
  </si>
  <si>
    <t>36000</t>
  </si>
  <si>
    <t>22/09/2025</t>
  </si>
  <si>
    <t>288</t>
  </si>
  <si>
    <t>22/09/2025 12:00:00 am</t>
  </si>
  <si>
    <t>(S) NTE - ISWEPE</t>
  </si>
  <si>
    <t>2293rd</t>
  </si>
  <si>
    <t>SNTE-0006 + SNTE-0007</t>
  </si>
  <si>
    <t>10960</t>
  </si>
  <si>
    <t>11880</t>
  </si>
  <si>
    <t>2228th</t>
  </si>
  <si>
    <t>SMAF-00 41</t>
  </si>
  <si>
    <t>Head Shaft</t>
  </si>
  <si>
    <t>Orange+ Black</t>
  </si>
  <si>
    <t>620</t>
  </si>
  <si>
    <t>820</t>
  </si>
  <si>
    <t>2245th</t>
  </si>
  <si>
    <t>SNAK-0095</t>
  </si>
  <si>
    <t>Gray+Black</t>
  </si>
  <si>
    <t>1255</t>
  </si>
  <si>
    <t>1415</t>
  </si>
  <si>
    <t>2271st</t>
  </si>
  <si>
    <t>SNAK-0096+97</t>
  </si>
  <si>
    <t>10400</t>
  </si>
  <si>
    <t>11580</t>
  </si>
  <si>
    <t>2253rd</t>
  </si>
  <si>
    <t>SUCL-0027</t>
  </si>
  <si>
    <t>2280</t>
  </si>
  <si>
    <t>2710</t>
  </si>
  <si>
    <t>23/09/2025</t>
  </si>
  <si>
    <t>287</t>
  </si>
  <si>
    <t>23/09/2025 12:00:00 am</t>
  </si>
  <si>
    <t>2299th</t>
  </si>
  <si>
    <t>SDWA-0033</t>
  </si>
  <si>
    <t>Black+White</t>
  </si>
  <si>
    <t>3005</t>
  </si>
  <si>
    <t>3285</t>
  </si>
  <si>
    <t>09/10/2025</t>
  </si>
  <si>
    <t>271</t>
  </si>
  <si>
    <t>14/10/2025 12:00:00 am</t>
  </si>
  <si>
    <t>SSIM-0076+79</t>
  </si>
  <si>
    <t>37370</t>
  </si>
  <si>
    <t>37930</t>
  </si>
  <si>
    <t>13/10/2025</t>
  </si>
  <si>
    <t>-45943</t>
  </si>
  <si>
    <t>SKOM-0060</t>
  </si>
  <si>
    <t>1995</t>
  </si>
  <si>
    <t>06/10/2024</t>
  </si>
  <si>
    <t>17/10/2025</t>
  </si>
  <si>
    <t>17/10/2025 12:00:00 am</t>
  </si>
  <si>
    <t>2281st</t>
  </si>
  <si>
    <t>SGLE-0067</t>
  </si>
  <si>
    <t>28725</t>
  </si>
  <si>
    <t>29525</t>
  </si>
  <si>
    <t>10/10/2025</t>
  </si>
  <si>
    <t>05/10/2025</t>
  </si>
  <si>
    <t>20/10/2025 12:00:00 am</t>
  </si>
  <si>
    <t>2260th</t>
  </si>
  <si>
    <t>SMHE-0074+75+76</t>
  </si>
  <si>
    <t>46420</t>
  </si>
  <si>
    <t>47160</t>
  </si>
  <si>
    <t>27/10/2025</t>
  </si>
  <si>
    <t>253</t>
  </si>
  <si>
    <t>29/10/2025 12:00:00 am</t>
  </si>
  <si>
    <t>2261st</t>
  </si>
  <si>
    <t>SSIM-0081</t>
  </si>
  <si>
    <t>38480</t>
  </si>
  <si>
    <t>38980</t>
  </si>
  <si>
    <t>25/10/2025</t>
  </si>
  <si>
    <t>03/11/2025</t>
  </si>
  <si>
    <t>246</t>
  </si>
  <si>
    <t>04/11/2025 12:00:00 am</t>
  </si>
  <si>
    <t>SSIM-0075+77</t>
  </si>
  <si>
    <t>37300</t>
  </si>
  <si>
    <t>37895</t>
  </si>
  <si>
    <t>05/11/2025</t>
  </si>
  <si>
    <t>244</t>
  </si>
  <si>
    <t>SSIM-0082</t>
  </si>
  <si>
    <t>39850</t>
  </si>
  <si>
    <t>40480</t>
  </si>
  <si>
    <t>30/10/2025</t>
  </si>
  <si>
    <t>11/11/2025</t>
  </si>
  <si>
    <t>238</t>
  </si>
  <si>
    <t>11/11/2025 12:00:00 am</t>
  </si>
  <si>
    <t>SSIM-0074</t>
  </si>
  <si>
    <t>19950</t>
  </si>
  <si>
    <t>20270</t>
  </si>
  <si>
    <t>13/11/2025</t>
  </si>
  <si>
    <t>13/11/2025 12:00:00 am</t>
  </si>
  <si>
    <t>2267th</t>
  </si>
  <si>
    <t>SSEZ-0030</t>
  </si>
  <si>
    <t>Orange+ Blue</t>
  </si>
  <si>
    <t>1860</t>
  </si>
  <si>
    <t>1920</t>
  </si>
  <si>
    <t>SMAF-0040</t>
  </si>
  <si>
    <t>Head Pulley Asly.</t>
  </si>
  <si>
    <t>515</t>
  </si>
  <si>
    <t>17/11/2025 12:00:00 am</t>
  </si>
  <si>
    <t>2259th</t>
  </si>
  <si>
    <t>SMHE-0077+78+79+80+81+82</t>
  </si>
  <si>
    <t>74555</t>
  </si>
  <si>
    <t>75870</t>
  </si>
  <si>
    <t>14/11/2025</t>
  </si>
  <si>
    <t>233</t>
  </si>
  <si>
    <t>16/11/2025</t>
  </si>
  <si>
    <t>SGLE-0068</t>
  </si>
  <si>
    <t>Brown + White</t>
  </si>
  <si>
    <t>26190</t>
  </si>
  <si>
    <t>26820</t>
  </si>
  <si>
    <t>15/11/2025</t>
  </si>
  <si>
    <t>Complate Mill</t>
  </si>
  <si>
    <t>185319</t>
  </si>
  <si>
    <t>194345</t>
  </si>
  <si>
    <t>2296th</t>
  </si>
  <si>
    <t>SDWA-0032</t>
  </si>
  <si>
    <t>Brown + Red</t>
  </si>
  <si>
    <t>920</t>
  </si>
  <si>
    <t>2262nd</t>
  </si>
  <si>
    <t>SUCL-0025</t>
  </si>
  <si>
    <t>Black+ Yellow</t>
  </si>
  <si>
    <t>3928</t>
  </si>
  <si>
    <t>4100</t>
  </si>
  <si>
    <t>18/11/2025</t>
  </si>
  <si>
    <t>23/11/2025</t>
  </si>
  <si>
    <t>226</t>
  </si>
  <si>
    <t>31/10/2025</t>
  </si>
  <si>
    <t>25/11/2025 12:00:00 am</t>
  </si>
  <si>
    <t>4th</t>
  </si>
  <si>
    <t>SSIM-0078</t>
  </si>
  <si>
    <t>23060</t>
  </si>
  <si>
    <t>23290</t>
  </si>
  <si>
    <t>30/11/2025</t>
  </si>
  <si>
    <t>219</t>
  </si>
  <si>
    <t>30/11/2025 12:00:00 am</t>
  </si>
  <si>
    <t>(S)KOMATI</t>
  </si>
  <si>
    <t>6985</t>
  </si>
  <si>
    <t>7170</t>
  </si>
  <si>
    <t>02/12/2025</t>
  </si>
  <si>
    <t>217</t>
  </si>
  <si>
    <t>12/11/2025</t>
  </si>
  <si>
    <t>03/12/2025 12:00:00 am</t>
  </si>
  <si>
    <t>430</t>
  </si>
  <si>
    <t>Black + White</t>
  </si>
  <si>
    <t>5860</t>
  </si>
  <si>
    <t>04/12/2025</t>
  </si>
  <si>
    <t>65</t>
  </si>
  <si>
    <t>02/08/1900 12:00:00 am</t>
  </si>
  <si>
    <t>31/12/1899 12:00:00 am</t>
  </si>
  <si>
    <t>04/12/2025 12:00:00 am</t>
  </si>
  <si>
    <t>23400</t>
  </si>
  <si>
    <t>24160</t>
  </si>
  <si>
    <t>12/12/2025</t>
  </si>
  <si>
    <t>207</t>
  </si>
  <si>
    <t>07/12/2025</t>
  </si>
  <si>
    <t>15/12/2025 12:00:00 am</t>
  </si>
  <si>
    <t>Brown+ Black</t>
  </si>
  <si>
    <t>790</t>
  </si>
  <si>
    <t>15/12/2025</t>
  </si>
  <si>
    <t>23/12/2025</t>
  </si>
  <si>
    <t>196</t>
  </si>
  <si>
    <t>18/12/2025</t>
  </si>
  <si>
    <t>25/12/2025 12:00:00 am</t>
  </si>
  <si>
    <t>2580</t>
  </si>
  <si>
    <t>2835</t>
  </si>
  <si>
    <t>Tail Pulley</t>
  </si>
  <si>
    <t>24/12/2025</t>
  </si>
  <si>
    <t>19/12/2025</t>
  </si>
  <si>
    <t>Black+ Blue</t>
  </si>
  <si>
    <t>27/12/2025</t>
  </si>
  <si>
    <t>-27</t>
  </si>
  <si>
    <t>22/12/2025</t>
  </si>
  <si>
    <t>30/12/2025 12:00:00 am</t>
  </si>
  <si>
    <t>29/12/2025</t>
  </si>
  <si>
    <t>190</t>
  </si>
  <si>
    <t>(S) TRANSMARA</t>
  </si>
  <si>
    <t>STMA-0028</t>
  </si>
  <si>
    <t>Black + Gary</t>
  </si>
  <si>
    <t>7680</t>
  </si>
  <si>
    <t>7800</t>
  </si>
  <si>
    <t>20/12/2025</t>
  </si>
  <si>
    <t>(S) SAVANNAH</t>
  </si>
  <si>
    <t>Green + Yellow</t>
  </si>
  <si>
    <t>17810</t>
  </si>
  <si>
    <t>05/01/2026</t>
  </si>
  <si>
    <t>10/02/1900 12:00:00 am</t>
  </si>
  <si>
    <t>183</t>
  </si>
  <si>
    <t>31/12/2025</t>
  </si>
  <si>
    <t>05/01/2026 12:00:00 am</t>
  </si>
  <si>
    <t>Black + Blue +Pink</t>
  </si>
  <si>
    <t>-46027</t>
  </si>
  <si>
    <t>13/01/2026</t>
  </si>
  <si>
    <t>175</t>
  </si>
  <si>
    <t>08/01/2026</t>
  </si>
  <si>
    <t>13/01/2026 12:00:00 am</t>
  </si>
  <si>
    <t>Black + orange</t>
  </si>
  <si>
    <t>-7</t>
  </si>
  <si>
    <t>22/01/2026</t>
  </si>
  <si>
    <t>169</t>
  </si>
  <si>
    <t>17/01/2026</t>
  </si>
  <si>
    <t>19/01/2026</t>
  </si>
  <si>
    <t>-3</t>
  </si>
  <si>
    <t>21/01/2026 12:00:00 am</t>
  </si>
  <si>
    <t>2120</t>
  </si>
  <si>
    <t>30/12/2025</t>
  </si>
  <si>
    <t>16/01/2026</t>
  </si>
  <si>
    <t>17/01/1900 12:00:00 am</t>
  </si>
  <si>
    <t>11/01/2026</t>
  </si>
  <si>
    <t>STMA-0027</t>
  </si>
  <si>
    <t>7335</t>
  </si>
  <si>
    <t>7455</t>
  </si>
  <si>
    <t>23/01/2026</t>
  </si>
  <si>
    <t>165</t>
  </si>
  <si>
    <t>18/01/2026</t>
  </si>
  <si>
    <t>23/01/2026 12:00:00 am</t>
  </si>
  <si>
    <t>21780</t>
  </si>
  <si>
    <t>22080</t>
  </si>
  <si>
    <t>29/01/2026</t>
  </si>
  <si>
    <t>30/01/2026</t>
  </si>
  <si>
    <t>158</t>
  </si>
  <si>
    <t>25/01/2026</t>
  </si>
  <si>
    <t>31/01/2026 12:00:00 am</t>
  </si>
  <si>
    <t>Black + Green + Yellow</t>
  </si>
  <si>
    <t>26/01/2026</t>
  </si>
  <si>
    <t>QEN/QE</t>
  </si>
  <si>
    <t>Black + Gray + Yellow</t>
  </si>
  <si>
    <t>157</t>
  </si>
  <si>
    <t>31/01/2026</t>
  </si>
  <si>
    <t>SAVANNAH</t>
  </si>
  <si>
    <t>SSAV-0011+12+13</t>
  </si>
  <si>
    <t>Pinion+ Keys</t>
  </si>
  <si>
    <t>4+16</t>
  </si>
  <si>
    <t>16565</t>
  </si>
  <si>
    <t>01/02/2026</t>
  </si>
  <si>
    <t>156</t>
  </si>
  <si>
    <t>27/01/2026</t>
  </si>
  <si>
    <t>SKIL-0057+58+59</t>
  </si>
  <si>
    <t>Liner + Trash Beam</t>
  </si>
  <si>
    <t>1245</t>
  </si>
  <si>
    <t>1580</t>
  </si>
  <si>
    <t>13/02/2026</t>
  </si>
  <si>
    <t>144</t>
  </si>
  <si>
    <t>08/02/2026</t>
  </si>
  <si>
    <t>10/02/2026 12:00:00 am</t>
  </si>
  <si>
    <t>SKIL-0056+60</t>
  </si>
  <si>
    <t>Dirve Pinion</t>
  </si>
  <si>
    <t>1080</t>
  </si>
  <si>
    <t>SNAK-0100</t>
  </si>
  <si>
    <t>1560</t>
  </si>
  <si>
    <t>SNAK-0099</t>
  </si>
  <si>
    <t>1020</t>
  </si>
  <si>
    <t>09/02/2026</t>
  </si>
  <si>
    <t>148</t>
  </si>
  <si>
    <t>04/02/2026</t>
  </si>
  <si>
    <t>SHIP-0085+86+87</t>
  </si>
  <si>
    <t>Bearing+Shaft+ Trashplate</t>
  </si>
  <si>
    <t>2+4+2</t>
  </si>
  <si>
    <t>2385</t>
  </si>
  <si>
    <t>2750</t>
  </si>
  <si>
    <t>18/02/2026 12:00:00 am</t>
  </si>
  <si>
    <t>1420</t>
  </si>
  <si>
    <t>19/02/2026</t>
  </si>
  <si>
    <t>138</t>
  </si>
  <si>
    <t>14/02/2026</t>
  </si>
  <si>
    <t>20/02/2026</t>
  </si>
  <si>
    <t>137</t>
  </si>
  <si>
    <t>15/02/2026</t>
  </si>
  <si>
    <t>20/02/2026 12:00:00 am</t>
  </si>
  <si>
    <t>2060</t>
  </si>
  <si>
    <t>25/02/2026</t>
  </si>
  <si>
    <t>SHIP-0089+0090</t>
  </si>
  <si>
    <t>White+Black +Yellow</t>
  </si>
  <si>
    <t>4+4</t>
  </si>
  <si>
    <t>1150</t>
  </si>
  <si>
    <t>10/02/2026</t>
  </si>
  <si>
    <t>124</t>
  </si>
  <si>
    <t>28/02/2026</t>
  </si>
  <si>
    <t>09/03/2026 12:00:00 am</t>
  </si>
  <si>
    <t>SNAK-0103</t>
  </si>
  <si>
    <t>Trashplate for Mill # 3</t>
  </si>
  <si>
    <t>1295</t>
  </si>
  <si>
    <t>27/02/2026</t>
  </si>
  <si>
    <t>130</t>
  </si>
  <si>
    <t>22/02/2026</t>
  </si>
  <si>
    <t>12/03/2026 12:00:00 am</t>
  </si>
  <si>
    <t>By Air 2nd</t>
  </si>
  <si>
    <t>SNAK-0106</t>
  </si>
  <si>
    <t>580</t>
  </si>
  <si>
    <t>640</t>
  </si>
  <si>
    <t>11/03/2026</t>
  </si>
  <si>
    <t>-46092</t>
  </si>
  <si>
    <t>06/03/2026</t>
  </si>
  <si>
    <t>By Air 1st B</t>
  </si>
  <si>
    <t>SNAK-0105</t>
  </si>
  <si>
    <t>15/03/2026</t>
  </si>
  <si>
    <t>114</t>
  </si>
  <si>
    <t>10/03/2026</t>
  </si>
  <si>
    <t>1+2+4+1</t>
  </si>
  <si>
    <t>52790</t>
  </si>
  <si>
    <t>60395</t>
  </si>
  <si>
    <t>119</t>
  </si>
  <si>
    <t>By Air 1st</t>
  </si>
  <si>
    <t>SNAK-0102</t>
  </si>
  <si>
    <t>880</t>
  </si>
  <si>
    <t>995</t>
  </si>
  <si>
    <t>23/02/2026</t>
  </si>
  <si>
    <t>134</t>
  </si>
  <si>
    <t>18/02/2026</t>
  </si>
  <si>
    <t>04/03/2026 12:00:00 am</t>
  </si>
  <si>
    <t>1140</t>
  </si>
  <si>
    <t>1280</t>
  </si>
  <si>
    <t>24/02/2026</t>
  </si>
  <si>
    <t>133</t>
  </si>
  <si>
    <t>By Air 3rd</t>
  </si>
  <si>
    <t>1300</t>
  </si>
  <si>
    <t>13/03/2026</t>
  </si>
  <si>
    <t>116</t>
  </si>
  <si>
    <t>08/03/2026</t>
  </si>
  <si>
    <t>17/03/2026 12:00:00 am</t>
  </si>
  <si>
    <t>SNAK-0101</t>
  </si>
  <si>
    <t>17/03/2026</t>
  </si>
  <si>
    <t>112</t>
  </si>
  <si>
    <t>12/03/2026</t>
  </si>
  <si>
    <t>White+ Brown</t>
  </si>
  <si>
    <t>24/03/2026 12:00:00 am</t>
  </si>
  <si>
    <t>8370</t>
  </si>
  <si>
    <t>26/03/2026</t>
  </si>
  <si>
    <t>103</t>
  </si>
  <si>
    <t>21/03/2026</t>
  </si>
  <si>
    <t>26/03/2026 12:00:00 am</t>
  </si>
  <si>
    <t>By Air 2nd B</t>
  </si>
  <si>
    <t>1025</t>
  </si>
  <si>
    <t>30/03/2026</t>
  </si>
  <si>
    <t>99</t>
  </si>
  <si>
    <t>25/03/2026</t>
  </si>
  <si>
    <t>03/04/2026 12:00:00 am</t>
  </si>
  <si>
    <t>SNAK-0104</t>
  </si>
  <si>
    <t>875</t>
  </si>
  <si>
    <t>31/03/2026 12:00:00 am</t>
  </si>
  <si>
    <t>Hardware</t>
  </si>
  <si>
    <t>145</t>
  </si>
  <si>
    <t>01/04/2026</t>
  </si>
  <si>
    <t>97</t>
  </si>
  <si>
    <t>08/04/2026</t>
  </si>
  <si>
    <t>13/04/2026 12:00:00 am</t>
  </si>
  <si>
    <t>435</t>
  </si>
  <si>
    <t>21/04/2026 12:00:00 am</t>
  </si>
  <si>
    <t>17/04/2026</t>
  </si>
  <si>
    <t>06/04/2026</t>
  </si>
  <si>
    <t>SNAK-0110</t>
  </si>
  <si>
    <t>Tail Sprocket Asly</t>
  </si>
  <si>
    <t>12/04/2026</t>
  </si>
  <si>
    <t>20/04/2026</t>
  </si>
  <si>
    <t>Blue + Red</t>
  </si>
  <si>
    <t>365</t>
  </si>
  <si>
    <t>(S) SOMDIAA SARIS</t>
  </si>
  <si>
    <t>2 Asly</t>
  </si>
  <si>
    <t>10/04/2026</t>
  </si>
  <si>
    <t>15/04/2026</t>
  </si>
  <si>
    <t>83</t>
  </si>
  <si>
    <t>24/04/2026 12:00:00 am</t>
  </si>
  <si>
    <t>SNAK-0108</t>
  </si>
  <si>
    <t>26/04/2026</t>
  </si>
  <si>
    <t>21/04/2026</t>
  </si>
  <si>
    <t>29/04/2026 12:00:00 am</t>
  </si>
  <si>
    <t>SNAK-0109</t>
  </si>
  <si>
    <t>28/04/2026</t>
  </si>
  <si>
    <t>23/04/2026</t>
  </si>
  <si>
    <t>01/05/2026 12:00:00 am</t>
  </si>
  <si>
    <t>Red + Yellow</t>
  </si>
  <si>
    <t>1130</t>
  </si>
  <si>
    <t>Black + Brown</t>
  </si>
  <si>
    <t>Green+ Black</t>
  </si>
  <si>
    <t>30/04/2026</t>
  </si>
  <si>
    <t>68</t>
  </si>
  <si>
    <t>25/04/2026</t>
  </si>
  <si>
    <t>08/05/2026</t>
  </si>
  <si>
    <t>03/05/2026</t>
  </si>
  <si>
    <t>10/06/2026 12:00:00 am</t>
  </si>
  <si>
    <t>21/05/2026</t>
  </si>
  <si>
    <t>47</t>
  </si>
  <si>
    <t>16/05/2026</t>
  </si>
  <si>
    <t>2320</t>
  </si>
  <si>
    <t>3240</t>
  </si>
  <si>
    <t>Green + Black</t>
  </si>
  <si>
    <t>736</t>
  </si>
  <si>
    <t>01/07/2026 12:00:00 am</t>
  </si>
  <si>
    <t>Green + Pink</t>
  </si>
  <si>
    <t>465</t>
  </si>
  <si>
    <t>2720</t>
  </si>
  <si>
    <t>3080</t>
  </si>
  <si>
    <t>Pink + Orange</t>
  </si>
  <si>
    <t>278</t>
  </si>
  <si>
    <t>Red + Blue</t>
  </si>
  <si>
    <t>583</t>
  </si>
  <si>
    <t>683</t>
  </si>
  <si>
    <t>24/06/2026</t>
  </si>
  <si>
    <t>IOL MEMO No. 213 - 2265 ( FOCR )</t>
  </si>
  <si>
    <t>Sapre</t>
  </si>
  <si>
    <t>Green + Blue + Black</t>
  </si>
  <si>
    <t>1317</t>
  </si>
  <si>
    <t>1595</t>
  </si>
  <si>
    <t>Blue + Brown</t>
  </si>
  <si>
    <t>895</t>
  </si>
  <si>
    <t>Blue + Green</t>
  </si>
  <si>
    <t>NPC SIMUMA</t>
  </si>
  <si>
    <t>24-020</t>
  </si>
  <si>
    <t>NPCS-0004</t>
  </si>
  <si>
    <t>Lifters</t>
  </si>
  <si>
    <t>19/07/2024</t>
  </si>
  <si>
    <t>27/07/2024 12:00:00 am</t>
  </si>
  <si>
    <t>2025th</t>
  </si>
  <si>
    <t>IZAO-0024+25</t>
  </si>
  <si>
    <t>Top Roll Asly + Shaft</t>
  </si>
  <si>
    <t>1 + 1</t>
  </si>
  <si>
    <t>28335</t>
  </si>
  <si>
    <t>28750</t>
  </si>
  <si>
    <t>17/07/2024</t>
  </si>
  <si>
    <t>25/07/2024</t>
  </si>
  <si>
    <t>12/07/2024</t>
  </si>
  <si>
    <t>C. COLON</t>
  </si>
  <si>
    <t>2044th</t>
  </si>
  <si>
    <t>ICCN-0097+98+99</t>
  </si>
  <si>
    <t>Red Oxide</t>
  </si>
  <si>
    <t>13 + 5</t>
  </si>
  <si>
    <t>7740</t>
  </si>
  <si>
    <t>8585</t>
  </si>
  <si>
    <t>30/07/2024</t>
  </si>
  <si>
    <t>02/08/2024</t>
  </si>
  <si>
    <t>2071st</t>
  </si>
  <si>
    <t>PGMP-0017</t>
  </si>
  <si>
    <t>25980</t>
  </si>
  <si>
    <t>26610</t>
  </si>
  <si>
    <t>1996th</t>
  </si>
  <si>
    <t>CASA-0027+28+29</t>
  </si>
  <si>
    <t>54370</t>
  </si>
  <si>
    <t>55300</t>
  </si>
  <si>
    <t>TULULA</t>
  </si>
  <si>
    <t>2031st</t>
  </si>
  <si>
    <t>INGT-0082+83+84+85+86</t>
  </si>
  <si>
    <t>Bearing HousIng + Liner</t>
  </si>
  <si>
    <t>8 + 6</t>
  </si>
  <si>
    <t>3517</t>
  </si>
  <si>
    <t>4790</t>
  </si>
  <si>
    <t>21/07/2024</t>
  </si>
  <si>
    <t>SAN ANTONIO</t>
  </si>
  <si>
    <t>2041st</t>
  </si>
  <si>
    <t>NSEA-0034</t>
  </si>
  <si>
    <t>P.F. Chute Plates</t>
  </si>
  <si>
    <t>02/08/2024 12:00:00 am</t>
  </si>
  <si>
    <t>FOC</t>
  </si>
  <si>
    <t>CE-IDM-24-069</t>
  </si>
  <si>
    <t>QECS-0013+14+15</t>
  </si>
  <si>
    <t>Hammer For Gypsum Crusher +Shell Liner Type-E-Apd+ Inner Screen Plate K260 Position 3</t>
  </si>
  <si>
    <t>1+2+1</t>
  </si>
  <si>
    <t>120</t>
  </si>
  <si>
    <t>15/08/2024 12:00:00 am</t>
  </si>
  <si>
    <t>W.S. ( INVICTA )</t>
  </si>
  <si>
    <t>2042nd</t>
  </si>
  <si>
    <t>INTA-0001</t>
  </si>
  <si>
    <t>Pink+ Orange</t>
  </si>
  <si>
    <t>1886</t>
  </si>
  <si>
    <t>2085</t>
  </si>
  <si>
    <t>20/07/2024</t>
  </si>
  <si>
    <t>W. S. ( PLANE CREEK )</t>
  </si>
  <si>
    <t>2043rd</t>
  </si>
  <si>
    <t>PCRK-0001</t>
  </si>
  <si>
    <t>Pink+Black</t>
  </si>
  <si>
    <t>3790</t>
  </si>
  <si>
    <t>4090</t>
  </si>
  <si>
    <t>1964th 1st Batch</t>
  </si>
  <si>
    <t>MLTS-0027+28+29+30+31+32+33</t>
  </si>
  <si>
    <t>Liner + Bearing Asly</t>
  </si>
  <si>
    <t>4 +4+ 3+3+4+8+8</t>
  </si>
  <si>
    <t>13150</t>
  </si>
  <si>
    <t>15460</t>
  </si>
  <si>
    <t>-11</t>
  </si>
  <si>
    <t>26/08/2024</t>
  </si>
  <si>
    <t>1992nd</t>
  </si>
  <si>
    <t>IPSA-0049+50+51+52</t>
  </si>
  <si>
    <t>Side Bearing + Liner</t>
  </si>
  <si>
    <t>4 + 16</t>
  </si>
  <si>
    <t>6710</t>
  </si>
  <si>
    <t>7710</t>
  </si>
  <si>
    <t>28/06/2024</t>
  </si>
  <si>
    <t>19/08/2024 12:00:00 am</t>
  </si>
  <si>
    <t>2039th</t>
  </si>
  <si>
    <t>PALG-0295+0296</t>
  </si>
  <si>
    <t>Mill Tailbars</t>
  </si>
  <si>
    <t>10055</t>
  </si>
  <si>
    <t>10860</t>
  </si>
  <si>
    <t>16/08/2024</t>
  </si>
  <si>
    <t>11/08/2024</t>
  </si>
  <si>
    <t>2036th</t>
  </si>
  <si>
    <t>PALG-0293+0294</t>
  </si>
  <si>
    <t>Liner + Top Bearing Housings</t>
  </si>
  <si>
    <t>2 + 2</t>
  </si>
  <si>
    <t>3150</t>
  </si>
  <si>
    <t>13/08/2024</t>
  </si>
  <si>
    <t>07/08/2024</t>
  </si>
  <si>
    <t>2047th</t>
  </si>
  <si>
    <t>PGMP-0007+0008+0007+0008+0006+0011+12+0003+0004+0009+0014+PGMP-0015</t>
  </si>
  <si>
    <t>Blank Shells Coupling Box</t>
  </si>
  <si>
    <t>10+2</t>
  </si>
  <si>
    <t>144995</t>
  </si>
  <si>
    <t>145890</t>
  </si>
  <si>
    <t>24/08/2024</t>
  </si>
  <si>
    <t>19/08/2024</t>
  </si>
  <si>
    <t>PGMP-0016+05</t>
  </si>
  <si>
    <t>Blank Shells+ Tailbar</t>
  </si>
  <si>
    <t>12169</t>
  </si>
  <si>
    <t>12370</t>
  </si>
  <si>
    <t>08/08/2024</t>
  </si>
  <si>
    <t>29/08/2024 12:00:00 am</t>
  </si>
  <si>
    <t>1995th</t>
  </si>
  <si>
    <t>MAGZ-0034</t>
  </si>
  <si>
    <t>Bank Shells</t>
  </si>
  <si>
    <t>6410</t>
  </si>
  <si>
    <t>6560</t>
  </si>
  <si>
    <t>01/08/2024</t>
  </si>
  <si>
    <t>22/08/2024 12:00:00 am</t>
  </si>
  <si>
    <t>MAGZ-0032+33</t>
  </si>
  <si>
    <t>16350</t>
  </si>
  <si>
    <t>16700</t>
  </si>
  <si>
    <t>10/08/2024</t>
  </si>
  <si>
    <t>2010th</t>
  </si>
  <si>
    <t>INVI-0526+0527+0528+0529+0530+0531</t>
  </si>
  <si>
    <t>Scraper + Bearing Covers</t>
  </si>
  <si>
    <t>Blue+ Orange</t>
  </si>
  <si>
    <t>2 + 8</t>
  </si>
  <si>
    <t>14/08/2024</t>
  </si>
  <si>
    <t>AFRISAM</t>
  </si>
  <si>
    <t>24-008</t>
  </si>
  <si>
    <t>CL24-AFRD-0001</t>
  </si>
  <si>
    <t>Mill Tyre</t>
  </si>
  <si>
    <t>22800</t>
  </si>
  <si>
    <t>26100</t>
  </si>
  <si>
    <t>26/08/2024 12:00:00 am</t>
  </si>
  <si>
    <t>FCB</t>
  </si>
  <si>
    <t>2051st</t>
  </si>
  <si>
    <t>FCGL-0567</t>
  </si>
  <si>
    <t>BUSH for Top Cap</t>
  </si>
  <si>
    <t>03/09/2024 12:00:00 am</t>
  </si>
  <si>
    <t>2038th</t>
  </si>
  <si>
    <t>IPSA-0054</t>
  </si>
  <si>
    <t>Headstock + Fastening Beam  + Hydraulic Top Cap  + Feed Side Cap  + Discharge Side Cap + Bridge Cap + Primary Foundation Bolts + Secondary Foundation Bolts + King Bolts</t>
  </si>
  <si>
    <t>52190</t>
  </si>
  <si>
    <t>55905</t>
  </si>
  <si>
    <t>02/09/2024</t>
  </si>
  <si>
    <t>03/09/2024</t>
  </si>
  <si>
    <t>29/08/2024</t>
  </si>
  <si>
    <t>2061st</t>
  </si>
  <si>
    <t>LULS-0219+0220+0221+0222+0223+0224+0225+0226+0227+0228+0229+0230+0231+0232+0233+0234+0235+0236+0237+0238+0239+0240+0241</t>
  </si>
  <si>
    <t>Trash Plate + Scraper</t>
  </si>
  <si>
    <t>6860</t>
  </si>
  <si>
    <t>8065</t>
  </si>
  <si>
    <t>31/08/2024</t>
  </si>
  <si>
    <t>08/09/2024</t>
  </si>
  <si>
    <t>08/09/2024 12:00:00 am</t>
  </si>
  <si>
    <t>2062nd</t>
  </si>
  <si>
    <t>LAJO-0001</t>
  </si>
  <si>
    <t>Crown Pinions (Excl. Keys)</t>
  </si>
  <si>
    <t>Brown+Pink</t>
  </si>
  <si>
    <t>8790</t>
  </si>
  <si>
    <t>2053rd</t>
  </si>
  <si>
    <t>LAGL-0001</t>
  </si>
  <si>
    <t>Head Stocks</t>
  </si>
  <si>
    <t>Brown+White</t>
  </si>
  <si>
    <t>19840</t>
  </si>
  <si>
    <t>NATIONAL Ind.</t>
  </si>
  <si>
    <t>CE-IDM-24-019</t>
  </si>
  <si>
    <t>NICE-0001+0002+0003+0004+0005+0006</t>
  </si>
  <si>
    <t>18 IntermediaTte Grate + 18 OUTER GRATE FOR OUTLET + 18 B-BOLT KIT WITH RUBBER + 18 1 set = 1 Square Head Bolt + 2 washers + 1 Hexagon Nut + 1 Rubber Grommet</t>
  </si>
  <si>
    <t>18 + 18 + 18 + 18 1 set = 1 Square Head Bolt + 2 washers + 1 Hexagon Nut + 1 Rubber Grommet</t>
  </si>
  <si>
    <t>1175</t>
  </si>
  <si>
    <t>17/08/2024</t>
  </si>
  <si>
    <t>10/09/2024 12:00:00 am</t>
  </si>
  <si>
    <t>1964th</t>
  </si>
  <si>
    <t>MLTS-0028+29+30</t>
  </si>
  <si>
    <t>7615</t>
  </si>
  <si>
    <t>9060</t>
  </si>
  <si>
    <t>PPC ELISABETH</t>
  </si>
  <si>
    <t>CE-IDM-24-017</t>
  </si>
  <si>
    <t>PPPE-0001+0002+0003+0004 + 0005+0006</t>
  </si>
  <si>
    <t>LINERS + LINERS + LINERS + LINERS + BOLTS +  BOLTS</t>
  </si>
  <si>
    <t>117</t>
  </si>
  <si>
    <t>3545</t>
  </si>
  <si>
    <t>4070</t>
  </si>
  <si>
    <t>PPC RIEBEEK</t>
  </si>
  <si>
    <t>CE-IDM-24-016</t>
  </si>
  <si>
    <t>PPCR-0001+0002+0003+0004+0005+0006+0007+0008+0009+0010+0011</t>
  </si>
  <si>
    <t>16 LINER RAW MILL XH-351 + 16 LINER RAW MILL XH-471 + 75 LINER FINISH MILL, XH-700 +  32 LINER FINISH MILL , XH-757 + 8 LINER RAW MILL , X0-175 + 16 LINER FINISH MILL,XH-758 + 8 LINER RAW MILL , XO-177  +  3 LINER FINISH MILL ,XH-756 + 4 LINER FINISH MILL , XH-759 + 16 LINER RAW MILL , XH-472 + 16 LINER RAW MILL , XH-752 +</t>
  </si>
  <si>
    <t>19090</t>
  </si>
  <si>
    <t>HIEDCO</t>
  </si>
  <si>
    <t>2059th</t>
  </si>
  <si>
    <t>HDCO-0003</t>
  </si>
  <si>
    <t>Discharge Roller Aslys</t>
  </si>
  <si>
    <t>Brown+Black</t>
  </si>
  <si>
    <t>15805</t>
  </si>
  <si>
    <t>16070</t>
  </si>
  <si>
    <t>12/09/2024 12:00:00 am</t>
  </si>
  <si>
    <t>2050th</t>
  </si>
  <si>
    <t>NSEA-0035+0036</t>
  </si>
  <si>
    <t>Top Roller Asly. + Crown Pinion ( Excl. Keys )</t>
  </si>
  <si>
    <t>14095</t>
  </si>
  <si>
    <t>14560</t>
  </si>
  <si>
    <t>13/09/2024</t>
  </si>
  <si>
    <t>14/09/2024 12:00:00 am</t>
  </si>
  <si>
    <t>CE-IDM-24-024</t>
  </si>
  <si>
    <t>FLSE-0040</t>
  </si>
  <si>
    <t>2080th</t>
  </si>
  <si>
    <t>INVI-0534</t>
  </si>
  <si>
    <t>115</t>
  </si>
  <si>
    <t>15/09/2024 12:00:00 am</t>
  </si>
  <si>
    <t>2094th</t>
  </si>
  <si>
    <t>GFUL-0090+91+92+93+94+95</t>
  </si>
  <si>
    <t>Scrapers</t>
  </si>
  <si>
    <t>Red Oxide + Orange</t>
  </si>
  <si>
    <t>2420</t>
  </si>
  <si>
    <t>16/09/2024</t>
  </si>
  <si>
    <t>-659</t>
  </si>
  <si>
    <t>16/09/2024 12:00:00 am</t>
  </si>
  <si>
    <t>20390</t>
  </si>
  <si>
    <t>18/09/2024</t>
  </si>
  <si>
    <t>18/09/2024 12:00:00 am</t>
  </si>
  <si>
    <t>CE-IDM-24-021</t>
  </si>
  <si>
    <t>FFCB-0002</t>
  </si>
  <si>
    <t>Mechanical Ball Joint For Bearing</t>
  </si>
  <si>
    <t>320</t>
  </si>
  <si>
    <t>Packed By Air</t>
  </si>
  <si>
    <t>19/09/2024 12:00:00 am</t>
  </si>
  <si>
    <t>2058th</t>
  </si>
  <si>
    <t>INVI-0532</t>
  </si>
  <si>
    <t>125</t>
  </si>
  <si>
    <t>20/09/2024</t>
  </si>
  <si>
    <t>25/09/2024</t>
  </si>
  <si>
    <t>2082nd</t>
  </si>
  <si>
    <t>PSMI-0043+44+45</t>
  </si>
  <si>
    <t>14670</t>
  </si>
  <si>
    <t>16530</t>
  </si>
  <si>
    <t>01/10/2024 12:00:00 am</t>
  </si>
  <si>
    <t>CARTAVIO</t>
  </si>
  <si>
    <t>1989th</t>
  </si>
  <si>
    <t>CART-0022+23+24</t>
  </si>
  <si>
    <t>Shells (Grooved)</t>
  </si>
  <si>
    <t>64410</t>
  </si>
  <si>
    <t>65580</t>
  </si>
  <si>
    <t>27/09/2024</t>
  </si>
  <si>
    <t>2104th</t>
  </si>
  <si>
    <t>LAUN-0089</t>
  </si>
  <si>
    <t>2990</t>
  </si>
  <si>
    <t>07/10/2024 12:00:00 am</t>
  </si>
  <si>
    <t>24-028</t>
  </si>
  <si>
    <t>MSDI-0011</t>
  </si>
  <si>
    <t>Nose Ring + Bolt</t>
  </si>
  <si>
    <t>2510</t>
  </si>
  <si>
    <t>3190</t>
  </si>
  <si>
    <t>INTER UNION</t>
  </si>
  <si>
    <t>1814th</t>
  </si>
  <si>
    <t>INTR-0006+7+8+9+10+11+12+13+14+15</t>
  </si>
  <si>
    <t>5 Mill Aslys + Spares</t>
  </si>
  <si>
    <t>QEN+QE</t>
  </si>
  <si>
    <t>5+24</t>
  </si>
  <si>
    <t>36830</t>
  </si>
  <si>
    <t>47580</t>
  </si>
  <si>
    <t>02/02/2024</t>
  </si>
  <si>
    <t>28/02/2024</t>
  </si>
  <si>
    <t>25/01/2024</t>
  </si>
  <si>
    <t>01/03/2024 12:00:00 am</t>
  </si>
  <si>
    <t>2002nd</t>
  </si>
  <si>
    <t>FCGL-0558</t>
  </si>
  <si>
    <t>5430</t>
  </si>
  <si>
    <t>5690</t>
  </si>
  <si>
    <t>03/07/2024</t>
  </si>
  <si>
    <t>07/09/2024 12:00:00 am</t>
  </si>
  <si>
    <t>2063rd</t>
  </si>
  <si>
    <t>ISCR-0008</t>
  </si>
  <si>
    <t>Mill Roll Shafts</t>
  </si>
  <si>
    <t>10560</t>
  </si>
  <si>
    <t>10900</t>
  </si>
  <si>
    <t>11/09/2024</t>
  </si>
  <si>
    <t>2069th</t>
  </si>
  <si>
    <t>FCGL-0568+0569</t>
  </si>
  <si>
    <t>2049th</t>
  </si>
  <si>
    <t>LAUN-0086+0087+0088</t>
  </si>
  <si>
    <t>Scraper + Bearing Aslys.</t>
  </si>
  <si>
    <t>QE+QEN</t>
  </si>
  <si>
    <t>11410</t>
  </si>
  <si>
    <t>13320</t>
  </si>
  <si>
    <t>2072nd</t>
  </si>
  <si>
    <t>CHAP-0019</t>
  </si>
  <si>
    <t>720</t>
  </si>
  <si>
    <t>2055th</t>
  </si>
  <si>
    <t>BUSM-0056+0057+0058</t>
  </si>
  <si>
    <t>48535</t>
  </si>
  <si>
    <t>49290</t>
  </si>
  <si>
    <t>26/09/2024</t>
  </si>
  <si>
    <t>24-018</t>
  </si>
  <si>
    <t>FLSE-0039</t>
  </si>
  <si>
    <t>4460</t>
  </si>
  <si>
    <t>4660</t>
  </si>
  <si>
    <t>2091st</t>
  </si>
  <si>
    <t>INVI-0537</t>
  </si>
  <si>
    <t>2074th</t>
  </si>
  <si>
    <t>ISCE-0010+11</t>
  </si>
  <si>
    <t>Crown Pinion  ( Excl. Keys )</t>
  </si>
  <si>
    <t>9530</t>
  </si>
  <si>
    <t>14/10/2024</t>
  </si>
  <si>
    <t>INVI-0533+35+36</t>
  </si>
  <si>
    <t>Scraper + Trashplate</t>
  </si>
  <si>
    <t>650</t>
  </si>
  <si>
    <t>24-023</t>
  </si>
  <si>
    <t>MACG-0001</t>
  </si>
  <si>
    <t>Blow Bar</t>
  </si>
  <si>
    <t>940</t>
  </si>
  <si>
    <t>1090</t>
  </si>
  <si>
    <t>03/10/2024</t>
  </si>
  <si>
    <t>21/10/2024 12:00:00 am</t>
  </si>
  <si>
    <t>2037th</t>
  </si>
  <si>
    <t>FCGL-0560+0561+0562+0563+0564+0565</t>
  </si>
  <si>
    <t>Headstock + Side Caps +  Pin + Trash Plate + Foundation Bolts</t>
  </si>
  <si>
    <t>23045</t>
  </si>
  <si>
    <t>24645</t>
  </si>
  <si>
    <t>49</t>
  </si>
  <si>
    <t>2105th</t>
  </si>
  <si>
    <t>LAUN-0090</t>
  </si>
  <si>
    <t>Mill Crown Pinion ( Excl. Keys )</t>
  </si>
  <si>
    <t>5220</t>
  </si>
  <si>
    <t>5780</t>
  </si>
  <si>
    <t>30/10/2024</t>
  </si>
  <si>
    <t>25/10/2024</t>
  </si>
  <si>
    <t>26/10/2024</t>
  </si>
  <si>
    <t>28/10/2024 12:00:00 am</t>
  </si>
  <si>
    <t>2088th</t>
  </si>
  <si>
    <t>BLIZ-0002</t>
  </si>
  <si>
    <t>17370</t>
  </si>
  <si>
    <t>17625</t>
  </si>
  <si>
    <t>2064th</t>
  </si>
  <si>
    <t>ALMA-0072+71</t>
  </si>
  <si>
    <t>Mill Roller Aslys</t>
  </si>
  <si>
    <t>28310</t>
  </si>
  <si>
    <t>29165</t>
  </si>
  <si>
    <t>29/10/2024</t>
  </si>
  <si>
    <t>04/11/2024 12:00:00 am</t>
  </si>
  <si>
    <t>PPC - DE HOEK PLANT</t>
  </si>
  <si>
    <t>24-025</t>
  </si>
  <si>
    <t>PPCS-0005</t>
  </si>
  <si>
    <t>Inner Screen Plate+ Outet Screen Plate+ Bolt For Liner+Washer</t>
  </si>
  <si>
    <t>QE / QCL</t>
  </si>
  <si>
    <t>184</t>
  </si>
  <si>
    <t>2440</t>
  </si>
  <si>
    <t>2680</t>
  </si>
  <si>
    <t>30/10/2024 12:00:00 am</t>
  </si>
  <si>
    <t>24-027</t>
  </si>
  <si>
    <t>PPCS-0008+9+10+11+12+13+14+15+16+17+18+19+20+21+22+23+24+25+26+27+28+29+30+31+32+33+34+35+36+37+38</t>
  </si>
  <si>
    <t>879</t>
  </si>
  <si>
    <t>3470</t>
  </si>
  <si>
    <t>3945</t>
  </si>
  <si>
    <t>-8</t>
  </si>
  <si>
    <t>GUABIRA</t>
  </si>
  <si>
    <t>2065th</t>
  </si>
  <si>
    <t>IAGA-0029+30</t>
  </si>
  <si>
    <t>Top Rollers</t>
  </si>
  <si>
    <t>Black + Orange</t>
  </si>
  <si>
    <t>11180</t>
  </si>
  <si>
    <t>11500</t>
  </si>
  <si>
    <t>08/11/2024 12:00:00 am</t>
  </si>
  <si>
    <t>AFRISAM - ULCO PLANT</t>
  </si>
  <si>
    <t>24-029</t>
  </si>
  <si>
    <t>CE24-AFUL-0003</t>
  </si>
  <si>
    <t>1045</t>
  </si>
  <si>
    <t>-16</t>
  </si>
  <si>
    <t>24-026</t>
  </si>
  <si>
    <t>FLSE-0041</t>
  </si>
  <si>
    <t>16500</t>
  </si>
  <si>
    <t>17680</t>
  </si>
  <si>
    <t>04/10/2024</t>
  </si>
  <si>
    <t>2107th</t>
  </si>
  <si>
    <t>FCGL-0571</t>
  </si>
  <si>
    <t>5325</t>
  </si>
  <si>
    <t>6045</t>
  </si>
  <si>
    <t>-14</t>
  </si>
  <si>
    <t>01/11/2024</t>
  </si>
  <si>
    <t>24-030</t>
  </si>
  <si>
    <t>CE24-MSDI-0012+13</t>
  </si>
  <si>
    <t>Lifter 225 +Bolt + Nut</t>
  </si>
  <si>
    <t>24+50 Sets</t>
  </si>
  <si>
    <t>1732</t>
  </si>
  <si>
    <t>2092</t>
  </si>
  <si>
    <t>599</t>
  </si>
  <si>
    <t>15/11/2024 12:00:00 am</t>
  </si>
  <si>
    <t>ALMA-0069+70</t>
  </si>
  <si>
    <t>37415</t>
  </si>
  <si>
    <t>38070</t>
  </si>
  <si>
    <t>16/11/2024</t>
  </si>
  <si>
    <t>2106th</t>
  </si>
  <si>
    <t>CASA-0030+31+32+33+34</t>
  </si>
  <si>
    <t>TrashPlates +Scraper</t>
  </si>
  <si>
    <t>3+3+3+3+3</t>
  </si>
  <si>
    <t>4770</t>
  </si>
  <si>
    <t>5580</t>
  </si>
  <si>
    <t>601</t>
  </si>
  <si>
    <t>13/11/2024</t>
  </si>
  <si>
    <t>10450</t>
  </si>
  <si>
    <t>11745</t>
  </si>
  <si>
    <t>609</t>
  </si>
  <si>
    <t>18/11/2024 12:00:00 am</t>
  </si>
  <si>
    <t>2101st</t>
  </si>
  <si>
    <t>NESA-0038</t>
  </si>
  <si>
    <t>Black + Pink</t>
  </si>
  <si>
    <t>1570</t>
  </si>
  <si>
    <t>1800</t>
  </si>
  <si>
    <t>597</t>
  </si>
  <si>
    <t>17/11/2024</t>
  </si>
  <si>
    <t>20/11/2024 12:00:00 am</t>
  </si>
  <si>
    <t>2108th</t>
  </si>
  <si>
    <t>FCGL-0570</t>
  </si>
  <si>
    <t>Trashbeam Support Pins</t>
  </si>
  <si>
    <t>1940</t>
  </si>
  <si>
    <t>24-031</t>
  </si>
  <si>
    <t>CE24-MSDI-0014+15+16+17+18</t>
  </si>
  <si>
    <t>Nose Ring 295 + Bolt+Nuts+Sugar Scoop+Rolled Plate</t>
  </si>
  <si>
    <t>24+50 Sets+15+2+15</t>
  </si>
  <si>
    <t>3213</t>
  </si>
  <si>
    <t>3890</t>
  </si>
  <si>
    <t>615</t>
  </si>
  <si>
    <t>24-022</t>
  </si>
  <si>
    <t>FFCB-0003+0004+0005</t>
  </si>
  <si>
    <t>Shaft + Shell+Assembly</t>
  </si>
  <si>
    <t>240</t>
  </si>
  <si>
    <t>595</t>
  </si>
  <si>
    <t>19/11/2024</t>
  </si>
  <si>
    <t>22/11/2024 12:00:00 am</t>
  </si>
  <si>
    <t>2081st</t>
  </si>
  <si>
    <t>GFUL-0086+87</t>
  </si>
  <si>
    <t>QADRI-Design Heavy Duty 38" x 72" x4-Roll Mill+MMC</t>
  </si>
  <si>
    <t>2 Asly.</t>
  </si>
  <si>
    <t>102120</t>
  </si>
  <si>
    <t>110925</t>
  </si>
  <si>
    <t>593</t>
  </si>
  <si>
    <t>2118th</t>
  </si>
  <si>
    <t>INVI-0538+539</t>
  </si>
  <si>
    <t>IOL MEMO. 203</t>
  </si>
  <si>
    <t>GFUL-0058  ( FOCR )</t>
  </si>
  <si>
    <t>Top  Bearing</t>
  </si>
  <si>
    <t>Gray + Red</t>
  </si>
  <si>
    <t>1360</t>
  </si>
  <si>
    <t>26/11/2024 12:00:00 am</t>
  </si>
  <si>
    <t>2110th</t>
  </si>
  <si>
    <t>PSMI-0046+47+48+49</t>
  </si>
  <si>
    <t>Gray + Brown</t>
  </si>
  <si>
    <t>63285</t>
  </si>
  <si>
    <t>64280</t>
  </si>
  <si>
    <t>27/10/2024</t>
  </si>
  <si>
    <t>2119th</t>
  </si>
  <si>
    <t>GFUL-0098+99+0100</t>
  </si>
  <si>
    <t>Liner+ Trashplate</t>
  </si>
  <si>
    <t>QE/QEN</t>
  </si>
  <si>
    <t>Gray + Yellow</t>
  </si>
  <si>
    <t>1545</t>
  </si>
  <si>
    <t>1885</t>
  </si>
  <si>
    <t>589</t>
  </si>
  <si>
    <t>25/11/2024</t>
  </si>
  <si>
    <t>1010</t>
  </si>
  <si>
    <t>03/12/2024 12:00:00 am</t>
  </si>
  <si>
    <t>2123rd</t>
  </si>
  <si>
    <t>SCDC-0008+0009+0010+0011+0012</t>
  </si>
  <si>
    <t>Roller+Shell+ Shaft</t>
  </si>
  <si>
    <t>Orange + Black</t>
  </si>
  <si>
    <t>27225</t>
  </si>
  <si>
    <t>27875</t>
  </si>
  <si>
    <t>-45635</t>
  </si>
  <si>
    <t>2075th</t>
  </si>
  <si>
    <t>ISCE-0012</t>
  </si>
  <si>
    <t>Side Bearing Aslys.</t>
  </si>
  <si>
    <t>2550</t>
  </si>
  <si>
    <t>3510</t>
  </si>
  <si>
    <t>16/12/2024 12:00:00 am</t>
  </si>
  <si>
    <t>2138th</t>
  </si>
  <si>
    <t>GFUL-0106</t>
  </si>
  <si>
    <t>80</t>
  </si>
  <si>
    <t>02/12/2024</t>
  </si>
  <si>
    <t>20/12/2024 12:00:00 am</t>
  </si>
  <si>
    <t>KOPMT CEMENT</t>
  </si>
  <si>
    <t>24-032</t>
  </si>
  <si>
    <t>CE24-KMPT-0002</t>
  </si>
  <si>
    <t>12000</t>
  </si>
  <si>
    <t>12970</t>
  </si>
  <si>
    <t>566</t>
  </si>
  <si>
    <t>27/12/2024 12:00:00 am</t>
  </si>
  <si>
    <t>JDS INDUSTRIAL SOLUTIONS</t>
  </si>
  <si>
    <t>24-041</t>
  </si>
  <si>
    <t>CE24-JDSI-0323+0324+0325</t>
  </si>
  <si>
    <t>FIRST BLADE + CENTRAL BLADE + FRONT PLATE</t>
  </si>
  <si>
    <t>2+8+2</t>
  </si>
  <si>
    <t>546</t>
  </si>
  <si>
    <t>02/01/2025</t>
  </si>
  <si>
    <t>2068th</t>
  </si>
  <si>
    <t>BSCM-0022+23+24+25</t>
  </si>
  <si>
    <t>51650</t>
  </si>
  <si>
    <t>52510</t>
  </si>
  <si>
    <t>542</t>
  </si>
  <si>
    <t>26/12/2024</t>
  </si>
  <si>
    <t>2127th</t>
  </si>
  <si>
    <t>INVI-0540</t>
  </si>
  <si>
    <t>1460</t>
  </si>
  <si>
    <t>2175th</t>
  </si>
  <si>
    <t>INVI-0554+0555</t>
  </si>
  <si>
    <t>Pin Dia + Eye Bolts</t>
  </si>
  <si>
    <t>1+1</t>
  </si>
  <si>
    <t>105</t>
  </si>
  <si>
    <t>2125th</t>
  </si>
  <si>
    <t>PSMI-0050+51</t>
  </si>
  <si>
    <t>Pinion ( Excl. Keys )</t>
  </si>
  <si>
    <t>13135</t>
  </si>
  <si>
    <t>14675</t>
  </si>
  <si>
    <t>25/12/2024 12:00:00 am</t>
  </si>
  <si>
    <t>MOTOFRENOS.S.A</t>
  </si>
  <si>
    <t>24-037</t>
  </si>
  <si>
    <t>CE24-MSDI-0019+0020</t>
  </si>
  <si>
    <t>LIFTER 314 + Bolt +NUT</t>
  </si>
  <si>
    <t>2540</t>
  </si>
  <si>
    <t>20/02/2025</t>
  </si>
  <si>
    <t>-38</t>
  </si>
  <si>
    <t>540</t>
  </si>
  <si>
    <t>28/12/2024 12:00:00 am</t>
  </si>
  <si>
    <t>2172nd</t>
  </si>
  <si>
    <t>GFUL-0107</t>
  </si>
  <si>
    <t>Driven Pinion</t>
  </si>
  <si>
    <t>2670</t>
  </si>
  <si>
    <t>3430</t>
  </si>
  <si>
    <t>01/02/2024 12:00:00 am</t>
  </si>
  <si>
    <t>2117th</t>
  </si>
  <si>
    <t>GFUL-0101 +0104+0105</t>
  </si>
  <si>
    <t>Feeder Table Head Dual Shaft Asly +Driven Sprocket+ Driven Sprocket</t>
  </si>
  <si>
    <t>12345</t>
  </si>
  <si>
    <t>14705</t>
  </si>
  <si>
    <t>DEL NORTE</t>
  </si>
  <si>
    <t>2139th</t>
  </si>
  <si>
    <t>ADNS-0001</t>
  </si>
  <si>
    <t>Mill Crown Pinion  ( Excl. Keys )</t>
  </si>
  <si>
    <t>3980</t>
  </si>
  <si>
    <t>01/02/2025</t>
  </si>
  <si>
    <t>11/02/2025</t>
  </si>
  <si>
    <t>06/02/2025</t>
  </si>
  <si>
    <t>FCB CEMENT</t>
  </si>
  <si>
    <t>24-033</t>
  </si>
  <si>
    <t>CE24-FFCB-0006+…..</t>
  </si>
  <si>
    <t>SPARES</t>
  </si>
  <si>
    <t>483</t>
  </si>
  <si>
    <t>13405</t>
  </si>
  <si>
    <t>15223</t>
  </si>
  <si>
    <t>20/12/2024</t>
  </si>
  <si>
    <t>538</t>
  </si>
  <si>
    <t>24-038</t>
  </si>
  <si>
    <t>CE24-MSDI-0021</t>
  </si>
  <si>
    <t>SUGAR SCOOP 230</t>
  </si>
  <si>
    <t>912</t>
  </si>
  <si>
    <t>962</t>
  </si>
  <si>
    <t>22/01/2025</t>
  </si>
  <si>
    <t>529</t>
  </si>
  <si>
    <t>21/01/2025</t>
  </si>
  <si>
    <t>2163rd</t>
  </si>
  <si>
    <t>SHIP-0079</t>
  </si>
  <si>
    <t>Plummer Block Asly</t>
  </si>
  <si>
    <t>910</t>
  </si>
  <si>
    <t>10/02/2025</t>
  </si>
  <si>
    <t>-20</t>
  </si>
  <si>
    <t>21/02/2024 12:00:00 am</t>
  </si>
  <si>
    <t>2171st</t>
  </si>
  <si>
    <t>SNAK-0091</t>
  </si>
  <si>
    <t>16/02/2025</t>
  </si>
  <si>
    <t>21/02/2025 12:00:00 am</t>
  </si>
  <si>
    <t>2143rd</t>
  </si>
  <si>
    <t>SKOM-0056</t>
  </si>
  <si>
    <t>Anvil Drum Asly</t>
  </si>
  <si>
    <t>13790</t>
  </si>
  <si>
    <t>14080</t>
  </si>
  <si>
    <t>17/02/2025</t>
  </si>
  <si>
    <t>SHIP--0056</t>
  </si>
  <si>
    <t>Green + Orange</t>
  </si>
  <si>
    <t>1395</t>
  </si>
  <si>
    <t>1565</t>
  </si>
  <si>
    <t>19/02/2025</t>
  </si>
  <si>
    <t>2135th</t>
  </si>
  <si>
    <t>SUCL-0016+17+20+21+22+23</t>
  </si>
  <si>
    <t>Complate Mill+ Spare</t>
  </si>
  <si>
    <t>1 ASLY</t>
  </si>
  <si>
    <t>149240</t>
  </si>
  <si>
    <t>159650</t>
  </si>
  <si>
    <t>03/03/2025</t>
  </si>
  <si>
    <t>26/02/2025</t>
  </si>
  <si>
    <t>-12</t>
  </si>
  <si>
    <t>2162nd</t>
  </si>
  <si>
    <t>INVI-0546+547+548+549+550+551++552+553</t>
  </si>
  <si>
    <t>Pin+ Eye Bolts + Bolts +Top Plate + Feather Asly + Scrsper+</t>
  </si>
  <si>
    <t>2+ 2+2+ 2+2+2+</t>
  </si>
  <si>
    <t>775</t>
  </si>
  <si>
    <t>15/02/2025</t>
  </si>
  <si>
    <t>14/02/2025</t>
  </si>
  <si>
    <t>24/02/2025 12:00:00 am</t>
  </si>
  <si>
    <t>2152nd</t>
  </si>
  <si>
    <t>INVI-0541+42+43+44+45</t>
  </si>
  <si>
    <t>Scraper + Eye Bolt + Pin</t>
  </si>
  <si>
    <t>2+2+2</t>
  </si>
  <si>
    <t>745</t>
  </si>
  <si>
    <t>2156th</t>
  </si>
  <si>
    <t>SDWA-0027 + 28</t>
  </si>
  <si>
    <t>Pinion  ( Excl. Keys )</t>
  </si>
  <si>
    <t>Black +Grey</t>
  </si>
  <si>
    <t>6070</t>
  </si>
  <si>
    <t>04/03/2025 12:00:00 am</t>
  </si>
  <si>
    <t>2167th</t>
  </si>
  <si>
    <t>IPSA-0055</t>
  </si>
  <si>
    <t>17670</t>
  </si>
  <si>
    <t>19620</t>
  </si>
  <si>
    <t>LASUCA</t>
  </si>
  <si>
    <t>2165nd</t>
  </si>
  <si>
    <t>LSCI-0146</t>
  </si>
  <si>
    <t>Gray+Yellow</t>
  </si>
  <si>
    <t>11190</t>
  </si>
  <si>
    <t>12390</t>
  </si>
  <si>
    <t>07/03/2025</t>
  </si>
  <si>
    <t>02/03/2025</t>
  </si>
  <si>
    <t>10/03/2025 12:00:00 am</t>
  </si>
  <si>
    <t>MELCHOR</t>
  </si>
  <si>
    <t>2126th</t>
  </si>
  <si>
    <t>ZIMO-0005</t>
  </si>
  <si>
    <t>27755</t>
  </si>
  <si>
    <t>29140</t>
  </si>
  <si>
    <t>2168th</t>
  </si>
  <si>
    <t>IPSA-0058+59</t>
  </si>
  <si>
    <t>5 Bush</t>
  </si>
  <si>
    <t>Green+Gray</t>
  </si>
  <si>
    <t>1185</t>
  </si>
  <si>
    <t>05/02/2025</t>
  </si>
  <si>
    <t>14/03/2025 12:00:00 am</t>
  </si>
  <si>
    <t>IPSA-0057+55</t>
  </si>
  <si>
    <t>Shell+ Pinion</t>
  </si>
  <si>
    <t>2+5</t>
  </si>
  <si>
    <t>31980</t>
  </si>
  <si>
    <t>33760</t>
  </si>
  <si>
    <t>2115th</t>
  </si>
  <si>
    <t>NSEA-0037</t>
  </si>
  <si>
    <t>Gray+ Black</t>
  </si>
  <si>
    <t>12720</t>
  </si>
  <si>
    <t>12960</t>
  </si>
  <si>
    <t>09/03/2025</t>
  </si>
  <si>
    <t>24-040</t>
  </si>
  <si>
    <t>CE24-FLMX-0001</t>
  </si>
  <si>
    <t>1290</t>
  </si>
  <si>
    <t>1335</t>
  </si>
  <si>
    <t>25-003</t>
  </si>
  <si>
    <t>CE25-CE25-MSDI-0022+0023</t>
  </si>
  <si>
    <t>MALE NOSE RINGS + FEMALE NOSE RINGS</t>
  </si>
  <si>
    <t>3485</t>
  </si>
  <si>
    <t>4310</t>
  </si>
  <si>
    <t>13/03/2025</t>
  </si>
  <si>
    <t>18/03/2025 12:00:00 am</t>
  </si>
  <si>
    <t>2187th</t>
  </si>
  <si>
    <t>INVI-0556+57+58</t>
  </si>
  <si>
    <t>Pin Bolt Asly , Top Plate</t>
  </si>
  <si>
    <t>Pink + Red</t>
  </si>
  <si>
    <t>1+2+2</t>
  </si>
  <si>
    <t>18/03/2025</t>
  </si>
  <si>
    <t>476</t>
  </si>
  <si>
    <t>2124th</t>
  </si>
  <si>
    <t>ISCE-0013+14</t>
  </si>
  <si>
    <t>Roller Shaft</t>
  </si>
  <si>
    <t>Green+Red</t>
  </si>
  <si>
    <t>5115</t>
  </si>
  <si>
    <t>2131st</t>
  </si>
  <si>
    <t>GFUL-0102+103</t>
  </si>
  <si>
    <t>Mill Top Roll</t>
  </si>
  <si>
    <t>Green+Yellow</t>
  </si>
  <si>
    <t>26660</t>
  </si>
  <si>
    <t>27250</t>
  </si>
  <si>
    <t>INVICTA MILL</t>
  </si>
  <si>
    <t>2177th</t>
  </si>
  <si>
    <t>INTA-0002</t>
  </si>
  <si>
    <t>3740</t>
  </si>
  <si>
    <t>4300</t>
  </si>
  <si>
    <t>474</t>
  </si>
  <si>
    <t>REJO AGUNG</t>
  </si>
  <si>
    <t>2148th</t>
  </si>
  <si>
    <t>PGRA-0002</t>
  </si>
  <si>
    <t>Blue+Brown</t>
  </si>
  <si>
    <t>11735</t>
  </si>
  <si>
    <t>11950</t>
  </si>
  <si>
    <t>ALIANZA</t>
  </si>
  <si>
    <t>2093rd</t>
  </si>
  <si>
    <t>ALZA-0002</t>
  </si>
  <si>
    <t>6415</t>
  </si>
  <si>
    <t>8135</t>
  </si>
  <si>
    <t>522</t>
  </si>
  <si>
    <t>CIASA</t>
  </si>
  <si>
    <t>2147th</t>
  </si>
  <si>
    <t>CISA-0002</t>
  </si>
  <si>
    <t>4890</t>
  </si>
  <si>
    <t>5480</t>
  </si>
  <si>
    <t>2144th</t>
  </si>
  <si>
    <t>FCGL-0572</t>
  </si>
  <si>
    <t>Top Chute Support</t>
  </si>
  <si>
    <t>509</t>
  </si>
  <si>
    <t>2186th</t>
  </si>
  <si>
    <t>FCGL-0579+0580+0581</t>
  </si>
  <si>
    <t>3265</t>
  </si>
  <si>
    <t>3920</t>
  </si>
  <si>
    <t>ALPHA CEMENT</t>
  </si>
  <si>
    <t>24-035</t>
  </si>
  <si>
    <t>CE24-ALCM-0001</t>
  </si>
  <si>
    <t>CONVEYOR PLATE</t>
  </si>
  <si>
    <t>152 Nos</t>
  </si>
  <si>
    <t>6690</t>
  </si>
  <si>
    <t>7830</t>
  </si>
  <si>
    <t>26/03/2025 12:00:00 am</t>
  </si>
  <si>
    <t>2222nd</t>
  </si>
  <si>
    <t>SANK-0094</t>
  </si>
  <si>
    <t>5 Set</t>
  </si>
  <si>
    <t>466</t>
  </si>
  <si>
    <t>28/03/2025</t>
  </si>
  <si>
    <t>03/04/2025 12:00:00 am</t>
  </si>
  <si>
    <t>2136th</t>
  </si>
  <si>
    <t>ALMA-0073</t>
  </si>
  <si>
    <t>Green + Blue</t>
  </si>
  <si>
    <t>15860</t>
  </si>
  <si>
    <t>16220</t>
  </si>
  <si>
    <t>10/04/2025</t>
  </si>
  <si>
    <t>04/04/2025</t>
  </si>
  <si>
    <t>459</t>
  </si>
  <si>
    <t>05/04/2025</t>
  </si>
  <si>
    <t>2077th</t>
  </si>
  <si>
    <t>ALZA-0001</t>
  </si>
  <si>
    <t>QADRI-Design Heavy Duty 45" x 84" x 4-Roll Cane Mill</t>
  </si>
  <si>
    <t>160620</t>
  </si>
  <si>
    <t>169450</t>
  </si>
  <si>
    <t>2078th</t>
  </si>
  <si>
    <t>CISA-0001</t>
  </si>
  <si>
    <t>QADRI-Design Heavy Duty 40" x 78" x 4-Roll Cane Mill</t>
  </si>
  <si>
    <t>130400</t>
  </si>
  <si>
    <t>130890</t>
  </si>
  <si>
    <t>58</t>
  </si>
  <si>
    <t>2158th</t>
  </si>
  <si>
    <t>FCGL-0573+0574</t>
  </si>
  <si>
    <t>Mill Gear Shaft</t>
  </si>
  <si>
    <t>1700</t>
  </si>
  <si>
    <t>539</t>
  </si>
  <si>
    <t>09/01/2025</t>
  </si>
  <si>
    <t>IPSA-0057+56</t>
  </si>
  <si>
    <t>Shell+Shaft</t>
  </si>
  <si>
    <t>Balck +Yellow</t>
  </si>
  <si>
    <t>27590</t>
  </si>
  <si>
    <t>27940</t>
  </si>
  <si>
    <t>FLSMIDTH CEMENT USA INC</t>
  </si>
  <si>
    <t>24-034</t>
  </si>
  <si>
    <t>CE24-FLSU-0001</t>
  </si>
  <si>
    <t>8310</t>
  </si>
  <si>
    <t>10110</t>
  </si>
  <si>
    <t>13/04/2025</t>
  </si>
  <si>
    <t>25-007</t>
  </si>
  <si>
    <t>MSDI-0025+26</t>
  </si>
  <si>
    <t>LIFTER 317</t>
  </si>
  <si>
    <t>2079th</t>
  </si>
  <si>
    <t>MAGZ-0035+36</t>
  </si>
  <si>
    <t>Shaft+Shell</t>
  </si>
  <si>
    <t>21570</t>
  </si>
  <si>
    <t>21790</t>
  </si>
  <si>
    <t>14/04/2025</t>
  </si>
  <si>
    <t>449</t>
  </si>
  <si>
    <t>2219th</t>
  </si>
  <si>
    <t>LULS-0242</t>
  </si>
  <si>
    <t>U-TYPE CUP for Top Cap Asly</t>
  </si>
  <si>
    <t>MOSH CANADA INC.</t>
  </si>
  <si>
    <t>GE-IDM-25-001</t>
  </si>
  <si>
    <t>GE25-MOSH-0001</t>
  </si>
  <si>
    <t>Pouring Ladles For Lead Metal</t>
  </si>
  <si>
    <t>9400</t>
  </si>
  <si>
    <t>11300</t>
  </si>
  <si>
    <t>18/04/2025</t>
  </si>
  <si>
    <t>445</t>
  </si>
  <si>
    <t>20/04/2025 12:00:00 am</t>
  </si>
  <si>
    <t>2169th</t>
  </si>
  <si>
    <t>INCA-0057</t>
  </si>
  <si>
    <t>Mill Crown Pinion  (incl Keys)</t>
  </si>
  <si>
    <t>11490</t>
  </si>
  <si>
    <t>12630</t>
  </si>
  <si>
    <t>2155th</t>
  </si>
  <si>
    <t>LAGL-0005+0006+0007+0010+0011+0012+0013+0014+0015+0016+0017+0018+0021</t>
  </si>
  <si>
    <t>Liner + Scraper + Shell + Trsshplate</t>
  </si>
  <si>
    <t>6+7+2+6+4+1</t>
  </si>
  <si>
    <t>67530</t>
  </si>
  <si>
    <t>69420</t>
  </si>
  <si>
    <t>443</t>
  </si>
  <si>
    <t>24-039</t>
  </si>
  <si>
    <t>CE24-FLSE-0042+43</t>
  </si>
  <si>
    <t>HAMMER PP-2940+HAMMER PP-2969</t>
  </si>
  <si>
    <t>72+48</t>
  </si>
  <si>
    <t>14330</t>
  </si>
  <si>
    <t>12/03/2025</t>
  </si>
  <si>
    <t>CASA GRANDE</t>
  </si>
  <si>
    <t>2130th</t>
  </si>
  <si>
    <t>CAGS-0013+14+15</t>
  </si>
  <si>
    <t>69340</t>
  </si>
  <si>
    <t>70850</t>
  </si>
  <si>
    <t>02/05/2025</t>
  </si>
  <si>
    <t>431</t>
  </si>
  <si>
    <t>03/05/2025 12:00:00 am</t>
  </si>
  <si>
    <t>2159th</t>
  </si>
  <si>
    <t>FCGL-0575+0576+0577+0578</t>
  </si>
  <si>
    <t>Blue+ Yellow</t>
  </si>
  <si>
    <t>14485</t>
  </si>
  <si>
    <t>14895</t>
  </si>
  <si>
    <t>28/04/2025</t>
  </si>
  <si>
    <t>08/05/2025 12:00:00 am</t>
  </si>
  <si>
    <t>ADOLFO</t>
  </si>
  <si>
    <t>2195th</t>
  </si>
  <si>
    <t>ALMS-0001+0002+0003+0004</t>
  </si>
  <si>
    <t>1350</t>
  </si>
  <si>
    <t>01/05/2025</t>
  </si>
  <si>
    <t>05/05/2025</t>
  </si>
  <si>
    <t>428</t>
  </si>
  <si>
    <t>26/04/2025</t>
  </si>
  <si>
    <t>2137th</t>
  </si>
  <si>
    <t>AROA-0020 +22</t>
  </si>
  <si>
    <t>Shaft + Shell</t>
  </si>
  <si>
    <t>14415</t>
  </si>
  <si>
    <t>14610</t>
  </si>
  <si>
    <t>ENTERPRISE</t>
  </si>
  <si>
    <t>2166th</t>
  </si>
  <si>
    <t>ENTP-0007</t>
  </si>
  <si>
    <t>Gray+ Green</t>
  </si>
  <si>
    <t>16620</t>
  </si>
  <si>
    <t>16430</t>
  </si>
  <si>
    <t>2191st</t>
  </si>
  <si>
    <t>FCGL-0582</t>
  </si>
  <si>
    <t>Yellow +Red</t>
  </si>
  <si>
    <t>1735</t>
  </si>
  <si>
    <t>25-005</t>
  </si>
  <si>
    <t>CE25-FLMX-0002</t>
  </si>
  <si>
    <t>126</t>
  </si>
  <si>
    <t>438</t>
  </si>
  <si>
    <t>2240th</t>
  </si>
  <si>
    <t>GFUL-0116</t>
  </si>
  <si>
    <t>14/05/2025</t>
  </si>
  <si>
    <t>09/05/2025</t>
  </si>
  <si>
    <t>14/05/2025 12:00:00 am</t>
  </si>
  <si>
    <t>25-012</t>
  </si>
  <si>
    <t>CE25-MSDI-0027+28</t>
  </si>
  <si>
    <t>LIFTER 246 +Hardware</t>
  </si>
  <si>
    <t>24+100</t>
  </si>
  <si>
    <t>06/05/2025</t>
  </si>
  <si>
    <t>-228</t>
  </si>
  <si>
    <t>-45783</t>
  </si>
  <si>
    <t>2170th</t>
  </si>
  <si>
    <t>AROA-0021</t>
  </si>
  <si>
    <t>160</t>
  </si>
  <si>
    <t>10/05/2025</t>
  </si>
  <si>
    <t>16/05/2025</t>
  </si>
  <si>
    <t>419</t>
  </si>
  <si>
    <t>25-008</t>
  </si>
  <si>
    <t>CE25-JDSI-0325+26+27</t>
  </si>
  <si>
    <t>17/05/2025</t>
  </si>
  <si>
    <t>-45794</t>
  </si>
  <si>
    <t>17/05/2025 12:00:00 am</t>
  </si>
  <si>
    <t>LAGL-0002+0008+0009+0019 +0003+0004+0020</t>
  </si>
  <si>
    <t>Pinion+Scraper+Bearing</t>
  </si>
  <si>
    <t>64943</t>
  </si>
  <si>
    <t>65890</t>
  </si>
  <si>
    <t>01/06/2025</t>
  </si>
  <si>
    <t>416</t>
  </si>
  <si>
    <t>-15</t>
  </si>
  <si>
    <t>26/05/2025</t>
  </si>
  <si>
    <t>407</t>
  </si>
  <si>
    <t>21/05/2025</t>
  </si>
  <si>
    <t>26/05/2025 12:00:00 am</t>
  </si>
  <si>
    <t>SAN LUIS</t>
  </si>
  <si>
    <t>2197th</t>
  </si>
  <si>
    <t>Part Load with 2195th</t>
  </si>
  <si>
    <t>IPSL-0001+0002+0003</t>
  </si>
  <si>
    <t>855</t>
  </si>
  <si>
    <t>985</t>
  </si>
  <si>
    <t>27/05/2025 12:00:00 am</t>
  </si>
  <si>
    <t>2201St</t>
  </si>
  <si>
    <t>FCGL-0584+0585</t>
  </si>
  <si>
    <t>Mill Pinion (Excl Keys)</t>
  </si>
  <si>
    <t>2890</t>
  </si>
  <si>
    <t>3410</t>
  </si>
  <si>
    <t>20/05/2025</t>
  </si>
  <si>
    <t>413</t>
  </si>
  <si>
    <t>2198th</t>
  </si>
  <si>
    <t>BSCM-0026</t>
  </si>
  <si>
    <t>1830</t>
  </si>
  <si>
    <t>399</t>
  </si>
  <si>
    <t>25-006</t>
  </si>
  <si>
    <t>CE25-FLSE-0044</t>
  </si>
  <si>
    <t>10525</t>
  </si>
  <si>
    <t>10885</t>
  </si>
  <si>
    <t>121</t>
  </si>
  <si>
    <t>25-011</t>
  </si>
  <si>
    <t>CE25-FLSE-0045</t>
  </si>
  <si>
    <t>HAMMER PP-2092</t>
  </si>
  <si>
    <t>335</t>
  </si>
  <si>
    <t>05/06/2025</t>
  </si>
  <si>
    <t>397</t>
  </si>
  <si>
    <t>25-001</t>
  </si>
  <si>
    <t>CE25-FFCB-0024</t>
  </si>
  <si>
    <t>3400</t>
  </si>
  <si>
    <t>04/06/2025</t>
  </si>
  <si>
    <t>398</t>
  </si>
  <si>
    <t>30/05/2025</t>
  </si>
  <si>
    <t>2192nd</t>
  </si>
  <si>
    <t>INVI-0559 +60+61</t>
  </si>
  <si>
    <t>Eye Bolts M80 Asly. + Bolts M56 + Eye Bolts M100 Asly.</t>
  </si>
  <si>
    <t>23/06/2025</t>
  </si>
  <si>
    <t>379</t>
  </si>
  <si>
    <t>18/06/2025</t>
  </si>
  <si>
    <t>24/06/2025 12:00:00 am</t>
  </si>
  <si>
    <t>2154th</t>
  </si>
  <si>
    <t>CAGS-0011</t>
  </si>
  <si>
    <t>Head Stock + Bridge Cap</t>
  </si>
  <si>
    <t>16060</t>
  </si>
  <si>
    <t>16460</t>
  </si>
  <si>
    <t>2248th</t>
  </si>
  <si>
    <t>GFUL-0117</t>
  </si>
  <si>
    <t>Drive Sprocket</t>
  </si>
  <si>
    <t>25/06/2025</t>
  </si>
  <si>
    <t>378</t>
  </si>
  <si>
    <t>24/06/2025</t>
  </si>
  <si>
    <t>2117 ( IOL MEMO NO. 205 )</t>
  </si>
  <si>
    <t>GFUL-0114</t>
  </si>
  <si>
    <t>Driven Sprocket</t>
  </si>
  <si>
    <t>630</t>
  </si>
  <si>
    <t>835</t>
  </si>
  <si>
    <t>CRISTOBAL COLON</t>
  </si>
  <si>
    <t>2199th</t>
  </si>
  <si>
    <t>ICCN-0100</t>
  </si>
  <si>
    <t>4th Roller Bracket Asly.</t>
  </si>
  <si>
    <t>Black +Yellow</t>
  </si>
  <si>
    <t>1315</t>
  </si>
  <si>
    <t>28/06/2025</t>
  </si>
  <si>
    <t>374</t>
  </si>
  <si>
    <t>2188th</t>
  </si>
  <si>
    <t>FCGL-0583</t>
  </si>
  <si>
    <t>HeadStock</t>
  </si>
  <si>
    <t>4970</t>
  </si>
  <si>
    <t>6020</t>
  </si>
  <si>
    <t>387</t>
  </si>
  <si>
    <t>TRES VALLES</t>
  </si>
  <si>
    <t>2196th</t>
  </si>
  <si>
    <t>TRES-0001 0002+0003+0004</t>
  </si>
  <si>
    <t>1260</t>
  </si>
  <si>
    <t>1435</t>
  </si>
  <si>
    <t>24-036</t>
  </si>
  <si>
    <t>CE24-FFCB-0018+19+20+21+22+23</t>
  </si>
  <si>
    <t>ROLLER</t>
  </si>
  <si>
    <t>16365</t>
  </si>
  <si>
    <t>18685</t>
  </si>
  <si>
    <t>2202nd</t>
  </si>
  <si>
    <t>IPBJ-0085+87+88+89+90+91+94+95+96+97+98+99+0100+101+102+103+104+105+106,IPBJ-0082+83+84+90+91</t>
  </si>
  <si>
    <t>64825</t>
  </si>
  <si>
    <t>68515</t>
  </si>
  <si>
    <t>2174th</t>
  </si>
  <si>
    <t>Part Load with 2184</t>
  </si>
  <si>
    <t>SE24-LAJO-0002+3+4 + 5+6+7+8</t>
  </si>
  <si>
    <t>Trsshplate + Scraper + LINER</t>
  </si>
  <si>
    <t>4+10+2</t>
  </si>
  <si>
    <t>55260</t>
  </si>
  <si>
    <t>57230</t>
  </si>
  <si>
    <t>11/07/2025 12:00:00 am</t>
  </si>
  <si>
    <t>2184th</t>
  </si>
  <si>
    <t>SE25-LAJO-0009+10+11+12+13+14+15</t>
  </si>
  <si>
    <t>Mill Roller+Liner+Trashplate+ Scraper</t>
  </si>
  <si>
    <t>3+2+1+2</t>
  </si>
  <si>
    <t>PALO GORDO</t>
  </si>
  <si>
    <t>2193rd</t>
  </si>
  <si>
    <t>PALG-0297</t>
  </si>
  <si>
    <t>4995</t>
  </si>
  <si>
    <t>5390</t>
  </si>
  <si>
    <t>25-015</t>
  </si>
  <si>
    <t>CE25-MACG-0002</t>
  </si>
  <si>
    <t>PULLEY</t>
  </si>
  <si>
    <t>01/06/2024</t>
  </si>
  <si>
    <t>13/07/2025</t>
  </si>
  <si>
    <t>359</t>
  </si>
  <si>
    <t>27/05/2024</t>
  </si>
  <si>
    <t>15/07/2025 12:00:00 am</t>
  </si>
  <si>
    <t>INGENIO TULULA</t>
  </si>
  <si>
    <t>2209th</t>
  </si>
  <si>
    <t>INGT-0087 + 88</t>
  </si>
  <si>
    <t>11010</t>
  </si>
  <si>
    <t>14/07/2025</t>
  </si>
  <si>
    <t>358</t>
  </si>
  <si>
    <t>17/07/2025 12:00:00 am</t>
  </si>
  <si>
    <t>2226th</t>
  </si>
  <si>
    <t>LC  1st</t>
  </si>
  <si>
    <t>PGMP-0018+19+21-22+25+26+27+28</t>
  </si>
  <si>
    <t>Coupling Box + Blank Shell +Mill Crown Pinion</t>
  </si>
  <si>
    <t>66585</t>
  </si>
  <si>
    <t>67955</t>
  </si>
  <si>
    <t>20/07/2025 12:00:00 am</t>
  </si>
  <si>
    <t>DIST. DAMOISEAU</t>
  </si>
  <si>
    <t>2264th</t>
  </si>
  <si>
    <t>RHDS-0046</t>
  </si>
  <si>
    <t>Seal of Hydraulic Top Cap</t>
  </si>
  <si>
    <t>17/07/2025</t>
  </si>
  <si>
    <t>2176th</t>
  </si>
  <si>
    <t>BAIS-0014 +15 +16</t>
  </si>
  <si>
    <t>59140</t>
  </si>
  <si>
    <t>60290</t>
  </si>
  <si>
    <t>IOL MEMO No. 208</t>
  </si>
  <si>
    <t>Part Load with 2176</t>
  </si>
  <si>
    <t>SE25-BAIS-0025</t>
  </si>
  <si>
    <t>Repair of Yokes ( Drive - Side )</t>
  </si>
  <si>
    <t>30/07/2025</t>
  </si>
  <si>
    <t>2225th</t>
  </si>
  <si>
    <t>LC 1st</t>
  </si>
  <si>
    <t>PSMI-0053+54+55+56+57+58+59+60</t>
  </si>
  <si>
    <t>1+8+4</t>
  </si>
  <si>
    <t>187250</t>
  </si>
  <si>
    <t>195170</t>
  </si>
  <si>
    <t>25/08/2025</t>
  </si>
  <si>
    <t>IOL</t>
  </si>
  <si>
    <t>27/06/2025</t>
  </si>
  <si>
    <t>189</t>
  </si>
  <si>
    <t>2181st</t>
  </si>
  <si>
    <t>MLTS -0034</t>
  </si>
  <si>
    <t>Headstock Asly.Tie Beam+Mill Hyd+side Cap+Side Cap 4th Roll+ Hand tool</t>
  </si>
  <si>
    <t>46485</t>
  </si>
  <si>
    <t>49510</t>
  </si>
  <si>
    <t>28/07/2025</t>
  </si>
  <si>
    <t>28/07/2025 12:00:00 am</t>
  </si>
  <si>
    <t>-45866</t>
  </si>
  <si>
    <t>25-010</t>
  </si>
  <si>
    <t>CE25-FLMX-0003</t>
  </si>
  <si>
    <t>2760</t>
  </si>
  <si>
    <t>389</t>
  </si>
  <si>
    <t>377</t>
  </si>
  <si>
    <t>2251st</t>
  </si>
  <si>
    <t>INVI-0562+63+64</t>
  </si>
  <si>
    <t>Roller+Bolts M30+Bearing</t>
  </si>
  <si>
    <t>2+6+2</t>
  </si>
  <si>
    <t>344</t>
  </si>
  <si>
    <t>2221st</t>
  </si>
  <si>
    <t>BUSM-0059+60</t>
  </si>
  <si>
    <t>1820</t>
  </si>
  <si>
    <t>05/08/2025</t>
  </si>
  <si>
    <t>336</t>
  </si>
  <si>
    <t>LC  2nd</t>
  </si>
  <si>
    <t>PGMP-0024+21</t>
  </si>
  <si>
    <t>Blank Shell+ Pinion</t>
  </si>
  <si>
    <t>32555</t>
  </si>
  <si>
    <t>33600</t>
  </si>
  <si>
    <t>LC 2nd</t>
  </si>
  <si>
    <t>PGMP-0020+23</t>
  </si>
  <si>
    <t>Tailbar  + Shaft</t>
  </si>
  <si>
    <t>2301st</t>
  </si>
  <si>
    <t>LULS-0243</t>
  </si>
  <si>
    <t>U-TYPE CUP</t>
  </si>
  <si>
    <t>25-019</t>
  </si>
  <si>
    <t>CE25-MSDI-0029+0030</t>
  </si>
  <si>
    <t>LIFTER 315+ HARDWARE</t>
  </si>
  <si>
    <t>QCL/QE</t>
  </si>
  <si>
    <t>1555</t>
  </si>
  <si>
    <t>1745</t>
  </si>
  <si>
    <t>25/06/2024</t>
  </si>
  <si>
    <t>01/08/2025</t>
  </si>
  <si>
    <t>20/06/2024</t>
  </si>
  <si>
    <t>22/08/2025 12:00:00 am</t>
  </si>
  <si>
    <t>2237th</t>
  </si>
  <si>
    <t>LAUN-0093</t>
  </si>
  <si>
    <t>316</t>
  </si>
  <si>
    <t>2231st</t>
  </si>
  <si>
    <t>INCA-0058</t>
  </si>
  <si>
    <t>Mill Roller Asly.</t>
  </si>
  <si>
    <t>30960</t>
  </si>
  <si>
    <t>31610</t>
  </si>
  <si>
    <t>2220th</t>
  </si>
  <si>
    <t>LAUN-0091+92</t>
  </si>
  <si>
    <t>6270</t>
  </si>
  <si>
    <t>6885</t>
  </si>
  <si>
    <t>25-017</t>
  </si>
  <si>
    <t>FLSE-0047</t>
  </si>
  <si>
    <t>64 Nos</t>
  </si>
  <si>
    <t>10/08/2025</t>
  </si>
  <si>
    <t>411</t>
  </si>
  <si>
    <t>28/08/2025 12:00:00 am</t>
  </si>
  <si>
    <t>25-023</t>
  </si>
  <si>
    <t>MSDI-0031+ MSDI-0032</t>
  </si>
  <si>
    <t>LIFTER 247 + HARDWARE (BOLT + NUT+ WASHER)</t>
  </si>
  <si>
    <t>24+ 80Sets</t>
  </si>
  <si>
    <t>2098</t>
  </si>
  <si>
    <t>2288</t>
  </si>
  <si>
    <t>412</t>
  </si>
  <si>
    <t>25-024</t>
  </si>
  <si>
    <t>MSDI-0033+0034</t>
  </si>
  <si>
    <t>TAIL CASTING+ HARDWARE (BOLT + NUT+ WASHER)</t>
  </si>
  <si>
    <t>36+80 Sets</t>
  </si>
  <si>
    <t>1593</t>
  </si>
  <si>
    <t>1739</t>
  </si>
  <si>
    <t>16/08/2025</t>
  </si>
  <si>
    <t>417</t>
  </si>
  <si>
    <t>325</t>
  </si>
  <si>
    <t>25-013</t>
  </si>
  <si>
    <t>FLMX-0004+0005+0006+0007+0008+0009+0010+0011+0012+0013+0014+0015+0016+0017+0018+0019+0020+0021+0022+0023+0024+0025+0026+0027+0028+0029+0030+0031+0032+0033</t>
  </si>
  <si>
    <t>76434</t>
  </si>
  <si>
    <t>80234</t>
  </si>
  <si>
    <t>22/08/2025</t>
  </si>
  <si>
    <t>423</t>
  </si>
  <si>
    <t>319</t>
  </si>
  <si>
    <t>PSMI-0052</t>
  </si>
  <si>
    <t>28600</t>
  </si>
  <si>
    <t>29010</t>
  </si>
  <si>
    <t>28/08/2025</t>
  </si>
  <si>
    <t>23/08/2025</t>
  </si>
  <si>
    <t>2276th</t>
  </si>
  <si>
    <t>Part Load With 2215</t>
  </si>
  <si>
    <t>BAIS-0027</t>
  </si>
  <si>
    <t>275</t>
  </si>
  <si>
    <t>333</t>
  </si>
  <si>
    <t>2215th</t>
  </si>
  <si>
    <t>Part Load With 2276</t>
  </si>
  <si>
    <t>BAIS-0018 + 19</t>
  </si>
  <si>
    <t>Mill Pinion (Excl)</t>
  </si>
  <si>
    <t>Blue+Red</t>
  </si>
  <si>
    <t>7240</t>
  </si>
  <si>
    <t>8010</t>
  </si>
  <si>
    <t>IPBJ-0086+92+93</t>
  </si>
  <si>
    <t>Shell+Drive Pinion</t>
  </si>
  <si>
    <t>Blue+ Black</t>
  </si>
  <si>
    <t>15935</t>
  </si>
  <si>
    <t>16740</t>
  </si>
  <si>
    <t>25-002</t>
  </si>
  <si>
    <t>CE25-FCBM-0001+0002+0003+0004+0005+0006+0007+0008</t>
  </si>
  <si>
    <t>BREAKER PLATE</t>
  </si>
  <si>
    <t>18655</t>
  </si>
  <si>
    <t>20185</t>
  </si>
  <si>
    <t>24/08/2025</t>
  </si>
  <si>
    <t>247</t>
  </si>
  <si>
    <t>317</t>
  </si>
  <si>
    <t>25-004</t>
  </si>
  <si>
    <t>CE25-FCBM-0015+ 16+17+18+19</t>
  </si>
  <si>
    <t>48690</t>
  </si>
  <si>
    <t>53450</t>
  </si>
  <si>
    <t>01/09/2025</t>
  </si>
  <si>
    <t>433</t>
  </si>
  <si>
    <t>TAMAZULA</t>
  </si>
  <si>
    <t>2217th</t>
  </si>
  <si>
    <t>SE25-STZA-0004</t>
  </si>
  <si>
    <t>FARREL - Type Heavy Duty 44" x 84" x 4-Roll  +MMC</t>
  </si>
  <si>
    <t>1Asly +1</t>
  </si>
  <si>
    <t>176560</t>
  </si>
  <si>
    <t>11/09/2025</t>
  </si>
  <si>
    <t>299</t>
  </si>
  <si>
    <t>06/09/2025</t>
  </si>
  <si>
    <t>SOUTHERN PROVINCE CEMENT</t>
  </si>
  <si>
    <t>25-028</t>
  </si>
  <si>
    <t>SPCC-0001</t>
  </si>
  <si>
    <t>9370</t>
  </si>
  <si>
    <t>10025</t>
  </si>
  <si>
    <t>10/09/2025</t>
  </si>
  <si>
    <t>442</t>
  </si>
  <si>
    <t>Top Pressure Chute Plate + Bottom Pressure Chute Plate</t>
  </si>
  <si>
    <t>30/08/2024</t>
  </si>
  <si>
    <t>17/09/2025</t>
  </si>
  <si>
    <t>383</t>
  </si>
  <si>
    <t>-45917</t>
  </si>
  <si>
    <t>25-022</t>
  </si>
  <si>
    <t>FLSE-0048+49+50</t>
  </si>
  <si>
    <t>TOP ELEMENT+ NORMAL ELEMENT + LOCK</t>
  </si>
  <si>
    <t>1286</t>
  </si>
  <si>
    <t>28899</t>
  </si>
  <si>
    <t>31229</t>
  </si>
  <si>
    <t>18/09/2025</t>
  </si>
  <si>
    <t>18/09/2025 12:00:00 am</t>
  </si>
  <si>
    <t>373</t>
  </si>
  <si>
    <t>2213rd</t>
  </si>
  <si>
    <t>CASA-0035+0036</t>
  </si>
  <si>
    <t>35745</t>
  </si>
  <si>
    <t>36230</t>
  </si>
  <si>
    <t>30/08/2025</t>
  </si>
  <si>
    <t>24/09/2025</t>
  </si>
  <si>
    <t>286</t>
  </si>
  <si>
    <t>25/09/2025 12:00:00 am</t>
  </si>
  <si>
    <t>GFUL-0119</t>
  </si>
  <si>
    <t>285</t>
  </si>
  <si>
    <t>20/09/2025</t>
  </si>
  <si>
    <t>28/09/2025 12:00:00 am</t>
  </si>
  <si>
    <t>AYALA</t>
  </si>
  <si>
    <t>PAYA-0001+ 0002</t>
  </si>
  <si>
    <t>Mill Roll Shaft+Pinion (incl Keys)</t>
  </si>
  <si>
    <t>2+3</t>
  </si>
  <si>
    <t>27785</t>
  </si>
  <si>
    <t>28980</t>
  </si>
  <si>
    <t>29/09/2025</t>
  </si>
  <si>
    <t>281</t>
  </si>
  <si>
    <t>29/09/2025 12:00:00 am</t>
  </si>
  <si>
    <t>IZALCO</t>
  </si>
  <si>
    <t>2205th</t>
  </si>
  <si>
    <t>IZAO-0026</t>
  </si>
  <si>
    <t>Top Roll</t>
  </si>
  <si>
    <t>17115</t>
  </si>
  <si>
    <t>17350</t>
  </si>
  <si>
    <t>2236th</t>
  </si>
  <si>
    <t>FCGL-0586+0587</t>
  </si>
  <si>
    <t>Shredder Grids(Without Machining + Machining)</t>
  </si>
  <si>
    <t>15+15</t>
  </si>
  <si>
    <t>1115</t>
  </si>
  <si>
    <t>04/09/2025</t>
  </si>
  <si>
    <t>309</t>
  </si>
  <si>
    <t>04/10/2025 12:00:00 am</t>
  </si>
  <si>
    <t>VICTORIA</t>
  </si>
  <si>
    <t>2268th</t>
  </si>
  <si>
    <t>VICT-0001</t>
  </si>
  <si>
    <t>Blue+Orange</t>
  </si>
  <si>
    <t>2930</t>
  </si>
  <si>
    <t>3140</t>
  </si>
  <si>
    <t>12/09/2025</t>
  </si>
  <si>
    <t>2218th</t>
  </si>
  <si>
    <t>BSCM-0027+28+29+30</t>
  </si>
  <si>
    <t>67510</t>
  </si>
  <si>
    <t>69020</t>
  </si>
  <si>
    <t>279</t>
  </si>
  <si>
    <t>01/10/2025</t>
  </si>
  <si>
    <t>27/01/1900 12:00:00 am</t>
  </si>
  <si>
    <t>Blue+Yellow</t>
  </si>
  <si>
    <t>25-032</t>
  </si>
  <si>
    <t>CE25-MSDI-0035+36</t>
  </si>
  <si>
    <t>LIFTERS 288+Hardware</t>
  </si>
  <si>
    <t>24-100 Sets</t>
  </si>
  <si>
    <t>1822</t>
  </si>
  <si>
    <t>28/09/2025</t>
  </si>
  <si>
    <t>282</t>
  </si>
  <si>
    <t>25-021</t>
  </si>
  <si>
    <t>AFUL-0004</t>
  </si>
  <si>
    <t>HAMMER PP-1083</t>
  </si>
  <si>
    <t>311</t>
  </si>
  <si>
    <t>08/10/2025 12:00:00 am</t>
  </si>
  <si>
    <t>2239th</t>
  </si>
  <si>
    <t>LAUN-0094</t>
  </si>
  <si>
    <t>2460</t>
  </si>
  <si>
    <t>-45924</t>
  </si>
  <si>
    <t>19/09/2025</t>
  </si>
  <si>
    <t>2263rd</t>
  </si>
  <si>
    <t>EWTD-0203+0204+0205+0206+0207+0208</t>
  </si>
  <si>
    <t>Scraper+Trashplate</t>
  </si>
  <si>
    <t>Black+ Pink</t>
  </si>
  <si>
    <t>8+3</t>
  </si>
  <si>
    <t>1730</t>
  </si>
  <si>
    <t>06/10/2025</t>
  </si>
  <si>
    <t>274</t>
  </si>
  <si>
    <t>26/09/2025</t>
  </si>
  <si>
    <t>2081 (IOL MEMO NO. 207)</t>
  </si>
  <si>
    <t>Ship with Export # 2278</t>
  </si>
  <si>
    <t>GFUL-0115 ( FOCR )</t>
  </si>
  <si>
    <t>Top Roller+Juice Flanges</t>
  </si>
  <si>
    <t>13500</t>
  </si>
  <si>
    <t>14040</t>
  </si>
  <si>
    <t>GFUL-0136+0137</t>
  </si>
  <si>
    <t>Pink+Red</t>
  </si>
  <si>
    <t>2070</t>
  </si>
  <si>
    <t>2380</t>
  </si>
  <si>
    <t>-45939</t>
  </si>
  <si>
    <t>FLSE-0051</t>
  </si>
  <si>
    <t>84 Nos</t>
  </si>
  <si>
    <t>10740</t>
  </si>
  <si>
    <t>11280</t>
  </si>
  <si>
    <t>07/10/2025</t>
  </si>
  <si>
    <t>-45937</t>
  </si>
  <si>
    <t>2249th</t>
  </si>
  <si>
    <t>FCGL-0605+606+607+608+609+610+611+12+613</t>
  </si>
  <si>
    <t>368</t>
  </si>
  <si>
    <t>15/10/2025 12:00:00 am</t>
  </si>
  <si>
    <t>2269th</t>
  </si>
  <si>
    <t>BAIS-0026</t>
  </si>
  <si>
    <t>Gray+ Blue</t>
  </si>
  <si>
    <t>18175</t>
  </si>
  <si>
    <t>18400</t>
  </si>
  <si>
    <t>16/10/2025</t>
  </si>
  <si>
    <t>264</t>
  </si>
  <si>
    <t>25-009</t>
  </si>
  <si>
    <t>FCBM-0021</t>
  </si>
  <si>
    <t>477</t>
  </si>
  <si>
    <t>-45945</t>
  </si>
  <si>
    <t>2257th</t>
  </si>
  <si>
    <t>1st LC</t>
  </si>
  <si>
    <t>PSMI-0061+62+63+64+65+66+67</t>
  </si>
  <si>
    <t>Mill Roller+ Pinion</t>
  </si>
  <si>
    <t>54195</t>
  </si>
  <si>
    <t>57815</t>
  </si>
  <si>
    <t>10/06/2024</t>
  </si>
  <si>
    <t>18/10/2025</t>
  </si>
  <si>
    <t>495</t>
  </si>
  <si>
    <t>262</t>
  </si>
  <si>
    <t>19/10/2025 12:00:00 am</t>
  </si>
  <si>
    <t>2223rd</t>
  </si>
  <si>
    <t>BAIS-0017</t>
  </si>
  <si>
    <t>5270</t>
  </si>
  <si>
    <t>5460</t>
  </si>
  <si>
    <t>2298th</t>
  </si>
  <si>
    <t>LC</t>
  </si>
  <si>
    <t>PGMP-0029+30</t>
  </si>
  <si>
    <t>43340</t>
  </si>
  <si>
    <t>44210</t>
  </si>
  <si>
    <t>23/10/2025</t>
  </si>
  <si>
    <t>257</t>
  </si>
  <si>
    <t>24/10/2025 12:00:00 am</t>
  </si>
  <si>
    <t>CSUR-0077</t>
  </si>
  <si>
    <t>302</t>
  </si>
  <si>
    <t>263</t>
  </si>
  <si>
    <t>30/10/2025 12:00:00 am</t>
  </si>
  <si>
    <t>506</t>
  </si>
  <si>
    <t>1400+1400</t>
  </si>
  <si>
    <t>507</t>
  </si>
  <si>
    <t>GFUL-0108+0011</t>
  </si>
  <si>
    <t>107185</t>
  </si>
  <si>
    <t>155910</t>
  </si>
  <si>
    <t>17/11/2025</t>
  </si>
  <si>
    <t>232</t>
  </si>
  <si>
    <t>3000</t>
  </si>
  <si>
    <t>3720</t>
  </si>
  <si>
    <t>24/11/2025</t>
  </si>
  <si>
    <t>388</t>
  </si>
  <si>
    <t>25-027</t>
  </si>
  <si>
    <t>FCBM-0026</t>
  </si>
  <si>
    <t>BEARING WITH BABBIT LAYER</t>
  </si>
  <si>
    <t>523</t>
  </si>
  <si>
    <t>-45985</t>
  </si>
  <si>
    <t>2294th</t>
  </si>
  <si>
    <t>FCGL-0614 +15</t>
  </si>
  <si>
    <t>Axe+ Axle Asly</t>
  </si>
  <si>
    <t>141</t>
  </si>
  <si>
    <t>26/09/2025 12:00:00 am</t>
  </si>
  <si>
    <t>284</t>
  </si>
  <si>
    <t>ROLLER+SHAFT+</t>
  </si>
  <si>
    <t>20/11/2025 12:00:00 am</t>
  </si>
  <si>
    <t>224</t>
  </si>
  <si>
    <t>GFUL-0109+0112</t>
  </si>
  <si>
    <t>41</t>
  </si>
  <si>
    <t>104710</t>
  </si>
  <si>
    <t>112370</t>
  </si>
  <si>
    <t>-45991</t>
  </si>
  <si>
    <t>2369th</t>
  </si>
  <si>
    <t>GFUL-0141+0142+0143+0144</t>
  </si>
  <si>
    <t>Meta 4370 HL - Buffer Layer +Metadur 65 S - Hard Facing+Metallogen AB 100 - Beading+Croni 29/9 S</t>
  </si>
  <si>
    <t>12+3</t>
  </si>
  <si>
    <t>8635</t>
  </si>
  <si>
    <t>02/12/2025 12:00:00 am</t>
  </si>
  <si>
    <t>Ship with Export # 2285</t>
  </si>
  <si>
    <t>03/12/2025</t>
  </si>
  <si>
    <t>216</t>
  </si>
  <si>
    <t>Ship with Export # 2322</t>
  </si>
  <si>
    <t>29/11/2025</t>
  </si>
  <si>
    <t>214</t>
  </si>
  <si>
    <t>05/12/2025</t>
  </si>
  <si>
    <t>05/12/2025 12:00:00 am</t>
  </si>
  <si>
    <t>34565</t>
  </si>
  <si>
    <t>36555</t>
  </si>
  <si>
    <t>Ship with Export # 2247</t>
  </si>
  <si>
    <t>3095</t>
  </si>
  <si>
    <t>3555</t>
  </si>
  <si>
    <t>Grey + Green</t>
  </si>
  <si>
    <t>8095</t>
  </si>
  <si>
    <t>GFUL-0127+0131</t>
  </si>
  <si>
    <t>Top Scraper Asly</t>
  </si>
  <si>
    <t>4245</t>
  </si>
  <si>
    <t>GFUL-0110+0013</t>
  </si>
  <si>
    <t>104120</t>
  </si>
  <si>
    <t>111800</t>
  </si>
  <si>
    <t>(S) KOMATI (FOCR)</t>
  </si>
  <si>
    <t>Blots</t>
  </si>
  <si>
    <t>SUCL-0029+30+39+40+41+42</t>
  </si>
  <si>
    <t>Sapre + MMC+ Bypass Chute</t>
  </si>
  <si>
    <t>Black + Organe</t>
  </si>
  <si>
    <t>14375</t>
  </si>
  <si>
    <t>16065</t>
  </si>
  <si>
    <t>12/12/2025 12:00:00 am</t>
  </si>
  <si>
    <t>18/12/2025 12:00:00 am</t>
  </si>
  <si>
    <t>10855</t>
  </si>
  <si>
    <t>11840</t>
  </si>
  <si>
    <t>204</t>
  </si>
  <si>
    <t>10/12/2025</t>
  </si>
  <si>
    <t>Pink + White</t>
  </si>
  <si>
    <t>201</t>
  </si>
  <si>
    <t>14/12/2025</t>
  </si>
  <si>
    <t>19/12/2025 12:00:00 am</t>
  </si>
  <si>
    <t>06/12/2025</t>
  </si>
  <si>
    <t>21/12/2025</t>
  </si>
  <si>
    <t>-46010</t>
  </si>
  <si>
    <t>21/12/2025 12:00:00 am</t>
  </si>
  <si>
    <t>25-038</t>
  </si>
  <si>
    <t>MSDI-0041+42+43</t>
  </si>
  <si>
    <t>MALE NOSE RINGS +FEMALE NOSE RINGS+BOLT + NUT + WASHER</t>
  </si>
  <si>
    <t>8+16</t>
  </si>
  <si>
    <t>767</t>
  </si>
  <si>
    <t>902</t>
  </si>
  <si>
    <t>525</t>
  </si>
  <si>
    <t>27/11/2025</t>
  </si>
  <si>
    <t>CE25-MPTS-0001+0002</t>
  </si>
  <si>
    <t>1375</t>
  </si>
  <si>
    <t>24/12/2025 12:00:00 am</t>
  </si>
  <si>
    <t>MOSH CANADA INC</t>
  </si>
  <si>
    <t>MO-0002</t>
  </si>
  <si>
    <t>GE25-MOSH-0002</t>
  </si>
  <si>
    <t>POURING LADLES FOR LEAD METAL</t>
  </si>
  <si>
    <t>2245</t>
  </si>
  <si>
    <t>2795</t>
  </si>
  <si>
    <t>ALMA-0074+75+76+0077+78</t>
  </si>
  <si>
    <t>2345th</t>
  </si>
  <si>
    <t>CSUR-0079</t>
  </si>
  <si>
    <t>192</t>
  </si>
  <si>
    <t>27/12/2025 12:00:00 am</t>
  </si>
  <si>
    <t>FCGL-0624</t>
  </si>
  <si>
    <t>Feed Roller Housing Asly.</t>
  </si>
  <si>
    <t>FCBM-0027+28</t>
  </si>
  <si>
    <t>LEFT HAND ARM LEVER+RIGHT HAND ARM LEVER</t>
  </si>
  <si>
    <t>161</t>
  </si>
  <si>
    <t>13/12/2025</t>
  </si>
  <si>
    <t>25-035</t>
  </si>
  <si>
    <t>FCBM-0029</t>
  </si>
  <si>
    <t>ARM LEVER</t>
  </si>
  <si>
    <t>25-020</t>
  </si>
  <si>
    <t>FLSU-0003+004+0005+0006+</t>
  </si>
  <si>
    <t>OUTER HAMMER DISC+ SPLIT KEEP PLATE+ SCREW+ SPRING WASHER</t>
  </si>
  <si>
    <t>2+2+24+24</t>
  </si>
  <si>
    <t>245</t>
  </si>
  <si>
    <t>290</t>
  </si>
  <si>
    <t>229</t>
  </si>
  <si>
    <t>PT. CIPTA SEMBORO</t>
  </si>
  <si>
    <t>Black + White + Red</t>
  </si>
  <si>
    <t>12755</t>
  </si>
  <si>
    <t>13040</t>
  </si>
  <si>
    <t>09/01/2026</t>
  </si>
  <si>
    <t>179</t>
  </si>
  <si>
    <t>04/01/2026</t>
  </si>
  <si>
    <t>12/01/2026 12:00:00 am</t>
  </si>
  <si>
    <t>30+65 Sets</t>
  </si>
  <si>
    <t>-327</t>
  </si>
  <si>
    <t>551</t>
  </si>
  <si>
    <t>MO-0132</t>
  </si>
  <si>
    <t>MSDI-0046+47+48</t>
  </si>
  <si>
    <t>SUGAR SCOOP 306+ANGLE+LOCK PLATE</t>
  </si>
  <si>
    <t>Ship with Export # 2287 2nd</t>
  </si>
  <si>
    <t>Green + White</t>
  </si>
  <si>
    <t>6345</t>
  </si>
  <si>
    <t>7125</t>
  </si>
  <si>
    <t>12/01/2026</t>
  </si>
  <si>
    <t>176</t>
  </si>
  <si>
    <t>07/01/2026</t>
  </si>
  <si>
    <t>17/01/2026 12:00:00 am</t>
  </si>
  <si>
    <t>Ship with Export # 2224</t>
  </si>
  <si>
    <t>9630</t>
  </si>
  <si>
    <t>26/12/2025</t>
  </si>
  <si>
    <t>37765</t>
  </si>
  <si>
    <t>38350</t>
  </si>
  <si>
    <t>GFUL-0121+0122+0123</t>
  </si>
  <si>
    <t>1230</t>
  </si>
  <si>
    <t>1370</t>
  </si>
  <si>
    <t>-46040</t>
  </si>
  <si>
    <t>GFUL-0121+0122+0123+0129+0130+0136+0137+0138+0139</t>
  </si>
  <si>
    <t>25605</t>
  </si>
  <si>
    <t>29690</t>
  </si>
  <si>
    <t>Black + white</t>
  </si>
  <si>
    <t>1st  Ship with Export # 2337</t>
  </si>
  <si>
    <t>White + Orange</t>
  </si>
  <si>
    <t>DEL CHIRA S.A</t>
  </si>
  <si>
    <t>SCDC-0013+14+15</t>
  </si>
  <si>
    <t>Roller+Pinion</t>
  </si>
  <si>
    <t>Red+ White</t>
  </si>
  <si>
    <t>31620</t>
  </si>
  <si>
    <t>32580</t>
  </si>
  <si>
    <t>24/01/2026</t>
  </si>
  <si>
    <t>164</t>
  </si>
  <si>
    <t>26/01/2026 12:00:00 am</t>
  </si>
  <si>
    <t>7580</t>
  </si>
  <si>
    <t>Blue + Orange</t>
  </si>
  <si>
    <t>29/01/2026 12:00:00 am</t>
  </si>
  <si>
    <t>Black+ Red</t>
  </si>
  <si>
    <t>13480</t>
  </si>
  <si>
    <t>181</t>
  </si>
  <si>
    <t>02/01/2026</t>
  </si>
  <si>
    <t>Ship with Export # 2305</t>
  </si>
  <si>
    <t>Orange + Gray</t>
  </si>
  <si>
    <t>-4</t>
  </si>
  <si>
    <t>9455</t>
  </si>
  <si>
    <t>10595</t>
  </si>
  <si>
    <t>46051</t>
  </si>
  <si>
    <t>159</t>
  </si>
  <si>
    <t>GFUL-0140</t>
  </si>
  <si>
    <t>Black + White +Yellow</t>
  </si>
  <si>
    <t>20670</t>
  </si>
  <si>
    <t>21210</t>
  </si>
  <si>
    <t>Black+Blue+Yellow</t>
  </si>
  <si>
    <t>31390</t>
  </si>
  <si>
    <t>Green+ Yellow</t>
  </si>
  <si>
    <t>29780</t>
  </si>
  <si>
    <t>30130</t>
  </si>
  <si>
    <t>153</t>
  </si>
  <si>
    <t>04/02/2026 12:00:00 am</t>
  </si>
  <si>
    <t>White  + Blue</t>
  </si>
  <si>
    <t>1+9</t>
  </si>
  <si>
    <t>31005</t>
  </si>
  <si>
    <t>34370</t>
  </si>
  <si>
    <t>06/02/2026 12:00:00 am</t>
  </si>
  <si>
    <t>Part load with 25-030</t>
  </si>
  <si>
    <t>15+100</t>
  </si>
  <si>
    <t>Part load with 25-029</t>
  </si>
  <si>
    <t>12+100</t>
  </si>
  <si>
    <t>222</t>
  </si>
  <si>
    <t>22/11/2025</t>
  </si>
  <si>
    <t>230</t>
  </si>
  <si>
    <t>188</t>
  </si>
  <si>
    <t>162</t>
  </si>
  <si>
    <t>LAUN-0095</t>
  </si>
  <si>
    <t>Yellow + Red</t>
  </si>
  <si>
    <t>05/02/2026</t>
  </si>
  <si>
    <t>EWTD-0209+0210+0211+0212</t>
  </si>
  <si>
    <t>Trashplate + Scraper</t>
  </si>
  <si>
    <t>Blue+Black</t>
  </si>
  <si>
    <t>142</t>
  </si>
  <si>
    <t>24/02/2026 12:00:00 am</t>
  </si>
  <si>
    <t>HAMMER PP-2533</t>
  </si>
  <si>
    <t>3380</t>
  </si>
  <si>
    <t>6+6+6+6+6</t>
  </si>
  <si>
    <t>61605</t>
  </si>
  <si>
    <t>66810</t>
  </si>
  <si>
    <t>03/03/2026</t>
  </si>
  <si>
    <t>26/02/2026</t>
  </si>
  <si>
    <t>03/03/2026 12:00:00 am</t>
  </si>
  <si>
    <t>09/03/2026</t>
  </si>
  <si>
    <t>04/03/2026</t>
  </si>
  <si>
    <t>Green + White + Balck</t>
  </si>
  <si>
    <t>Balck</t>
  </si>
  <si>
    <t>152580</t>
  </si>
  <si>
    <t>01/03/2026</t>
  </si>
  <si>
    <t>07/03/2026</t>
  </si>
  <si>
    <t>CE25-MPTS-0002</t>
  </si>
  <si>
    <t>16/02/2026</t>
  </si>
  <si>
    <t>RHUM DAMOISEAU</t>
  </si>
  <si>
    <t>Ship with Export # 2275</t>
  </si>
  <si>
    <t>Brown + Pink</t>
  </si>
  <si>
    <t>5+5+2</t>
  </si>
  <si>
    <t>732</t>
  </si>
  <si>
    <t>1032</t>
  </si>
  <si>
    <t>Orange + Pink</t>
  </si>
  <si>
    <t>12+10</t>
  </si>
  <si>
    <t>32500</t>
  </si>
  <si>
    <t>20/03/2026</t>
  </si>
  <si>
    <t>WESTFEILD</t>
  </si>
  <si>
    <t>White + Pink</t>
  </si>
  <si>
    <t>6862</t>
  </si>
  <si>
    <t>8012</t>
  </si>
  <si>
    <t>ASJS-0029</t>
  </si>
  <si>
    <t>Uni-Drilled Nozzles</t>
  </si>
  <si>
    <t>140</t>
  </si>
  <si>
    <t>46054</t>
  </si>
  <si>
    <t>27/01/2025</t>
  </si>
  <si>
    <t>27/03/2026 12:00:00 am</t>
  </si>
  <si>
    <t>ATENCINGO (ZUCARMEX)</t>
  </si>
  <si>
    <t>Yellow + Blue</t>
  </si>
  <si>
    <t>28250</t>
  </si>
  <si>
    <t>29250</t>
  </si>
  <si>
    <t>27/03/2026</t>
  </si>
  <si>
    <t>87</t>
  </si>
  <si>
    <t>129</t>
  </si>
  <si>
    <t>22/03/2026</t>
  </si>
  <si>
    <t>29/03/2026 12:00:00 am</t>
  </si>
  <si>
    <t>Green +Pink</t>
  </si>
  <si>
    <t>9620</t>
  </si>
  <si>
    <t>11060</t>
  </si>
  <si>
    <t>50390</t>
  </si>
  <si>
    <t>53535</t>
  </si>
  <si>
    <t>Ship with Export # 2314</t>
  </si>
  <si>
    <t>2705</t>
  </si>
  <si>
    <t>LAGL-0022+23+24+26+27+28+29+30+31+32+33+34+35+37+38</t>
  </si>
  <si>
    <t>78450</t>
  </si>
  <si>
    <t>82755</t>
  </si>
  <si>
    <t>31/03/2026</t>
  </si>
  <si>
    <t>02/04/2026</t>
  </si>
  <si>
    <t>09/04/2026 12:00:00 am</t>
  </si>
  <si>
    <t>FCGL-0619 +0620+0621+0622</t>
  </si>
  <si>
    <t>Trashplate+Drive Pinion+Driven Pinion + Bearing Cover</t>
  </si>
  <si>
    <t>4+1+1</t>
  </si>
  <si>
    <t>4180</t>
  </si>
  <si>
    <t>89</t>
  </si>
  <si>
    <t>INCA-0059+0060</t>
  </si>
  <si>
    <t>Mill Pinion  + Keys</t>
  </si>
  <si>
    <t>20940</t>
  </si>
  <si>
    <t>23050</t>
  </si>
  <si>
    <t>09/04/2026</t>
  </si>
  <si>
    <t>12/04/2026 12:00:00 am</t>
  </si>
  <si>
    <t>1st By Air</t>
  </si>
  <si>
    <t>AROA-0024</t>
  </si>
  <si>
    <t>FCGL-0588 +0589+0590+0591+0592+0593+0594+0595+0596+0597+0598+0599+0600+0601+0602+0603+0604</t>
  </si>
  <si>
    <t>Green+ Red</t>
  </si>
  <si>
    <t>3615</t>
  </si>
  <si>
    <t>4230</t>
  </si>
  <si>
    <t>CE25-FLSE-0061</t>
  </si>
  <si>
    <t>WHEEL TEETH</t>
  </si>
  <si>
    <t>265</t>
  </si>
  <si>
    <t>118</t>
  </si>
  <si>
    <t>LAJO-0016+17+18+19+20+21+22+23+24+25+26+27+28</t>
  </si>
  <si>
    <t>90715</t>
  </si>
  <si>
    <t>95750</t>
  </si>
  <si>
    <t>74</t>
  </si>
  <si>
    <t>24/04/2026</t>
  </si>
  <si>
    <t>Green + Red</t>
  </si>
  <si>
    <t>24/03/2026</t>
  </si>
  <si>
    <t>FCBM-0034</t>
  </si>
  <si>
    <t>BOLT ASSEMBLY - TYPE 1</t>
  </si>
  <si>
    <t>175 Sets</t>
  </si>
  <si>
    <t>20/01/2026 12:00:00 am</t>
  </si>
  <si>
    <t>MPTS-0004</t>
  </si>
  <si>
    <t>2260</t>
  </si>
  <si>
    <t>07/05/2026 12:00:00 am</t>
  </si>
  <si>
    <t>625</t>
  </si>
  <si>
    <t>725</t>
  </si>
  <si>
    <t>27/04/2026</t>
  </si>
  <si>
    <t>71</t>
  </si>
  <si>
    <t>22/04/2026</t>
  </si>
  <si>
    <t>LAGL-0025+36</t>
  </si>
  <si>
    <t>33440</t>
  </si>
  <si>
    <t>37440</t>
  </si>
  <si>
    <t>05/05/2026</t>
  </si>
  <si>
    <t>13/05/2026</t>
  </si>
  <si>
    <t>10/05/2026 12:00:00 am</t>
  </si>
  <si>
    <t>Black +Gray</t>
  </si>
  <si>
    <t>13/04/2026</t>
  </si>
  <si>
    <t>6 Asly</t>
  </si>
  <si>
    <t>20/05/2026</t>
  </si>
  <si>
    <t>15/05/2026</t>
  </si>
  <si>
    <t>20/05/2026 12:00:00 am</t>
  </si>
  <si>
    <t>LULS-0267 +0268</t>
  </si>
  <si>
    <t>Cane Knife Asly + Three Knife Holder</t>
  </si>
  <si>
    <t>White+ Blue</t>
  </si>
  <si>
    <t>7+7+6</t>
  </si>
  <si>
    <t>92</t>
  </si>
  <si>
    <t>2440th</t>
  </si>
  <si>
    <t>LULS-0270</t>
  </si>
  <si>
    <t>4 Set</t>
  </si>
  <si>
    <t>2.5</t>
  </si>
  <si>
    <t>MACG-0007+0008+0009+0010</t>
  </si>
  <si>
    <t>GIRTH GEAR+HARDWARE+PINION+MOUNTING BRACKETS</t>
  </si>
  <si>
    <t>1set+1set +1+16</t>
  </si>
  <si>
    <t>2650</t>
  </si>
  <si>
    <t>25/05/2026</t>
  </si>
  <si>
    <t>04/06/2026</t>
  </si>
  <si>
    <t>04/06/2026 12:00:00 am</t>
  </si>
  <si>
    <t>29/05/2026</t>
  </si>
  <si>
    <t>PANTALEON</t>
  </si>
  <si>
    <t>16 Asly</t>
  </si>
  <si>
    <t>64</t>
  </si>
  <si>
    <t>15/06/2026 12:00:00 am</t>
  </si>
  <si>
    <t>3580</t>
  </si>
  <si>
    <t>06/06/2026</t>
  </si>
  <si>
    <t>01/06/2026</t>
  </si>
  <si>
    <t>2900</t>
  </si>
  <si>
    <t>1324</t>
  </si>
  <si>
    <t>1598</t>
  </si>
  <si>
    <t>209</t>
  </si>
  <si>
    <t>Part load with 2426</t>
  </si>
  <si>
    <t>17/06/2026 12:00:00 am</t>
  </si>
  <si>
    <t>16/04/2026</t>
  </si>
  <si>
    <t>CASA-0037</t>
  </si>
  <si>
    <t>12476</t>
  </si>
  <si>
    <t>12810</t>
  </si>
  <si>
    <t>Red + Green</t>
  </si>
  <si>
    <t>2970</t>
  </si>
  <si>
    <t>3280</t>
  </si>
  <si>
    <t>20/06/2026</t>
  </si>
  <si>
    <t>46196</t>
  </si>
  <si>
    <t>31/12/1899</t>
  </si>
  <si>
    <t>23/06/2026 12:00:00 am</t>
  </si>
  <si>
    <t>1st Part load with 2415</t>
  </si>
  <si>
    <t>INCA-0064+65+66</t>
  </si>
  <si>
    <t>Red + Orange + White</t>
  </si>
  <si>
    <t>52732</t>
  </si>
  <si>
    <t>53825</t>
  </si>
  <si>
    <t>10/11/2025</t>
  </si>
  <si>
    <t>239</t>
  </si>
  <si>
    <t>530</t>
  </si>
  <si>
    <t>B. #</t>
  </si>
  <si>
    <t>N.W. - Kgs</t>
  </si>
  <si>
    <t>G.W. - Kgs</t>
  </si>
  <si>
    <t>S/Agent</t>
  </si>
  <si>
    <t>Standard Containers 20'</t>
  </si>
  <si>
    <t>Open Top Containers 20'</t>
  </si>
  <si>
    <t>Flat Rack Containers 20'</t>
  </si>
  <si>
    <t>Out of Gauge Containers 20'</t>
  </si>
  <si>
    <t>Standard Containers 40'</t>
  </si>
  <si>
    <t>Open Top Containers 40'</t>
  </si>
  <si>
    <t>Flat Rack Containers 40'</t>
  </si>
  <si>
    <t>Out of Gauge Containers 40'</t>
  </si>
  <si>
    <t>AIR</t>
  </si>
  <si>
    <t>QFL Arrival Dt.</t>
  </si>
  <si>
    <t>Port-In Dt.</t>
  </si>
  <si>
    <t>Cut Off Dt.</t>
  </si>
  <si>
    <t>CRO Arrival Dt.</t>
  </si>
  <si>
    <t>Days Delayed</t>
  </si>
  <si>
    <t>QFL Stayed Time</t>
  </si>
  <si>
    <t>Stuffing Location</t>
  </si>
  <si>
    <t>Pick-up T.</t>
  </si>
  <si>
    <t>Loading T.</t>
  </si>
  <si>
    <t>Quoted S/freight</t>
  </si>
  <si>
    <t>Actual S/freight</t>
  </si>
  <si>
    <t>Packing Cost</t>
  </si>
  <si>
    <t>LHR ~ KHI</t>
  </si>
  <si>
    <t>Fumigation</t>
  </si>
  <si>
    <t>Lashing</t>
  </si>
  <si>
    <t>QFL Cost</t>
  </si>
  <si>
    <t>QFL ~ Port</t>
  </si>
  <si>
    <t>Clearance Cost</t>
  </si>
  <si>
    <t>DHL Charges</t>
  </si>
  <si>
    <t>Insurance</t>
  </si>
  <si>
    <t>Wharfage</t>
  </si>
  <si>
    <t>Sea Freight</t>
  </si>
  <si>
    <t>Freight Variance</t>
  </si>
  <si>
    <t>Total Logistics Cost</t>
  </si>
  <si>
    <t>Cost Per KG</t>
  </si>
  <si>
    <t xml:space="preserve">Mill Roll Shaft </t>
  </si>
  <si>
    <t xml:space="preserve">FLSMIDTH CEMENT MEXICO
</t>
  </si>
  <si>
    <t xml:space="preserve">INNER LINING PLATE+INLET BOTTOM XJ-342+ Hardware
</t>
  </si>
  <si>
    <t xml:space="preserve">FLSMIDTH CEMENT
</t>
  </si>
  <si>
    <t xml:space="preserve">FLSE-0052
</t>
  </si>
  <si>
    <t xml:space="preserve">Spare
</t>
  </si>
  <si>
    <t xml:space="preserve">FLMX-0057+58+59+60+61
</t>
  </si>
  <si>
    <t xml:space="preserve">FLMX-0062+63+64+65+66+
</t>
  </si>
  <si>
    <t>SAPT</t>
  </si>
  <si>
    <t>At Port</t>
  </si>
  <si>
    <t>NO</t>
  </si>
  <si>
    <t>T.S Link</t>
  </si>
  <si>
    <t>KMTC CHENNAI / 2603E</t>
  </si>
  <si>
    <t>Al Raaziq</t>
  </si>
  <si>
    <t>KMTC</t>
  </si>
  <si>
    <t>KMTC-CHANNAI</t>
  </si>
  <si>
    <t>YES</t>
  </si>
  <si>
    <t>2359 + 2426</t>
  </si>
  <si>
    <t>Cosco</t>
  </si>
  <si>
    <t>KMTC-MANILA</t>
  </si>
  <si>
    <t>BRAZIL</t>
  </si>
  <si>
    <t>Santos</t>
  </si>
  <si>
    <t>Hammer</t>
  </si>
  <si>
    <t>KHIG21198300</t>
  </si>
  <si>
    <t>INDUS</t>
  </si>
  <si>
    <t>SEASPAN BELLWETHER 102W(IOM)</t>
  </si>
  <si>
    <t>ANGOLA</t>
  </si>
  <si>
    <t>Luanda</t>
  </si>
  <si>
    <t>On-Water</t>
  </si>
  <si>
    <t>Sailing</t>
  </si>
  <si>
    <t>1st Batch</t>
  </si>
  <si>
    <t>Mill Spares</t>
  </si>
  <si>
    <t>KICT</t>
  </si>
  <si>
    <t>QICT</t>
  </si>
  <si>
    <t>ZHONG GU KUN MING DP Voyage: 686127</t>
  </si>
  <si>
    <t>3635 / 20' O/T
4740 / 40' F/R</t>
  </si>
  <si>
    <t>PPCT</t>
  </si>
  <si>
    <t>17890 / 40' F/R
5500 / 20' F/R</t>
  </si>
  <si>
    <t xml:space="preserve">Trashbeam </t>
  </si>
  <si>
    <t xml:space="preserve">AHE0257010 </t>
  </si>
  <si>
    <t xml:space="preserve">Fixing Parts for Top Roll Scraper </t>
  </si>
  <si>
    <t xml:space="preserve">Trash Turner </t>
  </si>
  <si>
    <t>Port link</t>
  </si>
  <si>
    <t>PAK PACIFIC</t>
  </si>
  <si>
    <t>KHIG20810700</t>
  </si>
  <si>
    <t>NYK CONSTELLATION 0111E(JTI)</t>
  </si>
  <si>
    <t>Hapag Elloyed</t>
  </si>
  <si>
    <t>Sky Media</t>
  </si>
  <si>
    <t>NYK FUTAGO DP Voyage: 777962</t>
  </si>
  <si>
    <t xml:space="preserve">Shaft  &amp; Cone of Boiler ID Fan </t>
  </si>
  <si>
    <t>DEX KHI</t>
  </si>
  <si>
    <t>3750 / 40 Std</t>
  </si>
  <si>
    <t xml:space="preserve"> </t>
  </si>
  <si>
    <t>INDUS KHI</t>
  </si>
  <si>
    <t>16790 / 40' F/R</t>
  </si>
  <si>
    <t xml:space="preserve">AHE0257815 </t>
  </si>
  <si>
    <t>PJILIPPINES</t>
  </si>
  <si>
    <t>2370st</t>
  </si>
  <si>
    <t>Chute Plates</t>
  </si>
  <si>
    <t>DEX</t>
  </si>
  <si>
    <t>SACT</t>
  </si>
  <si>
    <t xml:space="preserve">Head Stock + Shell
</t>
  </si>
  <si>
    <t>NLC KHI</t>
  </si>
  <si>
    <t>SAFEEM POWER SEADREAM</t>
  </si>
  <si>
    <t>HONDORAS</t>
  </si>
  <si>
    <t>Puerto Cortes</t>
  </si>
  <si>
    <t>AHE0258405</t>
  </si>
  <si>
    <t>CMA CGM IMAGINATION / 0DVPWS1MA</t>
  </si>
  <si>
    <t xml:space="preserve">Cane Knife Asly
</t>
  </si>
  <si>
    <t>Indus KHI</t>
  </si>
  <si>
    <t>AHE0258404</t>
  </si>
  <si>
    <t>CMA CGM MELISANDE / 0PEGJW1M</t>
  </si>
  <si>
    <t>GENERAL MARITIME</t>
  </si>
  <si>
    <t>GSLMELITA - 624E</t>
  </si>
  <si>
    <t>LOGISTICA</t>
  </si>
  <si>
    <t xml:space="preserve">Bearing Housing </t>
  </si>
  <si>
    <t xml:space="preserve">Balck </t>
  </si>
  <si>
    <t>KGTL</t>
  </si>
  <si>
    <t xml:space="preserve">Scraper +  Trashplaet </t>
  </si>
  <si>
    <t xml:space="preserve">Upper Scraper Holder </t>
  </si>
  <si>
    <t xml:space="preserve">SAN CARLOS </t>
  </si>
  <si>
    <t>Cotabato</t>
  </si>
  <si>
    <t>Knife Hun</t>
  </si>
  <si>
    <t>X-PRESS PHOENIX</t>
  </si>
  <si>
    <t>KMTCCHENNAI 2603E</t>
  </si>
  <si>
    <t>$ 2900</t>
  </si>
  <si>
    <t>36584509      
94758054</t>
  </si>
  <si>
    <t>19500 $</t>
  </si>
  <si>
    <t xml:space="preserve">$ </t>
  </si>
  <si>
    <t>ALBERT P / 668694</t>
  </si>
  <si>
    <t>$  4950</t>
  </si>
  <si>
    <t>$ 5800</t>
  </si>
  <si>
    <t xml:space="preserve">2nd </t>
  </si>
  <si>
    <t>MMC+Donnelly Chute +Scraper +Messchaert Knives</t>
  </si>
  <si>
    <t>SUCL-0028+29+30+39+42</t>
  </si>
  <si>
    <t>Sky Midia</t>
  </si>
  <si>
    <t>$ 8100</t>
  </si>
  <si>
    <t>$ 3800</t>
  </si>
  <si>
    <t>$ 19,500</t>
  </si>
  <si>
    <t>GFUL-0118+0119+0120+0121+0122+0123+0124+0125+0126+0127+0128+0129+0130+0131+0136+0137+0138+0139</t>
  </si>
  <si>
    <t xml:space="preserve">MECHPROTECH PTY LTD
</t>
  </si>
  <si>
    <t>NO.</t>
  </si>
  <si>
    <t xml:space="preserve"> CAST GIRTH GEAR
</t>
  </si>
  <si>
    <t xml:space="preserve">CE25-MPTS-0001+0002
</t>
  </si>
  <si>
    <t>GEORGE WASHINGTON BRIDGE</t>
  </si>
  <si>
    <t xml:space="preserve">SPUR GEAR – PINION
</t>
  </si>
  <si>
    <t xml:space="preserve">CE25-MPTS-0003
</t>
  </si>
  <si>
    <t>Zimbabve</t>
  </si>
  <si>
    <t>Harare</t>
  </si>
  <si>
    <t>4th B</t>
  </si>
  <si>
    <t>Emirates Airways</t>
  </si>
  <si>
    <t>176-15334690</t>
  </si>
  <si>
    <t>Karachi Airport</t>
  </si>
  <si>
    <t>Emirates</t>
  </si>
  <si>
    <t>$ 4/ Kgs</t>
  </si>
  <si>
    <t xml:space="preserve">LINER for Top Bearing Top Half </t>
  </si>
  <si>
    <t>$ 150</t>
  </si>
  <si>
    <t>$ 840</t>
  </si>
  <si>
    <t xml:space="preserve">Mill Pinion </t>
  </si>
  <si>
    <t>$ 650</t>
  </si>
  <si>
    <t xml:space="preserve"> OOCL NAGOYA 216E</t>
  </si>
  <si>
    <t xml:space="preserve">CARL SCHULTE /  756560 </t>
  </si>
  <si>
    <t xml:space="preserve">Trashplate </t>
  </si>
  <si>
    <t xml:space="preserve">MOTOFRENOS S.A.S
</t>
  </si>
  <si>
    <t xml:space="preserve">LIFTER 324+100 Sets
</t>
  </si>
  <si>
    <t xml:space="preserve">CE25-MSDI-0039+40
</t>
  </si>
  <si>
    <t xml:space="preserve">SUGAR SCOOP 326+HARDWARE (BOLT + NUT+ WASHER)
</t>
  </si>
  <si>
    <t xml:space="preserve">MSDI-0037+38
</t>
  </si>
  <si>
    <t>$ 3000</t>
  </si>
  <si>
    <t xml:space="preserve">FIVES FCB MINERALS
</t>
  </si>
  <si>
    <t xml:space="preserve">Barcelona </t>
  </si>
  <si>
    <t xml:space="preserve">CE25-FCBM-0023 +24+25
</t>
  </si>
  <si>
    <t>FCA</t>
  </si>
  <si>
    <t xml:space="preserve">NOSE RING+ Bolts
</t>
  </si>
  <si>
    <t xml:space="preserve">MSDI-0044+45
</t>
  </si>
  <si>
    <t>Ace Pakistan</t>
  </si>
  <si>
    <t>Karachi - Airport</t>
  </si>
  <si>
    <t>$ 27000</t>
  </si>
  <si>
    <t>DAMCO</t>
  </si>
  <si>
    <t xml:space="preserve">HAMMER
</t>
  </si>
  <si>
    <t xml:space="preserve">FLSE-0051
</t>
  </si>
  <si>
    <t xml:space="preserve">Nozzles </t>
  </si>
  <si>
    <t xml:space="preserve">SEJ-1291/26 </t>
  </si>
  <si>
    <t xml:space="preserve">EAST WHARF TR 10 / 11 BADRUDDIN YARD </t>
  </si>
  <si>
    <t>90 $</t>
  </si>
  <si>
    <t>Trashplates + Scraper</t>
  </si>
  <si>
    <t>RDO ENDEAVOUR - 756561</t>
  </si>
  <si>
    <t>WWFC</t>
  </si>
  <si>
    <t>$ 2481</t>
  </si>
  <si>
    <t xml:space="preserve">Reshelling of Mill </t>
  </si>
  <si>
    <t>DEX INT</t>
  </si>
  <si>
    <t>2545 USD</t>
  </si>
  <si>
    <t>$ 3190</t>
  </si>
  <si>
    <t xml:space="preserve">Manila </t>
  </si>
  <si>
    <t xml:space="preserve"> Pinion</t>
  </si>
  <si>
    <t>Badrudin yard</t>
  </si>
  <si>
    <t>5 USD / CBM</t>
  </si>
  <si>
    <t>GFUL-0128</t>
  </si>
  <si>
    <t>Hydraulic Accumulator</t>
  </si>
  <si>
    <t xml:space="preserve">KHIG04630900 </t>
  </si>
  <si>
    <t>2900 USD</t>
  </si>
  <si>
    <t xml:space="preserve">FLSMIDTH CEMENT MEXICO
</t>
  </si>
  <si>
    <t xml:space="preserve">STRIKE BAR
</t>
  </si>
  <si>
    <t xml:space="preserve">FLMX-0034
</t>
  </si>
  <si>
    <t xml:space="preserve">AHE0253180 </t>
  </si>
  <si>
    <t xml:space="preserve"> IMAGINATION/0DVCPS1MA</t>
  </si>
  <si>
    <t>$ 4300</t>
  </si>
  <si>
    <t>AXIS</t>
  </si>
  <si>
    <t xml:space="preserve">Ship with Export # 2287 2nd </t>
  </si>
  <si>
    <t>SKY MEDIA</t>
  </si>
  <si>
    <t>Bearing liner</t>
  </si>
  <si>
    <t xml:space="preserve">MSDI-0049+MSDI-0050
</t>
  </si>
  <si>
    <t xml:space="preserve">LIFTER 332+SCREW+ NUT + WASHER
</t>
  </si>
  <si>
    <t xml:space="preserve">235- 32334794 </t>
  </si>
  <si>
    <t>KHI-Airport</t>
  </si>
  <si>
    <t xml:space="preserve">Bush </t>
  </si>
  <si>
    <t>ICT</t>
  </si>
  <si>
    <t xml:space="preserve">Wedge Blocks </t>
  </si>
  <si>
    <t>INDEX</t>
  </si>
  <si>
    <t>MECHPROTECH</t>
  </si>
  <si>
    <t>FLSMIDTH CEMENT USA</t>
  </si>
  <si>
    <t xml:space="preserve">FLSU-0007+0008+0009+0010+0011
</t>
  </si>
  <si>
    <t xml:space="preserve">GRATE SEGMENT
</t>
  </si>
  <si>
    <t>BADRUDDIN</t>
  </si>
  <si>
    <t xml:space="preserve">FLSU-0008+0009+0010+0011+0012+0013+0014+0015+0016+0017
</t>
  </si>
  <si>
    <t xml:space="preserve">MO-0131 </t>
  </si>
  <si>
    <t xml:space="preserve">FLMX-0035+36+37+38
</t>
  </si>
  <si>
    <t xml:space="preserve">Dip Tube
</t>
  </si>
  <si>
    <t>Ahmad C.T</t>
  </si>
  <si>
    <t xml:space="preserve">Eastern </t>
  </si>
  <si>
    <t>SKY MIDIA</t>
  </si>
  <si>
    <t xml:space="preserve"> Pinion+ Roller</t>
  </si>
  <si>
    <t>PICT</t>
  </si>
  <si>
    <t xml:space="preserve">Grey + Green </t>
  </si>
  <si>
    <t xml:space="preserve">Half Bearing Housing </t>
  </si>
  <si>
    <t>2950 / 20 Std</t>
  </si>
  <si>
    <t>BAI CHAY BRIDGE DP Voyage: 776528</t>
  </si>
  <si>
    <t>3500 O/T</t>
  </si>
  <si>
    <t xml:space="preserve">Tail Sprocket Asly </t>
  </si>
  <si>
    <t xml:space="preserve">SNAK-0110 </t>
  </si>
  <si>
    <t xml:space="preserve"> Bearing Liner</t>
  </si>
  <si>
    <t xml:space="preserve">Panjang </t>
  </si>
  <si>
    <t>990 / Std</t>
  </si>
  <si>
    <t>2960 / FR</t>
  </si>
  <si>
    <t xml:space="preserve">MECHPROTECH PTY LTD
</t>
  </si>
  <si>
    <t>NON EFS</t>
  </si>
  <si>
    <t xml:space="preserve">CAST GIRTH GEAR
</t>
  </si>
  <si>
    <t xml:space="preserve">MPTS-0004
</t>
  </si>
  <si>
    <t xml:space="preserve">3025 USD </t>
  </si>
  <si>
    <t xml:space="preserve">MPTS-0008
</t>
  </si>
  <si>
    <t xml:space="preserve">COSCO PRINCE RUPERT </t>
  </si>
  <si>
    <t>4600 / 40' O/T</t>
  </si>
  <si>
    <t>Movement Type</t>
  </si>
  <si>
    <t>Execution Date</t>
  </si>
  <si>
    <t>Shipment Ref. / IDM #</t>
  </si>
  <si>
    <t>Requester</t>
  </si>
  <si>
    <t>Sender</t>
  </si>
  <si>
    <t>Item Name</t>
  </si>
  <si>
    <t>Qty. / No. of Packages</t>
  </si>
  <si>
    <t>Pickup Point</t>
  </si>
  <si>
    <t>Destination</t>
  </si>
  <si>
    <t>Province</t>
  </si>
  <si>
    <t>Driver #</t>
  </si>
  <si>
    <t>Vehicle Type</t>
  </si>
  <si>
    <t>No. of Vehicles</t>
  </si>
  <si>
    <t>Container Number</t>
  </si>
  <si>
    <t>20 FT Containers</t>
  </si>
  <si>
    <t>40 FT Containers</t>
  </si>
  <si>
    <t>Total Gross Weight (Kgs)</t>
  </si>
  <si>
    <t>ETA Works / ETA Destination</t>
  </si>
  <si>
    <t>Dispatch Note Date</t>
  </si>
  <si>
    <t>Transit Days</t>
  </si>
  <si>
    <t>Actual Freight (Rs.)</t>
  </si>
  <si>
    <t>Quoted Freight (Rs.)</t>
  </si>
  <si>
    <t>Savings (Rs.)</t>
  </si>
  <si>
    <t>Detention Amount</t>
  </si>
  <si>
    <t>Rate Per Kg</t>
  </si>
  <si>
    <t>Rate Per Km</t>
  </si>
  <si>
    <t>Payment Terms</t>
  </si>
  <si>
    <t>Tracking Status</t>
  </si>
  <si>
    <t>Bill/Builty Status</t>
  </si>
  <si>
    <t>Ledger Entry Status</t>
  </si>
  <si>
    <t>Bill Clearance Status</t>
  </si>
  <si>
    <t>Remarks</t>
  </si>
  <si>
    <t>Savings %</t>
  </si>
  <si>
    <t>Delay Days</t>
  </si>
  <si>
    <t>Operational Status</t>
  </si>
  <si>
    <t>Inbound</t>
  </si>
  <si>
    <t>LC # 2629</t>
  </si>
  <si>
    <t>Import</t>
  </si>
  <si>
    <t>Shafts</t>
  </si>
  <si>
    <t>M.N Sulehri Goods</t>
  </si>
  <si>
    <t>0302-2311218</t>
  </si>
  <si>
    <t>TLA-410</t>
  </si>
  <si>
    <t>40' Flat Bed</t>
  </si>
  <si>
    <t>Paid</t>
  </si>
  <si>
    <t>Al Hamd Goods</t>
  </si>
  <si>
    <t>0327-9174955</t>
  </si>
  <si>
    <t>TLZ-036</t>
  </si>
  <si>
    <t>Adv # 3761</t>
  </si>
  <si>
    <t>Bearing + Sleeves</t>
  </si>
  <si>
    <t>1 Box</t>
  </si>
  <si>
    <t>Adv # 3789</t>
  </si>
  <si>
    <t>Tic Cermet Rod</t>
  </si>
  <si>
    <t>2 Pallets</t>
  </si>
  <si>
    <t>Adv # 3810</t>
  </si>
  <si>
    <t>QBL-II</t>
  </si>
  <si>
    <t>Criterion</t>
  </si>
  <si>
    <t>5 Pallets</t>
  </si>
  <si>
    <t>Adv # 3814</t>
  </si>
  <si>
    <t>Nodulant</t>
  </si>
  <si>
    <t>10 Pallets</t>
  </si>
  <si>
    <t>Adv # 49139</t>
  </si>
  <si>
    <t>Cabinet Air conditioner</t>
  </si>
  <si>
    <t>Adv # 50032</t>
  </si>
  <si>
    <t>Hammer Tips</t>
  </si>
  <si>
    <t>Outbound</t>
  </si>
  <si>
    <t xml:space="preserve">Sugar-Export </t>
  </si>
  <si>
    <t>Lahore - Airport</t>
  </si>
  <si>
    <t>0305-6900933</t>
  </si>
  <si>
    <t>Shehzore</t>
  </si>
  <si>
    <t>To pay</t>
  </si>
  <si>
    <t>NA</t>
  </si>
  <si>
    <t>Farooqia</t>
  </si>
  <si>
    <t>Part load</t>
  </si>
  <si>
    <t>LC # 87234</t>
  </si>
  <si>
    <t>C.I Scrap</t>
  </si>
  <si>
    <t>Loose</t>
  </si>
  <si>
    <t>M Waqas Goods</t>
  </si>
  <si>
    <t>0301-2641667</t>
  </si>
  <si>
    <t>Z-3491</t>
  </si>
  <si>
    <t>20' C. Carrier</t>
  </si>
  <si>
    <t>MEDU3920659</t>
  </si>
  <si>
    <t>0340-7070403</t>
  </si>
  <si>
    <t>NAA-386</t>
  </si>
  <si>
    <t>CAIU6906519</t>
  </si>
  <si>
    <t>0300-3532672</t>
  </si>
  <si>
    <t>Z-6726</t>
  </si>
  <si>
    <t>TRHU2225197</t>
  </si>
  <si>
    <t>0301-7231669</t>
  </si>
  <si>
    <t>PT-0575</t>
  </si>
  <si>
    <t>TGCU2132113</t>
  </si>
  <si>
    <t>0303-3253694</t>
  </si>
  <si>
    <t>TAS-567</t>
  </si>
  <si>
    <t>MEDU6783539</t>
  </si>
  <si>
    <t>0306-8760819</t>
  </si>
  <si>
    <t>LPT-2876</t>
  </si>
  <si>
    <t>MEDU6114718</t>
  </si>
  <si>
    <t>0307-6681327</t>
  </si>
  <si>
    <t>E-8259</t>
  </si>
  <si>
    <t>MEDU3911997</t>
  </si>
  <si>
    <t>Karachi</t>
  </si>
  <si>
    <t>0336-9944586</t>
  </si>
  <si>
    <t>Riaz Qadri Sb</t>
  </si>
  <si>
    <t>Peshawar-Hayat Abad</t>
  </si>
  <si>
    <t>0301-0445543</t>
  </si>
  <si>
    <t>To Pay</t>
  </si>
  <si>
    <t>0323-1882776</t>
  </si>
  <si>
    <t>TLH-035</t>
  </si>
  <si>
    <t>0301-7307563</t>
  </si>
  <si>
    <t>LC # 2659</t>
  </si>
  <si>
    <t>Ferro Mangnese H/C</t>
  </si>
  <si>
    <t>27 Bags</t>
  </si>
  <si>
    <t>0341-6762568</t>
  </si>
  <si>
    <t>AB-258</t>
  </si>
  <si>
    <t>LC # 84794</t>
  </si>
  <si>
    <t>Ferro Moly</t>
  </si>
  <si>
    <t>2 Bags</t>
  </si>
  <si>
    <t>Adv#48445</t>
  </si>
  <si>
    <t>Forged Shafts</t>
  </si>
  <si>
    <t>4 Piece</t>
  </si>
  <si>
    <t>Lahore</t>
  </si>
  <si>
    <t>0328-5062717</t>
  </si>
  <si>
    <t>LES-4628</t>
  </si>
  <si>
    <t>(S) Semboro</t>
  </si>
  <si>
    <t>0300-2286949</t>
  </si>
  <si>
    <t>0333-7372060</t>
  </si>
  <si>
    <t>0345-4932384</t>
  </si>
  <si>
    <t>DG-Hub</t>
  </si>
  <si>
    <t>Boota Floor</t>
  </si>
  <si>
    <t>Adv#3820</t>
  </si>
  <si>
    <t>Sleeves</t>
  </si>
  <si>
    <t>Container</t>
  </si>
  <si>
    <t>0306-2953076</t>
  </si>
  <si>
    <t>TLW-748</t>
  </si>
  <si>
    <t>40' C. Carrier</t>
  </si>
  <si>
    <t>TWCU812880</t>
  </si>
  <si>
    <t>QCL-Store</t>
  </si>
  <si>
    <t>Areeba Enterprises</t>
  </si>
  <si>
    <t>18' Mazda</t>
  </si>
  <si>
    <t>LC # 2648</t>
  </si>
  <si>
    <t>Mangnese Steel Scrap</t>
  </si>
  <si>
    <t>0301-0002865</t>
  </si>
  <si>
    <t>TAC-765</t>
  </si>
  <si>
    <t>BEAU2766775</t>
  </si>
  <si>
    <t>0308-1345264</t>
  </si>
  <si>
    <t>TLJ-680</t>
  </si>
  <si>
    <t>MSNU1256297</t>
  </si>
  <si>
    <t>MSNU3136182</t>
  </si>
  <si>
    <t>LC# 25547</t>
  </si>
  <si>
    <t>Chromite Sand</t>
  </si>
  <si>
    <t>0305-8098786</t>
  </si>
  <si>
    <t>TLA-444</t>
  </si>
  <si>
    <t>Adv #  84795</t>
  </si>
  <si>
    <t>Ferro Chrome LC</t>
  </si>
  <si>
    <t>Calcium Silicon</t>
  </si>
  <si>
    <t>Kohat</t>
  </si>
  <si>
    <t>0344-3416065</t>
  </si>
  <si>
    <t>14' Mazda</t>
  </si>
  <si>
    <t>0303-0105151</t>
  </si>
  <si>
    <t>45' Flat Bed</t>
  </si>
  <si>
    <t>0327-3262976</t>
  </si>
  <si>
    <t>0300-7078938</t>
  </si>
  <si>
    <t>Muzaffargarh</t>
  </si>
  <si>
    <t>0302-5019951</t>
  </si>
  <si>
    <t>Adv # 25422</t>
  </si>
  <si>
    <t>Resin &amp; Hardner</t>
  </si>
  <si>
    <t>18 Tanks</t>
  </si>
  <si>
    <t>0300-3496858</t>
  </si>
  <si>
    <t>EA-7210</t>
  </si>
  <si>
    <t>LC # 2645</t>
  </si>
  <si>
    <t>2 No.</t>
  </si>
  <si>
    <t>0300-9747027</t>
  </si>
  <si>
    <t>Riaz Qadri Sb's Material</t>
  </si>
  <si>
    <t>QBL-I</t>
  </si>
  <si>
    <t>0300-7604914</t>
  </si>
  <si>
    <t>MO-1054 &amp; 
25-115</t>
  </si>
  <si>
    <t>0321-9131481</t>
  </si>
  <si>
    <t>20' Mazda</t>
  </si>
  <si>
    <t>YEs</t>
  </si>
  <si>
    <t>Khushab</t>
  </si>
  <si>
    <t>0326--0296319</t>
  </si>
  <si>
    <t>0301-2670895</t>
  </si>
  <si>
    <t>JW-1515</t>
  </si>
  <si>
    <t>Chakwal</t>
  </si>
  <si>
    <t>Dera Ghazi Khan</t>
  </si>
  <si>
    <t>0304-9241353</t>
  </si>
  <si>
    <t xml:space="preserve">Ingenio San Antonio </t>
  </si>
  <si>
    <t>0332-8600773</t>
  </si>
  <si>
    <t>EL CHIRA S.A)</t>
  </si>
  <si>
    <t>0305-3318867</t>
  </si>
  <si>
    <t xml:space="preserve">PT. PEMUKASAKTI </t>
  </si>
  <si>
    <t>Attock</t>
  </si>
  <si>
    <t>0336-4953651</t>
  </si>
  <si>
    <t>JV-7303</t>
  </si>
  <si>
    <t>KOMATI</t>
  </si>
  <si>
    <t>0334-4020238</t>
  </si>
  <si>
    <t>HIPPO VALLEY</t>
  </si>
  <si>
    <t>0327-1153703</t>
  </si>
  <si>
    <t>QE-Procurement</t>
  </si>
  <si>
    <t>Haq Brothers</t>
  </si>
  <si>
    <t>LPT-9980</t>
  </si>
  <si>
    <t>20' Flat Bed</t>
  </si>
  <si>
    <t>Sargodha</t>
  </si>
  <si>
    <t>0309-6582042</t>
  </si>
  <si>
    <t>0333-1258717</t>
  </si>
  <si>
    <t>0336-3052828</t>
  </si>
  <si>
    <t>Sangla Hill</t>
  </si>
  <si>
    <t>Faislabad</t>
  </si>
  <si>
    <t>Sadiqabad</t>
  </si>
  <si>
    <t>LC # 2658</t>
  </si>
  <si>
    <t>0305-6230445</t>
  </si>
  <si>
    <t>TLW-535</t>
  </si>
  <si>
    <t>CAD # 16847</t>
  </si>
  <si>
    <t>Phosphorus</t>
  </si>
  <si>
    <t>6 Drums</t>
  </si>
  <si>
    <t>ADV # 3831</t>
  </si>
  <si>
    <t>Neutral Linning</t>
  </si>
  <si>
    <t>CAD # 3812</t>
  </si>
  <si>
    <t>Innoculant</t>
  </si>
  <si>
    <t>5 Bags</t>
  </si>
  <si>
    <t>Riaz Sb's Material</t>
  </si>
  <si>
    <t>Pump Assembly</t>
  </si>
  <si>
    <t>11 No.</t>
  </si>
  <si>
    <t>Kalar Kahaar</t>
  </si>
  <si>
    <t>0324-2001494</t>
  </si>
  <si>
    <t>Nowshehra</t>
  </si>
  <si>
    <t>0313-4913627</t>
  </si>
  <si>
    <t>DG Khan</t>
  </si>
  <si>
    <t>0308-3790206</t>
  </si>
  <si>
    <t>FLSmidth-Mexico</t>
  </si>
  <si>
    <t>FLSmidth-USA</t>
  </si>
  <si>
    <t>0305-9691545</t>
  </si>
  <si>
    <t>LC-2652</t>
  </si>
  <si>
    <t>Sleeves &amp; Resin &amp; Binders</t>
  </si>
  <si>
    <t>0306-0570826</t>
  </si>
  <si>
    <t>E-1750</t>
  </si>
  <si>
    <t>TEMU3181232</t>
  </si>
  <si>
    <t>Skypower</t>
  </si>
  <si>
    <t>QE-II</t>
  </si>
  <si>
    <t>0327-0712802</t>
  </si>
  <si>
    <t>LPT-3782</t>
  </si>
  <si>
    <t>0304-5427640</t>
  </si>
  <si>
    <t>0326-9429976</t>
  </si>
  <si>
    <t>Pezu</t>
  </si>
  <si>
    <t>Umer Kot</t>
  </si>
  <si>
    <t>EXP-2316th</t>
  </si>
  <si>
    <t>Old Roller (S) TPC</t>
  </si>
  <si>
    <t>Sheikh Logistics</t>
  </si>
  <si>
    <t>0309-2762267</t>
  </si>
  <si>
    <t>TMN-667</t>
  </si>
  <si>
    <t>0349-8846573</t>
  </si>
  <si>
    <t>TMJ-467</t>
  </si>
  <si>
    <t>ADV # 3849</t>
  </si>
  <si>
    <t>Carbon Powder</t>
  </si>
  <si>
    <t>10 Bags</t>
  </si>
  <si>
    <t>0300-8816101</t>
  </si>
  <si>
    <t>TMT-367</t>
  </si>
  <si>
    <t>ADV # 50669</t>
  </si>
  <si>
    <t>Exothermic Powder</t>
  </si>
  <si>
    <t>ADV # 3835</t>
  </si>
  <si>
    <t xml:space="preserve">Asbestos Disc </t>
  </si>
  <si>
    <t>2 Boxes</t>
  </si>
  <si>
    <t>Resin Sand</t>
  </si>
  <si>
    <t>1 Bag</t>
  </si>
  <si>
    <t>0301-4974443</t>
  </si>
  <si>
    <t>0306-0033739</t>
  </si>
  <si>
    <t>TLW-324</t>
  </si>
  <si>
    <t>LC# 55714</t>
  </si>
  <si>
    <t>Resin</t>
  </si>
  <si>
    <t>0304-8710988</t>
  </si>
  <si>
    <t>CAZ-098</t>
  </si>
  <si>
    <t>40' Container Carrier</t>
  </si>
  <si>
    <t>CMAU-2665972</t>
  </si>
  <si>
    <t>LC # 2656</t>
  </si>
  <si>
    <t>Binders</t>
  </si>
  <si>
    <t>415 Drum</t>
  </si>
  <si>
    <t>CMAU-2236068</t>
  </si>
  <si>
    <t xml:space="preserve">FLSMIDTH CEMENT
</t>
  </si>
  <si>
    <t>0321-1302376</t>
  </si>
  <si>
    <t xml:space="preserve">Yes </t>
  </si>
  <si>
    <t>Hattar</t>
  </si>
  <si>
    <t>0300-4689357</t>
  </si>
  <si>
    <t xml:space="preserve">2161st </t>
  </si>
  <si>
    <t>ANDAHUASi</t>
  </si>
  <si>
    <t>0331-5488744</t>
  </si>
  <si>
    <t xml:space="preserve">MO-1068, 1091, 1072, </t>
  </si>
  <si>
    <t>0301-0140337</t>
  </si>
  <si>
    <t>MO-1056 &amp;
 MO-1069</t>
  </si>
  <si>
    <t>Nizampur</t>
  </si>
  <si>
    <t>0306-7681807</t>
  </si>
  <si>
    <t>0302-9741738</t>
  </si>
  <si>
    <t xml:space="preserve">ADV # 3841 </t>
  </si>
  <si>
    <t>Pig Iron</t>
  </si>
  <si>
    <t>27000 Kg</t>
  </si>
  <si>
    <t>0323-4336811</t>
  </si>
  <si>
    <t>JV-1063</t>
  </si>
  <si>
    <t>20' Container Carrier</t>
  </si>
  <si>
    <t>0311-2202077</t>
  </si>
  <si>
    <t>TML-151</t>
  </si>
  <si>
    <t>0335-0383467</t>
  </si>
  <si>
    <t>TMD-254</t>
  </si>
  <si>
    <t>0304-7726984</t>
  </si>
  <si>
    <t>0306-3743677</t>
  </si>
  <si>
    <t>LC # 2666</t>
  </si>
  <si>
    <t>21600 Kg</t>
  </si>
  <si>
    <t>0300-1776626</t>
  </si>
  <si>
    <t>TKC-068</t>
  </si>
  <si>
    <t>MSDU-2050844</t>
  </si>
  <si>
    <t>ADV # 3845</t>
  </si>
  <si>
    <t>Lathe Machine</t>
  </si>
  <si>
    <t>0308-2271752</t>
  </si>
  <si>
    <t>Loose Material</t>
  </si>
  <si>
    <t>ADV # 3837</t>
  </si>
  <si>
    <t>TIC Inserts</t>
  </si>
  <si>
    <t>ADV # 50668</t>
  </si>
  <si>
    <t>Exothermic Sleeves</t>
  </si>
  <si>
    <t>4 Pallets</t>
  </si>
  <si>
    <t>RQ Sb's Material</t>
  </si>
  <si>
    <t>Kenana</t>
  </si>
  <si>
    <t>0336-2405291</t>
  </si>
  <si>
    <t>40' Flat bed</t>
  </si>
  <si>
    <t>Alpha</t>
  </si>
  <si>
    <t>QBL-II Store</t>
  </si>
  <si>
    <t>Tapal Enterprises</t>
  </si>
  <si>
    <t>Raiwind Road</t>
  </si>
  <si>
    <t>(S) Maistone</t>
  </si>
  <si>
    <t>0306-3697879</t>
  </si>
  <si>
    <t>C. Izalco</t>
  </si>
  <si>
    <t>0333-8860370</t>
  </si>
  <si>
    <t>GLTE-2177</t>
  </si>
  <si>
    <t>40' Flat Bed O/W</t>
  </si>
  <si>
    <t>(S) Hippo Vallay</t>
  </si>
  <si>
    <t>0336-4974328</t>
  </si>
  <si>
    <t>Sadiq Abad</t>
  </si>
  <si>
    <t>0315-7193748</t>
  </si>
  <si>
    <t>Lahore Airport</t>
  </si>
  <si>
    <t>0322-3986330</t>
  </si>
  <si>
    <t>0346-8277237</t>
  </si>
  <si>
    <t>LC # 2655</t>
  </si>
  <si>
    <t>CI Scrap</t>
  </si>
  <si>
    <t>0332-7881284</t>
  </si>
  <si>
    <t>TMD-377</t>
  </si>
  <si>
    <t>TRHU-2272347</t>
  </si>
  <si>
    <t>MSDU-1546399</t>
  </si>
  <si>
    <t>0323-7022172</t>
  </si>
  <si>
    <t>JV-9898</t>
  </si>
  <si>
    <t>MEDU-5103806</t>
  </si>
  <si>
    <t>CAIU-6225979</t>
  </si>
  <si>
    <t>0301-6819203</t>
  </si>
  <si>
    <t>TLK-712</t>
  </si>
  <si>
    <t>MEDU-5650341</t>
  </si>
  <si>
    <t>MSMJ-1058404</t>
  </si>
  <si>
    <t>0300-4506053</t>
  </si>
  <si>
    <t>TLH-085</t>
  </si>
  <si>
    <t>TEMU-532458</t>
  </si>
  <si>
    <t>CAIU-6143572</t>
  </si>
  <si>
    <t>0333-3597176</t>
  </si>
  <si>
    <t>TME-165</t>
  </si>
  <si>
    <t>(S) Nakambla</t>
  </si>
  <si>
    <t>0304-4138295</t>
  </si>
  <si>
    <t>0325-0189378</t>
  </si>
  <si>
    <t>16' Mazda</t>
  </si>
  <si>
    <t>0301-6480897</t>
  </si>
  <si>
    <t>Les-8385</t>
  </si>
  <si>
    <t>EXP-2409th</t>
  </si>
  <si>
    <t>Old Roller</t>
  </si>
  <si>
    <t>3 No.</t>
  </si>
  <si>
    <t>N. Sulehri Goods</t>
  </si>
  <si>
    <t>0306-7996240</t>
  </si>
  <si>
    <t>TMB-784</t>
  </si>
  <si>
    <t>CAD-22408</t>
  </si>
  <si>
    <t>0302-2470416</t>
  </si>
  <si>
    <t>LC # 57582</t>
  </si>
  <si>
    <t>0302-2157519</t>
  </si>
  <si>
    <t>JW-2864</t>
  </si>
  <si>
    <t>MSDU2718980</t>
  </si>
  <si>
    <t>GLDU3984369</t>
  </si>
  <si>
    <t>0301-2368048</t>
  </si>
  <si>
    <t>TMR-066</t>
  </si>
  <si>
    <t>FCIU-5513161</t>
  </si>
  <si>
    <t>TCKU-8675776</t>
  </si>
  <si>
    <t>0301-6477116</t>
  </si>
  <si>
    <t>CAR-8531</t>
  </si>
  <si>
    <t>LC # 2660</t>
  </si>
  <si>
    <t>Forged Shaft</t>
  </si>
  <si>
    <t>3 No's</t>
  </si>
  <si>
    <t>0300-4012626</t>
  </si>
  <si>
    <t>TMQ-219</t>
  </si>
  <si>
    <t>LC # 90035</t>
  </si>
  <si>
    <t>0308-6287157</t>
  </si>
  <si>
    <t xml:space="preserve">MechProTech </t>
  </si>
  <si>
    <t>6 No's</t>
  </si>
  <si>
    <t>0304-6583715</t>
  </si>
  <si>
    <t>JU-8150</t>
  </si>
  <si>
    <t>5 No's</t>
  </si>
  <si>
    <t>0345-1479206</t>
  </si>
  <si>
    <t>LEI-7530</t>
  </si>
  <si>
    <t>TPC</t>
  </si>
  <si>
    <t>0334-8497688</t>
  </si>
  <si>
    <t>0300-4767991</t>
  </si>
  <si>
    <t>San Carlos</t>
  </si>
  <si>
    <t>0306-4589312</t>
  </si>
  <si>
    <t>RHUM DAMOISEAU SAS</t>
  </si>
  <si>
    <t>Antencingo</t>
  </si>
  <si>
    <t>0307-4522907</t>
  </si>
  <si>
    <t>TMP-616</t>
  </si>
  <si>
    <t>EXP-2372nd</t>
  </si>
  <si>
    <t>0303-6435812</t>
  </si>
  <si>
    <t>JT-9818</t>
  </si>
  <si>
    <t>0300-7497336</t>
  </si>
  <si>
    <t xml:space="preserve">INGENIO PROVIDENCIA </t>
  </si>
  <si>
    <t>0305-9277788</t>
  </si>
  <si>
    <t>0307-4490003</t>
  </si>
  <si>
    <t>TLW-108</t>
  </si>
  <si>
    <t>0340-7241930</t>
  </si>
  <si>
    <t>Mazda</t>
  </si>
  <si>
    <t>0310-9625152</t>
  </si>
  <si>
    <t>0301-7917550</t>
  </si>
  <si>
    <t>INGENIO LA GLORIA S.A.</t>
  </si>
  <si>
    <t>0335-9448119</t>
  </si>
  <si>
    <t>0301-2094077</t>
  </si>
  <si>
    <t>0300-5025476</t>
  </si>
  <si>
    <t>0335-9399048</t>
  </si>
  <si>
    <t>Z-8987</t>
  </si>
  <si>
    <t>Marmonyx</t>
  </si>
  <si>
    <t>0305-5236838</t>
  </si>
  <si>
    <t>ADV 42452</t>
  </si>
  <si>
    <t>Slag Remover</t>
  </si>
  <si>
    <t>0346-8761705</t>
  </si>
  <si>
    <t>HNZ-466</t>
  </si>
  <si>
    <t>CSP</t>
  </si>
  <si>
    <t>Customer Sample</t>
  </si>
  <si>
    <t>ADV-3882</t>
  </si>
  <si>
    <t>0300-1501846</t>
  </si>
  <si>
    <t>TMC-331</t>
  </si>
  <si>
    <t>MSMU1719269</t>
  </si>
  <si>
    <t>0300-9882135</t>
  </si>
  <si>
    <t>INCAUCA S.A</t>
  </si>
  <si>
    <t>0331-6384977</t>
  </si>
  <si>
    <t>MAIDSTONE</t>
  </si>
  <si>
    <t>ADV 50978</t>
  </si>
  <si>
    <t>Boring Machine</t>
  </si>
  <si>
    <t>0306-8398591</t>
  </si>
  <si>
    <t>GLT-7174</t>
  </si>
  <si>
    <t>LMCU9134983</t>
  </si>
  <si>
    <t>0327-0373995</t>
  </si>
  <si>
    <t>JW-9891</t>
  </si>
  <si>
    <t>LMCU9156344</t>
  </si>
  <si>
    <t>0300-3391630</t>
  </si>
  <si>
    <t>TLT-785</t>
  </si>
  <si>
    <t>TCKU7799944</t>
  </si>
  <si>
    <t>CAD 29487</t>
  </si>
  <si>
    <t>Refractory Material</t>
  </si>
  <si>
    <t>0301-8951337</t>
  </si>
  <si>
    <t>DGH-7622</t>
  </si>
  <si>
    <t>YMMU1338052</t>
  </si>
  <si>
    <t>LC 2687</t>
  </si>
  <si>
    <t>Air Compressor</t>
  </si>
  <si>
    <t>0307-7561371</t>
  </si>
  <si>
    <t>JU-7879</t>
  </si>
  <si>
    <t>TCKU1742999</t>
  </si>
  <si>
    <t>Agro Aurora</t>
  </si>
  <si>
    <t>0307-4050210</t>
  </si>
  <si>
    <t>Islamabad</t>
  </si>
  <si>
    <t>0328-5001730</t>
  </si>
  <si>
    <t>0302-0215737</t>
  </si>
  <si>
    <t>0302-6450422</t>
  </si>
  <si>
    <t>DI Khan</t>
  </si>
  <si>
    <t>0308-9109292</t>
  </si>
  <si>
    <t>0306-8156386</t>
  </si>
  <si>
    <t>0300-2099207</t>
  </si>
  <si>
    <t>Z-2522</t>
  </si>
  <si>
    <t>CAD # 31193</t>
  </si>
  <si>
    <t>Coatings &amp; Binders</t>
  </si>
  <si>
    <t>0324-7334717</t>
  </si>
  <si>
    <t>TAS-288</t>
  </si>
  <si>
    <t>TSSU2091982</t>
  </si>
  <si>
    <t>0301-4030530</t>
  </si>
  <si>
    <t>INGENIO LA JOYA</t>
  </si>
  <si>
    <t>0300-3625358</t>
  </si>
  <si>
    <t>0307-4501406</t>
  </si>
  <si>
    <t>TMD-467</t>
  </si>
  <si>
    <t>Bhakkar</t>
  </si>
  <si>
    <t>0348-1418655</t>
  </si>
  <si>
    <t>0308-4689114</t>
  </si>
  <si>
    <t>TLG-504</t>
  </si>
  <si>
    <t>0316-8501683</t>
  </si>
  <si>
    <t>LC 57582</t>
  </si>
  <si>
    <t>Casti Iron Scrap</t>
  </si>
  <si>
    <t>0303-6819099</t>
  </si>
  <si>
    <t>TAG-126</t>
  </si>
  <si>
    <t>FCIU4616524</t>
  </si>
  <si>
    <t>MEDU3621792</t>
  </si>
  <si>
    <t>0310-5478600</t>
  </si>
  <si>
    <t>AJB-688</t>
  </si>
  <si>
    <t>BMOU2804334</t>
  </si>
  <si>
    <t>LC 2682</t>
  </si>
  <si>
    <t>Foundry Coke</t>
  </si>
  <si>
    <t>0321-1860369</t>
  </si>
  <si>
    <t>TMQ-844</t>
  </si>
  <si>
    <t>MSKU-5668512</t>
  </si>
  <si>
    <t>TRLU-9176338</t>
  </si>
  <si>
    <t>0303-7378846</t>
  </si>
  <si>
    <t>LES-3344</t>
  </si>
  <si>
    <t>MRKU-9196876</t>
  </si>
  <si>
    <t>MRKU-9166085</t>
  </si>
  <si>
    <t>0304-5366414</t>
  </si>
  <si>
    <t>LES-944</t>
  </si>
  <si>
    <t>TCLU-3176795</t>
  </si>
  <si>
    <t>MRKU-9021414</t>
  </si>
  <si>
    <t>0306-4892618</t>
  </si>
  <si>
    <t>JV-0687</t>
  </si>
  <si>
    <t>PONU-2081650</t>
  </si>
  <si>
    <t>0321-9765985</t>
  </si>
  <si>
    <t>LC 2696</t>
  </si>
  <si>
    <t>0305-5904521</t>
  </si>
  <si>
    <t>TMW-786</t>
  </si>
  <si>
    <t>DFSU-3067043</t>
  </si>
  <si>
    <t>LC 58601</t>
  </si>
  <si>
    <t>Costing &amp; Binders</t>
  </si>
  <si>
    <t>BSIU3065213</t>
  </si>
  <si>
    <t>Wah Cantt</t>
  </si>
  <si>
    <t>0346-8457952</t>
  </si>
  <si>
    <t>LiaqatPur</t>
  </si>
  <si>
    <t>0303-6147667</t>
  </si>
  <si>
    <t>Fives FCB Minerals</t>
  </si>
  <si>
    <t>Airport</t>
  </si>
  <si>
    <t>0302-1654040</t>
  </si>
  <si>
    <t>LC 3895</t>
  </si>
  <si>
    <t>Steel Plate</t>
  </si>
  <si>
    <t>0300-0328663</t>
  </si>
  <si>
    <t>JV-5163</t>
  </si>
  <si>
    <t>Local Cement</t>
  </si>
  <si>
    <t>Girth Gear</t>
  </si>
  <si>
    <t>1 Ring</t>
  </si>
  <si>
    <t>ADV # 3906</t>
  </si>
  <si>
    <t>Swing Frame Wheel</t>
  </si>
  <si>
    <t>0302-7334719</t>
  </si>
  <si>
    <t>CAZ-4558</t>
  </si>
  <si>
    <t>ADV # 42564</t>
  </si>
  <si>
    <t>Cermic Foam Filter</t>
  </si>
  <si>
    <t>1 Pallet</t>
  </si>
  <si>
    <t>ADV # 3933</t>
  </si>
  <si>
    <t>Band Saw Blade</t>
  </si>
  <si>
    <t>5 Number</t>
  </si>
  <si>
    <t>LC 2691</t>
  </si>
  <si>
    <t>LC 59764</t>
  </si>
  <si>
    <t>LC 59933</t>
  </si>
  <si>
    <t>0340-8645636</t>
  </si>
  <si>
    <t>TKW-556</t>
  </si>
  <si>
    <t>MEDU1092730</t>
  </si>
  <si>
    <t>0307-3472647</t>
  </si>
  <si>
    <t>TAA-234</t>
  </si>
  <si>
    <t>MSNU1469836</t>
  </si>
  <si>
    <t>ADV 57582</t>
  </si>
  <si>
    <t>Cast Iron Scrap</t>
  </si>
  <si>
    <t>0304-8224265</t>
  </si>
  <si>
    <t>TLK-791</t>
  </si>
  <si>
    <t>TGBU3223003</t>
  </si>
  <si>
    <t>FCIU3417404</t>
  </si>
  <si>
    <t>INGENIO PALO GORDO</t>
  </si>
  <si>
    <t>0304-0988863</t>
  </si>
  <si>
    <t>yes</t>
  </si>
  <si>
    <t>INVELT INDUSTRY</t>
  </si>
  <si>
    <t>MechProTech</t>
  </si>
  <si>
    <t>INGENIO PICHICHI</t>
  </si>
  <si>
    <t>0300-4869277</t>
  </si>
  <si>
    <t>0322-0271204</t>
  </si>
  <si>
    <t>TMD-867</t>
  </si>
  <si>
    <t>0303-6471692</t>
  </si>
  <si>
    <t>TLZ-767</t>
  </si>
  <si>
    <t>0307-2953073</t>
  </si>
  <si>
    <t>C-9421</t>
  </si>
  <si>
    <t>Shorkot</t>
  </si>
  <si>
    <t>LULA SUGAR FACTORY</t>
  </si>
  <si>
    <t>0304-1658931</t>
  </si>
  <si>
    <t>0307-6712601</t>
  </si>
  <si>
    <t>0305-8000903</t>
  </si>
  <si>
    <t>0301-7957016</t>
  </si>
  <si>
    <t>LC 33771</t>
  </si>
  <si>
    <t>Riser Sleeves</t>
  </si>
  <si>
    <t>0301-4922233</t>
  </si>
  <si>
    <t>TLF-024</t>
  </si>
  <si>
    <t>TSSU5883819</t>
  </si>
  <si>
    <t>N.Sulehri Goods</t>
  </si>
  <si>
    <t>0300-1107719</t>
  </si>
  <si>
    <t>JV-7448</t>
  </si>
  <si>
    <t>MRKU9320267</t>
  </si>
  <si>
    <t>MRKU7445481</t>
  </si>
  <si>
    <t>Ghotki</t>
  </si>
  <si>
    <t>INGENIO LA GLORIA S.A</t>
  </si>
  <si>
    <t>0305-3819860</t>
  </si>
  <si>
    <t>TMB-828</t>
  </si>
  <si>
    <t>INGENIO PICHICHI S.A.</t>
  </si>
  <si>
    <t>0306-6586227</t>
  </si>
  <si>
    <t>COTABATO SUGAR CENTRAL, INC.</t>
  </si>
  <si>
    <t>ADV 3889</t>
  </si>
  <si>
    <t>Gear Tooth Nozzle</t>
  </si>
  <si>
    <t>15 Carton</t>
  </si>
  <si>
    <t>0308-3134599</t>
  </si>
  <si>
    <t>JT-2179</t>
  </si>
  <si>
    <t>ADV 42566</t>
  </si>
  <si>
    <t>Steel Shots</t>
  </si>
  <si>
    <t>3 Bags</t>
  </si>
  <si>
    <t>CAD 31539</t>
  </si>
  <si>
    <t>Chrome L/C</t>
  </si>
  <si>
    <t>0327-1056471</t>
  </si>
  <si>
    <t>INGENIO SAN CARLOS , EQUADOR</t>
  </si>
  <si>
    <t>0306-1760227</t>
  </si>
  <si>
    <t>TLP-867</t>
  </si>
  <si>
    <t>0329-1037712</t>
  </si>
  <si>
    <t>TLZ-667</t>
  </si>
  <si>
    <t>Rahim Yar Khan</t>
  </si>
  <si>
    <t>0303-6493684</t>
  </si>
  <si>
    <t>0309-5735130</t>
  </si>
  <si>
    <t>TMD-011</t>
  </si>
  <si>
    <t>0346-2893658</t>
  </si>
  <si>
    <t>Exp 2418</t>
  </si>
  <si>
    <t>1 Piece</t>
  </si>
  <si>
    <t>0304-8921388</t>
  </si>
  <si>
    <t>TMJ-367</t>
  </si>
  <si>
    <t>ADV 3939</t>
  </si>
  <si>
    <t>LC 2707</t>
  </si>
  <si>
    <t>21 Pallets</t>
  </si>
  <si>
    <t>LC 2680</t>
  </si>
  <si>
    <t>Ball Screw</t>
  </si>
  <si>
    <t>15 Box</t>
  </si>
  <si>
    <t>Riaz Qadri Sb's</t>
  </si>
  <si>
    <t>Mix Material</t>
  </si>
  <si>
    <t>EXP 2410</t>
  </si>
  <si>
    <t>2 Rollers</t>
  </si>
  <si>
    <t>40; Flat Bed</t>
  </si>
  <si>
    <t>0300-1482085</t>
  </si>
  <si>
    <t>TMQ-780</t>
  </si>
  <si>
    <t>MEDU-6750216</t>
  </si>
  <si>
    <t>MEDU-5810202</t>
  </si>
  <si>
    <t>0301-7237168</t>
  </si>
  <si>
    <t>JW-8249</t>
  </si>
  <si>
    <t>MEDU-6162001</t>
  </si>
  <si>
    <t>BEAU-2958818</t>
  </si>
  <si>
    <t xml:space="preserve">Cement-Export </t>
  </si>
  <si>
    <t xml:space="preserve">FLSmidth - Mexico
</t>
  </si>
  <si>
    <t>GI-Local</t>
  </si>
  <si>
    <t>LC 57964</t>
  </si>
  <si>
    <t>3 Pieces</t>
  </si>
  <si>
    <t>FDQ-9244</t>
  </si>
  <si>
    <t>DP 33803</t>
  </si>
  <si>
    <t>Mangnese High Carbon</t>
  </si>
  <si>
    <t>23 Bags</t>
  </si>
  <si>
    <t>Mangnese Low Carbon</t>
  </si>
  <si>
    <t>.-</t>
  </si>
  <si>
    <t>Crucubles</t>
  </si>
  <si>
    <t>4 No.</t>
  </si>
  <si>
    <t>0303-5011701</t>
  </si>
  <si>
    <t>Khairpur</t>
  </si>
  <si>
    <t>0317-8794616</t>
  </si>
  <si>
    <t>Kot Addu</t>
  </si>
  <si>
    <t>0325-3472678</t>
  </si>
  <si>
    <t>TLB-425</t>
  </si>
  <si>
    <t>0301-0501005</t>
  </si>
  <si>
    <t>CBH-4298</t>
  </si>
  <si>
    <t>MO-2429 &amp; MO-2455</t>
  </si>
  <si>
    <t>Deharki Sugar Mill</t>
  </si>
  <si>
    <t>Obaru</t>
  </si>
  <si>
    <t>0301-3970535</t>
  </si>
  <si>
    <t>TLY-585</t>
  </si>
  <si>
    <t>40' Flatbed</t>
  </si>
  <si>
    <t>MO-2414
MO-2439</t>
  </si>
  <si>
    <t>JK Sugar Mills 1</t>
  </si>
  <si>
    <t>Khanewal</t>
  </si>
  <si>
    <t>MO-2414
MO-2449</t>
  </si>
  <si>
    <t>MO-2397</t>
  </si>
  <si>
    <t>TMP-467</t>
  </si>
  <si>
    <t>MO-2396</t>
  </si>
  <si>
    <t>Biscom</t>
  </si>
  <si>
    <t>MO-2437</t>
  </si>
  <si>
    <t>MO-2422</t>
  </si>
  <si>
    <t>La Union</t>
  </si>
  <si>
    <t>MO-25-039</t>
  </si>
  <si>
    <t>Madina Sugar</t>
  </si>
  <si>
    <t>Chinyot</t>
  </si>
  <si>
    <t>0343-0688640</t>
  </si>
  <si>
    <t>TMQ-267</t>
  </si>
  <si>
    <t>Flying Cement</t>
  </si>
  <si>
    <t>Plate</t>
  </si>
  <si>
    <t>Jeeway Super</t>
  </si>
  <si>
    <t>0304-1195820</t>
  </si>
  <si>
    <t>LEI-8184</t>
  </si>
  <si>
    <t>Part Load</t>
  </si>
  <si>
    <t xml:space="preserve">Daewoo </t>
  </si>
  <si>
    <t>Lucky Cement - KHI</t>
  </si>
  <si>
    <t>Bestway Chakwal</t>
  </si>
  <si>
    <t>ADV 3974</t>
  </si>
  <si>
    <t>0308-7178677</t>
  </si>
  <si>
    <t>TAF-691</t>
  </si>
  <si>
    <t>Shahzore</t>
  </si>
  <si>
    <t xml:space="preserve">NA </t>
  </si>
  <si>
    <t>0312-8996977</t>
  </si>
  <si>
    <t>TLP-177</t>
  </si>
  <si>
    <t>DG Cement - HuB</t>
  </si>
  <si>
    <t>MO-2429</t>
  </si>
  <si>
    <t>Deharki Sugar Mills</t>
  </si>
  <si>
    <t>31-06-2026</t>
  </si>
  <si>
    <t>MO-2415
MO-2480
MO-2450
MO-2432</t>
  </si>
  <si>
    <t>JK-2 Sugar Mills</t>
  </si>
  <si>
    <t>25-104
MO-2487</t>
  </si>
  <si>
    <t>Two Star Sugar Mills</t>
  </si>
  <si>
    <t>Toba Tek Singh</t>
  </si>
  <si>
    <t>MO-2414
MO-2449
MO-2441
MO-2439
MO-2431</t>
  </si>
  <si>
    <t>JK-1 Sugar Mills</t>
  </si>
  <si>
    <t>MO-2469</t>
  </si>
  <si>
    <t>Sheikhoo Sugar Mills</t>
  </si>
  <si>
    <t>MO-2473</t>
  </si>
  <si>
    <t>MO-2500</t>
  </si>
  <si>
    <t>Layyah Sugar Mills</t>
  </si>
  <si>
    <t>Layyah</t>
  </si>
  <si>
    <t>MO-2462</t>
  </si>
  <si>
    <t>Noon Sugar Mills</t>
  </si>
  <si>
    <t xml:space="preserve">FULLER TECHNOLOGIES - MEXICO
</t>
  </si>
  <si>
    <t>EXP-2403</t>
  </si>
  <si>
    <t>EXP-2446</t>
  </si>
  <si>
    <t>EXP-2429</t>
  </si>
  <si>
    <t>EXP-2441</t>
  </si>
  <si>
    <t>EXP-2416</t>
  </si>
  <si>
    <t>EXP-2432</t>
  </si>
  <si>
    <t>EXP-2447</t>
  </si>
  <si>
    <t>EXP-2433</t>
  </si>
  <si>
    <t>EXP-2442</t>
  </si>
  <si>
    <t>MO-2375</t>
  </si>
  <si>
    <t>SW Sugar Mills</t>
  </si>
  <si>
    <t>MO-2376</t>
  </si>
  <si>
    <t>ADV 3945</t>
  </si>
  <si>
    <t>0302-3395918</t>
  </si>
  <si>
    <t>E-8715</t>
  </si>
  <si>
    <t>0306-5335788</t>
  </si>
  <si>
    <t>JW-1792</t>
  </si>
  <si>
    <t>0308-8613061</t>
  </si>
  <si>
    <t>LR-1115</t>
  </si>
  <si>
    <t>0325-3236855</t>
  </si>
  <si>
    <t>NLA-186</t>
  </si>
  <si>
    <t>0326-2336594</t>
  </si>
  <si>
    <t>TLD-512</t>
  </si>
  <si>
    <t>0300-0878567</t>
  </si>
  <si>
    <t>TLC-176</t>
  </si>
  <si>
    <t>0325-8832888</t>
  </si>
  <si>
    <t>CBH-2655</t>
  </si>
  <si>
    <t>0302-2187958</t>
  </si>
  <si>
    <t>PT-0794</t>
  </si>
  <si>
    <t>0300-8826346</t>
  </si>
  <si>
    <t>JV-5837</t>
  </si>
  <si>
    <t>0305-6345289</t>
  </si>
  <si>
    <t>TLH-051</t>
  </si>
  <si>
    <t>0304-7461022</t>
  </si>
  <si>
    <t>TLD-460</t>
  </si>
  <si>
    <t>LC 57625</t>
  </si>
  <si>
    <t>0320-6470159</t>
  </si>
  <si>
    <t>TLG-456</t>
  </si>
  <si>
    <t>DRYU2438853</t>
  </si>
  <si>
    <t>MEDU5559817</t>
  </si>
  <si>
    <t>0304-5110020</t>
  </si>
  <si>
    <t>JV-1557</t>
  </si>
  <si>
    <t>BEAU2813352</t>
  </si>
  <si>
    <t>BEAU2829641</t>
  </si>
  <si>
    <t>0300-7228619</t>
  </si>
  <si>
    <t>TLE-741</t>
  </si>
  <si>
    <t>CAIU6225768</t>
  </si>
  <si>
    <t>CAIU6243653</t>
  </si>
  <si>
    <t>0303-4983648</t>
  </si>
  <si>
    <t>JV-5556</t>
  </si>
  <si>
    <t>MSCU6781930</t>
  </si>
  <si>
    <t>MSDU2393036</t>
  </si>
  <si>
    <t>0308-6334856</t>
  </si>
  <si>
    <t>JV-3145</t>
  </si>
  <si>
    <t>MSNU1729975</t>
  </si>
  <si>
    <t>MSNU2487198</t>
  </si>
  <si>
    <t>ADV 4021</t>
  </si>
  <si>
    <t>0308-0113449</t>
  </si>
  <si>
    <t>TMG-824</t>
  </si>
  <si>
    <t>FCIU-6470927</t>
  </si>
  <si>
    <t>MSNU-1132172</t>
  </si>
  <si>
    <t>EXP 2418</t>
  </si>
  <si>
    <t>0347-2317260</t>
  </si>
  <si>
    <t>TLH-101</t>
  </si>
  <si>
    <t>3 Piece</t>
  </si>
  <si>
    <t>Azeem Qadri Sb</t>
  </si>
  <si>
    <t>Pack Carton</t>
  </si>
  <si>
    <t>MO-1118, 11119</t>
  </si>
  <si>
    <t>0301-8133349</t>
  </si>
  <si>
    <t>TMQ-919</t>
  </si>
  <si>
    <t>LC 62767</t>
  </si>
  <si>
    <t>ADV 43093</t>
  </si>
  <si>
    <t>test</t>
  </si>
  <si>
    <t>Primary Key</t>
  </si>
  <si>
    <t>Exp # or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</si>
</sst>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Calibri"/>
      <charset val="1"/>
    </font>
    <font>
      <b/>
      <sz val="11"/>
      <color rgb="FF1F3864"/>
      <name val="Calibri"/>
      <charset val="1"/>
    </font>
    <font>
      <sz val="10"/>
      <name val="Calibri"/>
      <charset val="1"/>
    </font>
    <font>
      <i/>
      <sz val="9"/>
      <color rgb="FF1F3864"/>
      <name val="Cambria"/>
      <charset val="1"/>
    </font>
    <font>
      <b/>
      <sz val="11"/>
      <color rgb="FFFFFFFF"/>
      <name val="Calibri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b/>
      <sz val="10"/>
      <color rgb="FF1F3864"/>
      <name val="Calibri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AEFF7"/>
        <bgColor rgb="FFF2F2F2"/>
      </patternFill>
    </fill>
    <fill>
      <patternFill patternType="solid">
        <fgColor rgb="FFC9A227"/>
        <bgColor rgb="FFBF9000"/>
      </patternFill>
    </fill>
    <fill>
      <patternFill patternType="solid">
        <fgColor rgb="FFBF9000"/>
        <bgColor rgb="FFC9A227"/>
      </patternFill>
    </fill>
    <fill>
      <patternFill patternType="solid">
        <fgColor rgb="FFF2F2F2"/>
        <bgColor rgb="FFEAEFF7"/>
      </patternFill>
    </fill>
    <fill>
      <patternFill patternType="solid">
        <fgColor rgb="FFE2EFDA"/>
        <bgColor rgb="FFD5F5E3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8D7DA"/>
      </patternFill>
    </fill>
  </fills>
  <borders count="3">
    <border>
      <left/>
      <right/>
      <top/>
      <bottom/>
      <diagonal/>
    </border>
    <border>
      <left style="thin">
        <color rgb="FFBFC9DA"/>
      </left>
      <right style="thin">
        <color rgb="FFBFC9DA"/>
      </right>
      <top style="thin">
        <color rgb="FFBFC9DA"/>
      </top>
      <bottom style="thin">
        <color rgb="FFBFC9D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vertical="top" wrapText="1"/>
    </xf>
    <xf numFmtId="0" fontId="14" fillId="7" borderId="2" xfId="0" applyFont="1" applyFill="1" applyBorder="1" applyAlignment="1">
      <alignment vertical="top" wrapText="1"/>
    </xf>
    <xf numFmtId="0" fontId="14" fillId="8" borderId="2" xfId="0" applyFont="1" applyFill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4" fillId="9" borderId="2" xfId="0" applyFont="1" applyFill="1" applyBorder="1" applyAlignment="1">
      <alignment vertical="top" wrapText="1"/>
    </xf>
    <xf numFmtId="0" fontId="15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left" vertical="center"/>
    </xf>
    <xf numFmtId="0" fontId="5" fillId="3" borderId="0" xfId="0" applyFont="1" applyFill="1"/>
    <xf numFmtId="0" fontId="4" fillId="0" borderId="0" xfId="0" applyFont="1"/>
    <xf numFmtId="0" fontId="2" fillId="2" borderId="0" xfId="0" applyFont="1" applyFill="1"/>
    <xf numFmtId="0" fontId="14" fillId="6" borderId="2" xfId="0" applyFont="1" applyFill="1" applyBorder="1"/>
    <xf numFmtId="0" fontId="11" fillId="2" borderId="0" xfId="0" applyFont="1" applyFill="1" applyAlignment="1">
      <alignment horizontal="left" vertical="center"/>
    </xf>
    <xf numFmtId="0" fontId="12" fillId="0" borderId="0" xfId="0" applyFont="1"/>
    <xf numFmtId="0" fontId="14" fillId="7" borderId="2" xfId="0" applyFont="1" applyFill="1" applyBorder="1"/>
    <xf numFmtId="0" fontId="14" fillId="8" borderId="2" xfId="0" applyFont="1" applyFill="1" applyBorder="1"/>
    <xf numFmtId="0" fontId="14" fillId="9" borderId="2" xfId="0" applyFont="1" applyFill="1" applyBorder="1"/>
    <xf numFmtId="14" fontId="6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8B78382-F789-402F-A9A5-FEEA983F83F1}"/>
  </cellStyles>
  <dxfs count="141">
    <dxf>
      <numFmt numFmtId="19" formatCode="dd/mm/yyyy"/>
    </dxf>
    <dxf>
      <numFmt numFmtId="19" formatCode="dd/mm/yyyy"/>
    </dxf>
    <dxf>
      <numFmt numFmtId="19" formatCode="dd/mm/yyyy"/>
    </dxf>
    <dxf>
      <fill>
        <patternFill>
          <bgColor rgb="FFFFF2CC"/>
        </patternFill>
      </fill>
    </dxf>
    <dxf>
      <fill>
        <patternFill>
          <bgColor rgb="FFF8D7DA"/>
        </patternFill>
      </fill>
    </dxf>
    <dxf>
      <fill>
        <patternFill>
          <bgColor rgb="FFD5F5E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border outline="0">
        <bottom style="thin">
          <color rgb="FFBFC9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404040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C9DA"/>
        </left>
        <right style="thin">
          <color rgb="FFBFC9DA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rgb="FFBFC9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404040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C9DA"/>
        </left>
        <right style="thin">
          <color rgb="FFBFC9DA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F9000"/>
      <rgbColor rgb="FF800080"/>
      <rgbColor rgb="FF008080"/>
      <rgbColor rgb="FFBFBFBF"/>
      <rgbColor rgb="FF878787"/>
      <rgbColor rgb="FF9999FF"/>
      <rgbColor rgb="FFC0504D"/>
      <rgbColor rgb="FFFFF2CC"/>
      <rgbColor rgb="FFEAEFF7"/>
      <rgbColor rgb="FF660066"/>
      <rgbColor rgb="FFFF8080"/>
      <rgbColor rgb="FF0066CC"/>
      <rgbColor rgb="FFBFC9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5E3"/>
      <rgbColor rgb="FFF2F2F2"/>
      <rgbColor rgb="FFD9D9D9"/>
      <rgbColor rgb="FFF8D7DA"/>
      <rgbColor rgb="FFCC99FF"/>
      <rgbColor rgb="FFF8CBAD"/>
      <rgbColor rgb="FF4F81BD"/>
      <rgbColor rgb="FF33CCCC"/>
      <rgbColor rgb="FF9BBB59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44546A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2CB1607-1509-471B-A21A-7591DAE37AEF}" autoFormatId="16" applyNumberFormats="0" applyBorderFormats="0" applyFontFormats="0" applyPatternFormats="0" applyAlignmentFormats="0" applyWidthHeightFormats="0">
  <queryTableRefresh nextId="55">
    <queryTableFields count="54">
      <queryTableField id="1" name="Exp. #" tableColumnId="1"/>
      <queryTableField id="2" name="Batch #" tableColumnId="2"/>
      <queryTableField id="54" dataBound="0" tableColumnId="54"/>
      <queryTableField id="3" name="Customer" tableColumnId="3"/>
      <queryTableField id="4" name="Shipping Term" tableColumnId="4"/>
      <queryTableField id="5" name="Shipping Agent" tableColumnId="5"/>
      <queryTableField id="6" name="Container Type" tableColumnId="6"/>
      <queryTableField id="7" name="Container Quantity" tableColumnId="7"/>
      <queryTableField id="8" name="Gate-Out Date" tableColumnId="8"/>
      <queryTableField id="9" name="Cut Off Date" tableColumnId="9"/>
      <queryTableField id="10" name="Sailing Date" tableColumnId="10"/>
      <queryTableField id="11" name="Month" tableColumnId="11"/>
      <queryTableField id="12" name="Bank Name" tableColumnId="12"/>
      <queryTableField id="13" name="Payment Term" tableColumnId="13"/>
      <queryTableField id="14" name="Customs Invoice Status" tableColumnId="14"/>
      <queryTableField id="15" name="Customs Packing List Status" tableColumnId="15"/>
      <queryTableField id="16" name="Customs FI Status" tableColumnId="16"/>
      <queryTableField id="17" name="Customs Bank Documents Status" tableColumnId="17"/>
      <queryTableField id="18" name="GD Status" tableColumnId="18"/>
      <queryTableField id="19" name="Undertaking Status" tableColumnId="19"/>
      <queryTableField id="20" name="EFS Status" tableColumnId="20"/>
      <queryTableField id="21" name="Customer Invoice Status" tableColumnId="21"/>
      <queryTableField id="22" name="Customer Packing List Status" tableColumnId="22"/>
      <queryTableField id="23" name="BL Type" tableColumnId="23"/>
      <queryTableField id="24" name="BL Status" tableColumnId="24"/>
      <queryTableField id="25" name="Certificate of Origin Status" tableColumnId="25"/>
      <queryTableField id="26" name="Fumigation Certificate Status" tableColumnId="26"/>
      <queryTableField id="27" name="Insurance Certificate Status" tableColumnId="27"/>
      <queryTableField id="28" name="Bank Invoice Status" tableColumnId="28"/>
      <queryTableField id="29" name="Bank Packing List Status" tableColumnId="29"/>
      <queryTableField id="30" name="Bank FI Status" tableColumnId="30"/>
      <queryTableField id="31" name="Bank GD Status" tableColumnId="31"/>
      <queryTableField id="32" name="Bank BL Status" tableColumnId="32"/>
      <queryTableField id="33" name="Bank Certificate of Origin Status" tableColumnId="33"/>
      <queryTableField id="34" name="DHL Documents Status" tableColumnId="34"/>
      <queryTableField id="35" name="Insurance Bill Status" tableColumnId="35"/>
      <queryTableField id="36" name="Handed Over To Mr.Umar" tableColumnId="36"/>
      <queryTableField id="37" name="Total Documents" tableColumnId="37"/>
      <queryTableField id="38" name="Completed Documents" tableColumnId="38"/>
      <queryTableField id="39" name="Pending Documents" tableColumnId="39"/>
      <queryTableField id="40" name="Documentation Completion %" tableColumnId="40"/>
      <queryTableField id="41" name="Customs Completion %" tableColumnId="41"/>
      <queryTableField id="42" name="Customer Completion %" tableColumnId="42"/>
      <queryTableField id="43" name="Bank Completion %" tableColumnId="43"/>
      <queryTableField id="44" name="Overall Documentation Status" tableColumnId="44"/>
      <queryTableField id="45" name="Shipment Documentation Stage" tableColumnId="45"/>
      <queryTableField id="46" name="Days Pending" tableColumnId="46"/>
      <queryTableField id="47" name="Delay Status" tableColumnId="47"/>
      <queryTableField id="48" name="Ready for Customs Clearance" tableColumnId="48"/>
      <queryTableField id="49" name="Ready for Customer Submission" tableColumnId="49"/>
      <queryTableField id="50" name="Ready for Bank Submission" tableColumnId="50"/>
      <queryTableField id="51" name="Missing Customs Documents" tableColumnId="51"/>
      <queryTableField id="52" name="Missing Customer Documents" tableColumnId="52"/>
      <queryTableField id="53" name="Missing Bank Documents" tableColumnId="5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FD6C727E-56A7-473A-B1F2-A2C6EAC4F5FD}" autoFormatId="16" applyNumberFormats="0" applyBorderFormats="0" applyFontFormats="0" applyPatternFormats="0" applyAlignmentFormats="0" applyWidthHeightFormats="0">
  <queryTableRefresh nextId="62">
    <queryTableFields count="61">
      <queryTableField id="1" name="Shipment Stage" tableColumnId="1"/>
      <queryTableField id="2" name="Shipment Status" tableColumnId="2"/>
      <queryTableField id="3" name="Delay Status" tableColumnId="3"/>
      <queryTableField id="4" name="Customer" tableColumnId="4"/>
      <queryTableField id="5" name="Country" tableColumnId="5"/>
      <queryTableField id="6" name="POD" tableColumnId="6"/>
      <queryTableField id="7" name="Shipment Terms" tableColumnId="7"/>
      <queryTableField id="8" name="EFS" tableColumnId="8"/>
      <queryTableField id="9" name="Exp #" tableColumnId="9"/>
      <queryTableField id="10" name="B. #" tableColumnId="10"/>
      <queryTableField id="61" dataBound="0" tableColumnId="61"/>
      <queryTableField id="11" name="Description" tableColumnId="11"/>
      <queryTableField id="12" name="Job #" tableColumnId="12"/>
      <queryTableField id="13" name="Color Code" tableColumnId="13"/>
      <queryTableField id="14" name="Pkgs." tableColumnId="14"/>
      <queryTableField id="15" name="N.W. - Kgs" tableColumnId="15"/>
      <queryTableField id="16" name="G.W. - Kgs" tableColumnId="16"/>
      <queryTableField id="17" name="S/Agent" tableColumnId="17"/>
      <queryTableField id="18" name="C/Agent" tableColumnId="18"/>
      <queryTableField id="19" name="S/Line" tableColumnId="19"/>
      <queryTableField id="20" name="CRO #" tableColumnId="20"/>
      <queryTableField id="21" name="Standard Containers 20'" tableColumnId="21"/>
      <queryTableField id="22" name="Open Top Containers 20'" tableColumnId="22"/>
      <queryTableField id="23" name="Flat Rack Containers 20'" tableColumnId="23"/>
      <queryTableField id="24" name="Out of Gauge Containers 20'" tableColumnId="24"/>
      <queryTableField id="25" name="Standard Containers 40'" tableColumnId="25"/>
      <queryTableField id="26" name="Open Top Containers 40'" tableColumnId="26"/>
      <queryTableField id="27" name="Flat Rack Containers 40'" tableColumnId="27"/>
      <queryTableField id="28" name="Out of Gauge Containers 40'" tableColumnId="28"/>
      <queryTableField id="29" name="LCL" tableColumnId="29"/>
      <queryTableField id="30" name="AIR" tableColumnId="30"/>
      <queryTableField id="31" name="QFL Arrival Dt." tableColumnId="31"/>
      <queryTableField id="32" name="Port-In Dt." tableColumnId="32"/>
      <queryTableField id="33" name="Cut Off Dt." tableColumnId="33"/>
      <queryTableField id="34" name="ETD Karachi" tableColumnId="34"/>
      <queryTableField id="35" name="CRO Arrival Dt." tableColumnId="35"/>
      <queryTableField id="36" name="Actual Arrival Dt." tableColumnId="36"/>
      <queryTableField id="37" name="Transit Time" tableColumnId="37"/>
      <queryTableField id="38" name="Days Delayed" tableColumnId="38"/>
      <queryTableField id="39" name="QFL Stayed Time" tableColumnId="39"/>
      <queryTableField id="40" name="Stuffing Location" tableColumnId="40"/>
      <queryTableField id="41" name="Pick-up T." tableColumnId="41"/>
      <queryTableField id="42" name="Loading T." tableColumnId="42"/>
      <queryTableField id="43" name="V. &amp; V. #" tableColumnId="43"/>
      <queryTableField id="44" name="Quoted S/freight" tableColumnId="44"/>
      <queryTableField id="45" name="Actual S/freight" tableColumnId="45"/>
      <queryTableField id="46" name="Packing Cost" tableColumnId="46"/>
      <queryTableField id="47" name="LHR ~ KHI" tableColumnId="47"/>
      <queryTableField id="48" name="Fumigation" tableColumnId="48"/>
      <queryTableField id="49" name="Lashing" tableColumnId="49"/>
      <queryTableField id="50" name="QFL Cost" tableColumnId="50"/>
      <queryTableField id="51" name="QFL ~ Port" tableColumnId="51"/>
      <queryTableField id="52" name="Clearance Cost" tableColumnId="52"/>
      <queryTableField id="53" name="DHL Charges" tableColumnId="53"/>
      <queryTableField id="54" name="Insurance" tableColumnId="54"/>
      <queryTableField id="55" name="Wharfage" tableColumnId="55"/>
      <queryTableField id="56" name="Sea Freight" tableColumnId="56"/>
      <queryTableField id="57" name="Total Shipping Cost" tableColumnId="57"/>
      <queryTableField id="58" name="Freight Variance" tableColumnId="58"/>
      <queryTableField id="59" name="Total Logistics Cost" tableColumnId="59"/>
      <queryTableField id="60" name="Cost Per KG" tableColumnId="6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5211404-4553-48C1-919B-52E09EA8B58B}" autoFormatId="16" applyNumberFormats="0" applyBorderFormats="0" applyFontFormats="0" applyPatternFormats="0" applyAlignmentFormats="0" applyWidthHeightFormats="0">
  <queryTableRefresh nextId="45">
    <queryTableFields count="44">
      <queryTableField id="1" name="Business Type" tableColumnId="1"/>
      <queryTableField id="2" name="Product Category" tableColumnId="2"/>
      <queryTableField id="3" name="Customer Type" tableColumnId="3"/>
      <queryTableField id="4" name="Customer" tableColumnId="4"/>
      <queryTableField id="5" name="Exp #" tableColumnId="5"/>
      <queryTableField id="6" name="Batch #" tableColumnId="6"/>
      <queryTableField id="44" dataBound="0" tableColumnId="44"/>
      <queryTableField id="7" name="Jobs #" tableColumnId="7"/>
      <queryTableField id="8" name="Description" tableColumnId="8"/>
      <queryTableField id="9" name="Works" tableColumnId="9"/>
      <queryTableField id="10" name="Color Code" tableColumnId="10"/>
      <queryTableField id="11" name="Qty." tableColumnId="11"/>
      <queryTableField id="12" name="Pkgs." tableColumnId="12"/>
      <queryTableField id="13" name="Net Weight (Kgs)" tableColumnId="13"/>
      <queryTableField id="14" name="Gross Weight (Kgs)" tableColumnId="14"/>
      <queryTableField id="15" name="Quoted Packing Cost" tableColumnId="15"/>
      <queryTableField id="16" name="Actual Packing Cost" tableColumnId="16"/>
      <queryTableField id="17" name="Packing Cost Budgeted" tableColumnId="17"/>
      <queryTableField id="18" name="Packing Cost Actual" tableColumnId="18"/>
      <queryTableField id="19" name="Cost Variance" tableColumnId="19"/>
      <queryTableField id="20" name="Cost Variance %" tableColumnId="20"/>
      <queryTableField id="21" name="Target RFD" tableColumnId="21"/>
      <queryTableField id="22" name="RFD Date" tableColumnId="22"/>
      <queryTableField id="23" name="Actual RFD Date" tableColumnId="23"/>
      <queryTableField id="24" name="RFD Delay" tableColumnId="24"/>
      <queryTableField id="25" name="Marketing RFD Delay" tableColumnId="25"/>
      <queryTableField id="26" name="Target Packing Material Mfg Date" tableColumnId="26"/>
      <queryTableField id="27" name="Actual Packing Material Mfg Date" tableColumnId="27"/>
      <queryTableField id="28" name="Packing Material Mfg Delay" tableColumnId="28"/>
      <queryTableField id="29" name="Target Packing Date" tableColumnId="29"/>
      <queryTableField id="30" name="Actual Packing Date" tableColumnId="30"/>
      <queryTableField id="31" name="Packing Date" tableColumnId="31"/>
      <queryTableField id="32" name="Packing Delay" tableColumnId="32"/>
      <queryTableField id="33" name="Packing Execution Time" tableColumnId="33"/>
      <queryTableField id="34" name="Packing Status" tableColumnId="34"/>
      <queryTableField id="35" name="Gate Out Date" tableColumnId="35"/>
      <queryTableField id="36" name="Gate-out Status" tableColumnId="36"/>
      <queryTableField id="37" name="Shipment Status" tableColumnId="37"/>
      <queryTableField id="38" name="Shipment Delay" tableColumnId="38"/>
      <queryTableField id="39" name="Packing Cost Variance" tableColumnId="39"/>
      <queryTableField id="40" name="On-Time Packing" tableColumnId="40"/>
      <queryTableField id="41" name="Packing Efficiency %" tableColumnId="41"/>
      <queryTableField id="42" name="Days Pending Packing" tableColumnId="42"/>
      <queryTableField id="43" name="Overall Status" tableColumnId="4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B7ADAEC-FE37-4582-AFC8-CFE6FFEA5771}" autoFormatId="16" applyNumberFormats="0" applyBorderFormats="0" applyFontFormats="0" applyPatternFormats="0" applyAlignmentFormats="0" applyWidthHeightFormats="0">
  <queryTableRefresh nextId="47">
    <queryTableFields count="46">
      <queryTableField id="1" name="Movement Type" tableColumnId="1"/>
      <queryTableField id="2" name="Execution Date" tableColumnId="2"/>
      <queryTableField id="3" name="Shipment Ref. / IDM #" tableColumnId="3"/>
      <queryTableField id="4" name="Requester" tableColumnId="4"/>
      <queryTableField id="5" name="Sender" tableColumnId="5"/>
      <queryTableField id="6" name="Receiver / Customer" tableColumnId="6"/>
      <queryTableField id="7" name="Batch #" tableColumnId="7"/>
      <queryTableField id="45" dataBound="0" tableColumnId="45"/>
      <queryTableField id="46" dataBound="0" tableColumnId="46"/>
      <queryTableField id="8" name="Item Name" tableColumnId="8"/>
      <queryTableField id="9" name="Qty. / No. of Packages" tableColumnId="9"/>
      <queryTableField id="10" name="Pickup Point" tableColumnId="10"/>
      <queryTableField id="11" name="Destination" tableColumnId="11"/>
      <queryTableField id="12" name="Province" tableColumnId="12"/>
      <queryTableField id="13" name="Transporter" tableColumnId="13"/>
      <queryTableField id="14" name="Driver #" tableColumnId="14"/>
      <queryTableField id="15" name="Vehicle Number" tableColumnId="15"/>
      <queryTableField id="16" name="Vehicle Type" tableColumnId="16"/>
      <queryTableField id="17" name="No. of Vehicles" tableColumnId="17"/>
      <queryTableField id="18" name="Container Number" tableColumnId="18"/>
      <queryTableField id="19" name="20 FT Containers" tableColumnId="19"/>
      <queryTableField id="20" name="40 FT Containers" tableColumnId="20"/>
      <queryTableField id="21" name="Gross Weight (Kgs)" tableColumnId="21"/>
      <queryTableField id="22" name="Total Gross Weight (Kgs)" tableColumnId="22"/>
      <queryTableField id="23" name="ETA Works / ETA Destination" tableColumnId="23"/>
      <queryTableField id="24" name="Dispatch Note Date" tableColumnId="24"/>
      <queryTableField id="25" name="Cut Off Date" tableColumnId="25"/>
      <queryTableField id="26" name="Transit Days" tableColumnId="26"/>
      <queryTableField id="27" name="Actual Freight (Rs.)" tableColumnId="27"/>
      <queryTableField id="28" name="Quoted Freight (Rs.)" tableColumnId="28"/>
      <queryTableField id="29" name="Savings (Rs.)" tableColumnId="29"/>
      <queryTableField id="30" name="Detention Amount" tableColumnId="30"/>
      <queryTableField id="31" name="Rate Per Kg" tableColumnId="31"/>
      <queryTableField id="32" name="Rate Per Km" tableColumnId="32"/>
      <queryTableField id="33" name="Payment Terms" tableColumnId="33"/>
      <queryTableField id="34" name="Tracking Status" tableColumnId="34"/>
      <queryTableField id="35" name="Bill/Builty Status" tableColumnId="35"/>
      <queryTableField id="36" name="Ledger Entry Status" tableColumnId="36"/>
      <queryTableField id="37" name="Bill Clearance Status" tableColumnId="37"/>
      <queryTableField id="38" name="Remarks" tableColumnId="38"/>
      <queryTableField id="39" name="Freight Variance" tableColumnId="39"/>
      <queryTableField id="40" name="Savings %" tableColumnId="40"/>
      <queryTableField id="41" name="Cost Per KG" tableColumnId="41"/>
      <queryTableField id="42" name="Shipment Status" tableColumnId="42"/>
      <queryTableField id="43" name="Delay Days" tableColumnId="43"/>
      <queryTableField id="44" name="Operational Status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28397A-39E4-4FF9-9978-C3157409CF3F}" name="Export_Documentation_Database" displayName="Export_Documentation_Database" ref="A1:BB164" tableType="queryTable" totalsRowShown="0">
  <autoFilter ref="A1:BB164" xr:uid="{8A28397A-39E4-4FF9-9978-C3157409CF3F}"/>
  <tableColumns count="54">
    <tableColumn id="1" xr3:uid="{F4DDE654-C60E-4405-8337-217DFA96B41F}" uniqueName="1" name="Exp. #" queryTableFieldId="1" dataDxfId="140"/>
    <tableColumn id="2" xr3:uid="{12EAC3E4-2A64-4B89-A2ED-6E3207C0F85A}" uniqueName="2" name="Batch #" queryTableFieldId="2" dataDxfId="139"/>
    <tableColumn id="54" xr3:uid="{C6BBF30B-E68D-4A28-83F3-06B04919281F}" uniqueName="54" name="Primary Key" queryTableFieldId="54" dataDxfId="138">
      <calculatedColumnFormula>CONCATENATE(Export_Documentation_Database[[#This Row],[Exp. '#]],"-",Export_Documentation_Database[[#This Row],[Batch '#]])</calculatedColumnFormula>
    </tableColumn>
    <tableColumn id="3" xr3:uid="{E93A4182-EB38-43D0-BB4B-CC029CCE5A31}" uniqueName="3" name="Customer" queryTableFieldId="3" dataDxfId="137"/>
    <tableColumn id="4" xr3:uid="{D216743B-6FA1-4BC1-A4C7-EF728784E4CA}" uniqueName="4" name="Shipping Term" queryTableFieldId="4" dataDxfId="136"/>
    <tableColumn id="5" xr3:uid="{4A6E05CC-4854-4285-8E0A-AE6A97FE488F}" uniqueName="5" name="Shipping Agent" queryTableFieldId="5" dataDxfId="135"/>
    <tableColumn id="6" xr3:uid="{13834E96-B799-40B0-8B10-9E07ACDBD248}" uniqueName="6" name="Container Type" queryTableFieldId="6" dataDxfId="134"/>
    <tableColumn id="7" xr3:uid="{3DAC0DC9-B216-472D-8076-2669509E3AAE}" uniqueName="7" name="Container Quantity" queryTableFieldId="7"/>
    <tableColumn id="8" xr3:uid="{E6D82CEB-6C5E-4B1F-B0BA-9C22F5D711CF}" uniqueName="8" name="Gate-Out Date" queryTableFieldId="8" dataDxfId="0"/>
    <tableColumn id="9" xr3:uid="{C36E3DBD-4EDA-4B26-B4D0-C4072D527E98}" uniqueName="9" name="Cut Off Date" queryTableFieldId="9" dataDxfId="2"/>
    <tableColumn id="10" xr3:uid="{5788FC81-C76F-4CAD-A3C6-D650120BF5C6}" uniqueName="10" name="Sailing Date" queryTableFieldId="10" dataDxfId="1"/>
    <tableColumn id="11" xr3:uid="{A52164BA-E8B6-47BE-8A2E-209046E73DE8}" uniqueName="11" name="Month" queryTableFieldId="11" dataDxfId="133"/>
    <tableColumn id="12" xr3:uid="{C9E252AB-9CE7-47F2-B31B-30B0A2F53EE1}" uniqueName="12" name="Bank Name" queryTableFieldId="12" dataDxfId="132"/>
    <tableColumn id="13" xr3:uid="{4EBF1B82-A4BB-44FE-B1E1-45533D162100}" uniqueName="13" name="Payment Term" queryTableFieldId="13" dataDxfId="131"/>
    <tableColumn id="14" xr3:uid="{0B4364E0-EF08-47E0-97FD-37C2AD628A6C}" uniqueName="14" name="Customs Invoice Status" queryTableFieldId="14" dataDxfId="130"/>
    <tableColumn id="15" xr3:uid="{1187A5C1-065A-430D-8954-9E2136CCE714}" uniqueName="15" name="Customs Packing List Status" queryTableFieldId="15" dataDxfId="129"/>
    <tableColumn id="16" xr3:uid="{1EFB2F6B-AB97-4294-979F-C5A005701408}" uniqueName="16" name="Customs FI Status" queryTableFieldId="16" dataDxfId="128"/>
    <tableColumn id="17" xr3:uid="{F0B26347-2990-4622-99F4-40344969F33D}" uniqueName="17" name="Customs Bank Documents Status" queryTableFieldId="17" dataDxfId="127"/>
    <tableColumn id="18" xr3:uid="{B03F659A-97FD-4CCF-9266-ABF80063C86F}" uniqueName="18" name="GD Status" queryTableFieldId="18" dataDxfId="126"/>
    <tableColumn id="19" xr3:uid="{CCCDB0DF-ADB1-4BDD-86BF-19A7A0029B6E}" uniqueName="19" name="Undertaking Status" queryTableFieldId="19" dataDxfId="125"/>
    <tableColumn id="20" xr3:uid="{66C205AE-7778-4C1C-98E1-5A54818CAD98}" uniqueName="20" name="EFS Status" queryTableFieldId="20" dataDxfId="124"/>
    <tableColumn id="21" xr3:uid="{FBFEBFC2-0E95-4D70-9D03-D993C530A006}" uniqueName="21" name="Customer Invoice Status" queryTableFieldId="21" dataDxfId="123"/>
    <tableColumn id="22" xr3:uid="{7A4B8E18-FD63-4530-A737-5E920B13E5E2}" uniqueName="22" name="Customer Packing List Status" queryTableFieldId="22" dataDxfId="122"/>
    <tableColumn id="23" xr3:uid="{90E9048A-4E1A-4F84-8D4E-F2F75D718F6F}" uniqueName="23" name="BL Type" queryTableFieldId="23" dataDxfId="121"/>
    <tableColumn id="24" xr3:uid="{DF40C856-DE71-4354-95A2-E1CE3FA439BE}" uniqueName="24" name="BL Status" queryTableFieldId="24" dataDxfId="120"/>
    <tableColumn id="25" xr3:uid="{E226701D-AB29-4D77-9FAB-0DCB763E9B02}" uniqueName="25" name="Certificate of Origin Status" queryTableFieldId="25" dataDxfId="119"/>
    <tableColumn id="26" xr3:uid="{39F120EF-DDFC-4157-A726-3BAA2BCA2396}" uniqueName="26" name="Fumigation Certificate Status" queryTableFieldId="26" dataDxfId="118"/>
    <tableColumn id="27" xr3:uid="{7E39EDC4-C179-4FDA-A794-F27583DC70D1}" uniqueName="27" name="Insurance Certificate Status" queryTableFieldId="27" dataDxfId="117"/>
    <tableColumn id="28" xr3:uid="{AF1B20FF-30ED-4D29-A24B-DED3FAEE1843}" uniqueName="28" name="Bank Invoice Status" queryTableFieldId="28" dataDxfId="116"/>
    <tableColumn id="29" xr3:uid="{9E5D63B4-5B37-452D-A944-D8FB49A344EE}" uniqueName="29" name="Bank Packing List Status" queryTableFieldId="29" dataDxfId="115"/>
    <tableColumn id="30" xr3:uid="{ACCED183-1AE9-44AE-BC4D-47298B1C3BD6}" uniqueName="30" name="Bank FI Status" queryTableFieldId="30" dataDxfId="114"/>
    <tableColumn id="31" xr3:uid="{917646C1-3869-4C04-9B23-9696F6B1A994}" uniqueName="31" name="Bank GD Status" queryTableFieldId="31" dataDxfId="113"/>
    <tableColumn id="32" xr3:uid="{43FDAE33-9883-4C6F-9CD9-BE7896ABFE02}" uniqueName="32" name="Bank BL Status" queryTableFieldId="32" dataDxfId="112"/>
    <tableColumn id="33" xr3:uid="{8D387C1A-7798-4F69-A713-AD0EFB0EEBAC}" uniqueName="33" name="Bank Certificate of Origin Status" queryTableFieldId="33" dataDxfId="111"/>
    <tableColumn id="34" xr3:uid="{F945D3B4-46F4-4C4A-9DDE-8322AFA5782B}" uniqueName="34" name="DHL Documents Status" queryTableFieldId="34" dataDxfId="110"/>
    <tableColumn id="35" xr3:uid="{A4983E75-15F3-4176-81A6-5789F4173338}" uniqueName="35" name="Insurance Bill Status" queryTableFieldId="35" dataDxfId="109"/>
    <tableColumn id="36" xr3:uid="{2ED97C40-CC81-435B-A160-2DA81D1A5C0F}" uniqueName="36" name="Handed Over To Mr.Umar" queryTableFieldId="36" dataDxfId="108"/>
    <tableColumn id="37" xr3:uid="{5CC16901-DC78-4B8A-B627-D80A6F148834}" uniqueName="37" name="Total Documents" queryTableFieldId="37"/>
    <tableColumn id="38" xr3:uid="{99211D27-4F18-461B-A7BF-0FB260186F5D}" uniqueName="38" name="Completed Documents" queryTableFieldId="38"/>
    <tableColumn id="39" xr3:uid="{08EE5FA7-1DA6-449B-8C27-F0A238AA6532}" uniqueName="39" name="Pending Documents" queryTableFieldId="39"/>
    <tableColumn id="40" xr3:uid="{26771726-B28C-4BC8-91FD-C62C7F84A982}" uniqueName="40" name="Documentation Completion %" queryTableFieldId="40"/>
    <tableColumn id="41" xr3:uid="{16147E39-8A47-48C7-867A-F8D6B960DA30}" uniqueName="41" name="Customs Completion %" queryTableFieldId="41"/>
    <tableColumn id="42" xr3:uid="{310BC534-1041-42F6-A3A1-1AD314D9C32D}" uniqueName="42" name="Customer Completion %" queryTableFieldId="42"/>
    <tableColumn id="43" xr3:uid="{F8D73664-2883-4CEF-9B82-3F769939EBF8}" uniqueName="43" name="Bank Completion %" queryTableFieldId="43"/>
    <tableColumn id="44" xr3:uid="{02E7E19D-94E1-4C4E-9AD3-E1A12B83DD90}" uniqueName="44" name="Overall Documentation Status" queryTableFieldId="44" dataDxfId="107"/>
    <tableColumn id="45" xr3:uid="{328F7DC0-1E10-4A7C-98D3-EBE5B3918CB0}" uniqueName="45" name="Shipment Documentation Stage" queryTableFieldId="45" dataDxfId="106"/>
    <tableColumn id="46" xr3:uid="{6B033035-B7B9-411D-8620-0DC225174EE6}" uniqueName="46" name="Days Pending" queryTableFieldId="46"/>
    <tableColumn id="47" xr3:uid="{66A9315D-C294-4BB9-A0A2-DD5D724232D7}" uniqueName="47" name="Delay Status" queryTableFieldId="47" dataDxfId="105"/>
    <tableColumn id="48" xr3:uid="{FD139B76-86E3-4C84-8AF5-D4D2681EAE56}" uniqueName="48" name="Ready for Customs Clearance" queryTableFieldId="48" dataDxfId="104"/>
    <tableColumn id="49" xr3:uid="{363B0533-172A-4B5B-B3F6-85B62F27EC5A}" uniqueName="49" name="Ready for Customer Submission" queryTableFieldId="49" dataDxfId="103"/>
    <tableColumn id="50" xr3:uid="{C6BDEBBE-C01A-420E-B2BD-82A99D1ABBD1}" uniqueName="50" name="Ready for Bank Submission" queryTableFieldId="50" dataDxfId="102"/>
    <tableColumn id="51" xr3:uid="{0347D50E-8D8D-485B-8660-5564E1F75890}" uniqueName="51" name="Missing Customs Documents" queryTableFieldId="51" dataDxfId="101"/>
    <tableColumn id="52" xr3:uid="{FC6C30B1-3A64-4F9E-AB2F-58A8A3DC3E36}" uniqueName="52" name="Missing Customer Documents" queryTableFieldId="52" dataDxfId="100"/>
    <tableColumn id="53" xr3:uid="{C522AA5F-C5A4-4EB8-A928-8CECC1AD4D00}" uniqueName="53" name="Missing Bank Documents" queryTableFieldId="53" dataDxfId="9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650F27-F272-47CA-9121-3DE0B005A1F6}" name="Shipment_Master_Database" displayName="Shipment_Master_Database" ref="A1:BI166" tableType="queryTable" totalsRowShown="0">
  <autoFilter ref="A1:BI166" xr:uid="{4E650F27-F272-47CA-9121-3DE0B005A1F6}"/>
  <tableColumns count="61">
    <tableColumn id="1" xr3:uid="{43E54FDE-D7D7-48D1-A709-F4EA98517FA3}" uniqueName="1" name="Shipment Stage" queryTableFieldId="1" dataDxfId="98"/>
    <tableColumn id="2" xr3:uid="{87D94C6A-5316-474B-A2C2-92342E2FA837}" uniqueName="2" name="Shipment Status" queryTableFieldId="2" dataDxfId="97"/>
    <tableColumn id="3" xr3:uid="{67B57DBF-AB63-474F-BD2A-904AFA34394C}" uniqueName="3" name="Delay Status" queryTableFieldId="3" dataDxfId="96"/>
    <tableColumn id="4" xr3:uid="{C6310660-1AE4-4243-B3BB-6D1067FF02A4}" uniqueName="4" name="Customer" queryTableFieldId="4" dataDxfId="95"/>
    <tableColumn id="5" xr3:uid="{F0D500F1-B2DA-4171-A60E-97E981CA2CCE}" uniqueName="5" name="Country" queryTableFieldId="5" dataDxfId="94"/>
    <tableColumn id="6" xr3:uid="{C4B5834E-B421-4F2F-BB47-8F51967D4E5E}" uniqueName="6" name="POD" queryTableFieldId="6" dataDxfId="93"/>
    <tableColumn id="7" xr3:uid="{FBF9EB85-D133-4B72-B50F-1FF61E12A731}" uniqueName="7" name="Shipment Terms" queryTableFieldId="7" dataDxfId="92"/>
    <tableColumn id="8" xr3:uid="{DE79A587-0D21-45E1-A2F0-7BAB802CF5A5}" uniqueName="8" name="EFS" queryTableFieldId="8" dataDxfId="91"/>
    <tableColumn id="9" xr3:uid="{BA9D192C-0E1C-4508-92FC-DB256E1E4E26}" uniqueName="9" name="Exp #" queryTableFieldId="9" dataDxfId="90"/>
    <tableColumn id="10" xr3:uid="{F3EBC622-9161-48A4-8B58-865F76DFA4B9}" uniqueName="10" name="B. #" queryTableFieldId="10" dataDxfId="89"/>
    <tableColumn id="61" xr3:uid="{06EF9448-7107-445A-BF47-23047E1115DE}" uniqueName="61" name="Primary Key" queryTableFieldId="61" dataDxfId="88">
      <calculatedColumnFormula>CONCATENATE(Shipment_Master_Database[[#This Row],[Exp '#]],"-",Shipment_Master_Database[[#This Row],[B. '#]])</calculatedColumnFormula>
    </tableColumn>
    <tableColumn id="11" xr3:uid="{96F4E095-AEF9-4AC0-BC13-4D936069B785}" uniqueName="11" name="Description" queryTableFieldId="11" dataDxfId="87"/>
    <tableColumn id="12" xr3:uid="{57DB3C02-4D22-4C26-8387-8BB0EDF329AD}" uniqueName="12" name="Job #" queryTableFieldId="12" dataDxfId="86"/>
    <tableColumn id="13" xr3:uid="{043C09E2-311A-4A68-932F-8A52A21D48E7}" uniqueName="13" name="Color Code" queryTableFieldId="13" dataDxfId="85"/>
    <tableColumn id="14" xr3:uid="{1557839F-826D-4858-8736-1361592A75B5}" uniqueName="14" name="Pkgs." queryTableFieldId="14"/>
    <tableColumn id="15" xr3:uid="{6858CDF0-C8DE-46CD-B092-3D311FEF7AE1}" uniqueName="15" name="N.W. - Kgs" queryTableFieldId="15"/>
    <tableColumn id="16" xr3:uid="{5942C672-075C-4655-BBB4-08E21620813A}" uniqueName="16" name="G.W. - Kgs" queryTableFieldId="16"/>
    <tableColumn id="17" xr3:uid="{774AF280-2B18-450C-A66B-956F4AF69FD9}" uniqueName="17" name="S/Agent" queryTableFieldId="17" dataDxfId="84"/>
    <tableColumn id="18" xr3:uid="{BB26E634-1AF8-4CB6-AABE-0411DE7A170A}" uniqueName="18" name="C/Agent" queryTableFieldId="18" dataDxfId="83"/>
    <tableColumn id="19" xr3:uid="{8B465F49-4923-4A1D-B6C7-1FC7724EFD69}" uniqueName="19" name="S/Line" queryTableFieldId="19" dataDxfId="82"/>
    <tableColumn id="20" xr3:uid="{31530A85-A1EF-4E11-A4E3-9C36C06DD86A}" uniqueName="20" name="CRO #" queryTableFieldId="20"/>
    <tableColumn id="21" xr3:uid="{78B97746-FF3A-4A00-B1CC-47BDD3E60A0F}" uniqueName="21" name="Standard Containers 20'" queryTableFieldId="21"/>
    <tableColumn id="22" xr3:uid="{89D99A70-9D65-42B8-B50C-7720E71668C0}" uniqueName="22" name="Open Top Containers 20'" queryTableFieldId="22"/>
    <tableColumn id="23" xr3:uid="{DE410219-43D2-46CC-8A97-4D2C3D85769E}" uniqueName="23" name="Flat Rack Containers 20'" queryTableFieldId="23"/>
    <tableColumn id="24" xr3:uid="{FAA5D0BA-FFD8-4E65-810B-64FCE0DD8CF8}" uniqueName="24" name="Out of Gauge Containers 20'" queryTableFieldId="24" dataDxfId="81"/>
    <tableColumn id="25" xr3:uid="{0941CDA7-303F-4206-BE2D-C148823DFCA4}" uniqueName="25" name="Standard Containers 40'" queryTableFieldId="25"/>
    <tableColumn id="26" xr3:uid="{88E2A8FC-5326-47D1-823E-A833709BB8A1}" uniqueName="26" name="Open Top Containers 40'" queryTableFieldId="26"/>
    <tableColumn id="27" xr3:uid="{70C7C4C1-693F-43DD-BE8A-A2C63620771B}" uniqueName="27" name="Flat Rack Containers 40'" queryTableFieldId="27"/>
    <tableColumn id="28" xr3:uid="{3D45B162-D2D0-4CFA-9C88-A69A44DE6513}" uniqueName="28" name="Out of Gauge Containers 40'" queryTableFieldId="28"/>
    <tableColumn id="29" xr3:uid="{A186EFEF-12B7-4277-BC51-468E896C2364}" uniqueName="29" name="LCL" queryTableFieldId="29"/>
    <tableColumn id="30" xr3:uid="{41548F43-28C1-4B92-ADEF-7EDA7E1D08B0}" uniqueName="30" name="AIR" queryTableFieldId="30"/>
    <tableColumn id="31" xr3:uid="{22DBAD9C-24CD-4670-BE67-5E26BB984491}" uniqueName="31" name="QFL Arrival Dt." queryTableFieldId="31" dataDxfId="80"/>
    <tableColumn id="32" xr3:uid="{8C7FD6BD-85A1-4E6F-A8C9-B94B59F781E9}" uniqueName="32" name="Port-In Dt." queryTableFieldId="32"/>
    <tableColumn id="33" xr3:uid="{107D99B3-379B-4A6A-8501-FDDD38A1DF9A}" uniqueName="33" name="Cut Off Dt." queryTableFieldId="33"/>
    <tableColumn id="34" xr3:uid="{440C39C1-217A-423A-B22A-97E3C0ED8B1E}" uniqueName="34" name="ETD Karachi" queryTableFieldId="34"/>
    <tableColumn id="35" xr3:uid="{721C59AC-E363-48A0-93F7-D653BBFE2F14}" uniqueName="35" name="CRO Arrival Dt." queryTableFieldId="35"/>
    <tableColumn id="36" xr3:uid="{42550B40-D213-4AED-B454-F5D04A51A1A5}" uniqueName="36" name="Actual Arrival Dt." queryTableFieldId="36"/>
    <tableColumn id="37" xr3:uid="{8ED1107E-C3DE-48AE-9872-E69976E54F1F}" uniqueName="37" name="Transit Time" queryTableFieldId="37"/>
    <tableColumn id="38" xr3:uid="{A267B788-E907-4FE9-92B4-5D887BB4A3AF}" uniqueName="38" name="Days Delayed" queryTableFieldId="38"/>
    <tableColumn id="39" xr3:uid="{A25D2B15-D023-4AA5-806E-69F7D654E7F3}" uniqueName="39" name="QFL Stayed Time" queryTableFieldId="39"/>
    <tableColumn id="40" xr3:uid="{E170FABB-9845-4D3F-BBC6-A50ADD940A67}" uniqueName="40" name="Stuffing Location" queryTableFieldId="40" dataDxfId="79"/>
    <tableColumn id="41" xr3:uid="{81A3A8E7-9BE2-4086-B460-3D6D875CF3B3}" uniqueName="41" name="Pick-up T." queryTableFieldId="41" dataDxfId="78"/>
    <tableColumn id="42" xr3:uid="{7425F8D2-E22B-4706-B166-C5F033BC4B2F}" uniqueName="42" name="Loading T." queryTableFieldId="42" dataDxfId="77"/>
    <tableColumn id="43" xr3:uid="{85D36301-52A2-4826-87BA-04EA8BAB97E5}" uniqueName="43" name="V. &amp; V. #" queryTableFieldId="43" dataDxfId="76"/>
    <tableColumn id="44" xr3:uid="{28A3E207-9023-4795-8F7E-994249598835}" uniqueName="44" name="Quoted S/freight" queryTableFieldId="44" dataDxfId="75"/>
    <tableColumn id="45" xr3:uid="{F113DD74-6373-4FCC-B048-49ED7FD558A2}" uniqueName="45" name="Actual S/freight" queryTableFieldId="45"/>
    <tableColumn id="46" xr3:uid="{89CBD6AC-E15A-4F29-8417-7B46DC2D9F76}" uniqueName="46" name="Packing Cost" queryTableFieldId="46"/>
    <tableColumn id="47" xr3:uid="{21366956-03C0-45B1-A756-54E0DE7745D9}" uniqueName="47" name="LHR ~ KHI" queryTableFieldId="47"/>
    <tableColumn id="48" xr3:uid="{D17E0A26-A723-4827-83E6-E6E57E6628BD}" uniqueName="48" name="Fumigation" queryTableFieldId="48"/>
    <tableColumn id="49" xr3:uid="{89CEFEB4-EB0B-4C48-961D-1CD364A89F93}" uniqueName="49" name="Lashing" queryTableFieldId="49"/>
    <tableColumn id="50" xr3:uid="{07C7E1A7-8243-4205-945A-4C1DC49A8DF8}" uniqueName="50" name="QFL Cost" queryTableFieldId="50"/>
    <tableColumn id="51" xr3:uid="{6B2F8AF5-51B1-4E20-84C3-1A85AF905029}" uniqueName="51" name="QFL ~ Port" queryTableFieldId="51"/>
    <tableColumn id="52" xr3:uid="{5C40D356-7654-4AC1-9973-1B4B33194154}" uniqueName="52" name="Clearance Cost" queryTableFieldId="52"/>
    <tableColumn id="53" xr3:uid="{D9B46CDD-62D3-4358-A440-35F5CE74A33E}" uniqueName="53" name="DHL Charges" queryTableFieldId="53"/>
    <tableColumn id="54" xr3:uid="{65DFE7B7-6533-4933-9AE2-4876E71CDE06}" uniqueName="54" name="Insurance" queryTableFieldId="54"/>
    <tableColumn id="55" xr3:uid="{7D4376D4-C298-47AA-87F1-D0575B59D942}" uniqueName="55" name="Wharfage" queryTableFieldId="55"/>
    <tableColumn id="56" xr3:uid="{934BCA98-A4F3-48A8-8A61-CE9ED9520AA7}" uniqueName="56" name="Sea Freight" queryTableFieldId="56"/>
    <tableColumn id="57" xr3:uid="{D1889FF0-7CD4-4329-83F8-4F60B5E2A400}" uniqueName="57" name="Total Shipping Cost" queryTableFieldId="57"/>
    <tableColumn id="58" xr3:uid="{4F5887C4-BEA3-4602-9FFE-D619E19B7EF9}" uniqueName="58" name="Freight Variance" queryTableFieldId="58"/>
    <tableColumn id="59" xr3:uid="{C455701F-ABD4-4F77-B17B-53A871DF121F}" uniqueName="59" name="Total Logistics Cost" queryTableFieldId="59"/>
    <tableColumn id="60" xr3:uid="{01A4D733-2587-41EE-A42E-EA513C19DDF5}" uniqueName="60" name="Cost Per KG" queryTableFieldId="6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40EF74-FA9C-49DA-A31F-230A91DBEDE5}" name="Master_Packing_Database" displayName="Master_Packing_Database" ref="A1:AR1376" tableType="queryTable" totalsRowShown="0" headerRowDxfId="74" headerRowBorderDxfId="73">
  <autoFilter ref="A1:AR1376" xr:uid="{0D40EF74-FA9C-49DA-A31F-230A91DBEDE5}"/>
  <tableColumns count="44">
    <tableColumn id="1" xr3:uid="{209E63AB-B3D0-4D4E-BD2F-D38D13C12C5E}" uniqueName="1" name="Business Type" queryTableFieldId="1" dataDxfId="72"/>
    <tableColumn id="2" xr3:uid="{3761400D-B7DB-46C9-A638-9A166F3C08C9}" uniqueName="2" name="Product Category" queryTableFieldId="2" dataDxfId="71"/>
    <tableColumn id="3" xr3:uid="{580E10D5-883C-4157-9BBE-0124382A064C}" uniqueName="3" name="Customer Type" queryTableFieldId="3" dataDxfId="70"/>
    <tableColumn id="4" xr3:uid="{B8A28FAF-FF23-4C79-B817-7BCDD7F7CA17}" uniqueName="4" name="Customer" queryTableFieldId="4" dataDxfId="69"/>
    <tableColumn id="5" xr3:uid="{6BB4A17D-A039-49F2-BA72-8ED1AB5CB90A}" uniqueName="5" name="Exp #" queryTableFieldId="5" dataDxfId="68"/>
    <tableColumn id="6" xr3:uid="{BC7A5296-B7AA-4B69-BD94-522B2E844D25}" uniqueName="6" name="Batch #" queryTableFieldId="6" dataDxfId="67"/>
    <tableColumn id="44" xr3:uid="{1E837DD3-F2DD-448E-A9E3-DBAB339E421E}" uniqueName="44" name="Primary Key" queryTableFieldId="44" dataDxfId="66">
      <calculatedColumnFormula>CONCATENATE(Master_Packing_Database[[#This Row],[Exp '#]],Master_Packing_Database[[#This Row],[Batch '#]])</calculatedColumnFormula>
    </tableColumn>
    <tableColumn id="7" xr3:uid="{921B0760-83DF-43C1-A4D5-E7EE2290EF0B}" uniqueName="7" name="Jobs #" queryTableFieldId="7" dataDxfId="65"/>
    <tableColumn id="8" xr3:uid="{EE24B6F4-5F64-4296-9E63-0D1E395216A4}" uniqueName="8" name="Description" queryTableFieldId="8" dataDxfId="64"/>
    <tableColumn id="9" xr3:uid="{32BDA88A-531B-4937-A53A-760E8B9D30B9}" uniqueName="9" name="Works" queryTableFieldId="9" dataDxfId="63"/>
    <tableColumn id="10" xr3:uid="{E2E62455-5A50-4B7E-A8EE-D2F9D9276A89}" uniqueName="10" name="Color Code" queryTableFieldId="10" dataDxfId="62"/>
    <tableColumn id="11" xr3:uid="{BF4936C1-66D4-4312-99DA-39F5D0ED1844}" uniqueName="11" name="Qty." queryTableFieldId="11" dataDxfId="61"/>
    <tableColumn id="12" xr3:uid="{51166F22-DF4F-4E11-9D68-3545173E6B7A}" uniqueName="12" name="Pkgs." queryTableFieldId="12" dataDxfId="60"/>
    <tableColumn id="13" xr3:uid="{3C677B7C-3493-482A-ABEB-75607D534B60}" uniqueName="13" name="Net Weight (Kgs)" queryTableFieldId="13" dataDxfId="59"/>
    <tableColumn id="14" xr3:uid="{DA463DFB-BEE8-422C-A8A3-41F63551B75A}" uniqueName="14" name="Gross Weight (Kgs)" queryTableFieldId="14" dataDxfId="58"/>
    <tableColumn id="15" xr3:uid="{F0010AD6-A0F7-45F5-BA53-0801B31B079A}" uniqueName="15" name="Quoted Packing Cost" queryTableFieldId="15" dataDxfId="57"/>
    <tableColumn id="16" xr3:uid="{21D33DFF-02C5-4481-8353-E36FBBA14F35}" uniqueName="16" name="Actual Packing Cost" queryTableFieldId="16" dataDxfId="56"/>
    <tableColumn id="17" xr3:uid="{391BFE35-7A37-4FDB-90D5-D0FC561AFADB}" uniqueName="17" name="Packing Cost Budgeted" queryTableFieldId="17" dataDxfId="55"/>
    <tableColumn id="18" xr3:uid="{1558C68D-E893-43AE-93C7-6D72647C91B1}" uniqueName="18" name="Packing Cost Actual" queryTableFieldId="18" dataDxfId="54"/>
    <tableColumn id="19" xr3:uid="{1201A888-2C29-4F95-9138-B3430F5D5C0F}" uniqueName="19" name="Cost Variance" queryTableFieldId="19" dataDxfId="53"/>
    <tableColumn id="20" xr3:uid="{459AA55A-E948-4D37-8063-8A17A0C34115}" uniqueName="20" name="Cost Variance %" queryTableFieldId="20" dataDxfId="52"/>
    <tableColumn id="21" xr3:uid="{389AFDEE-C41B-4B20-8187-186ED8541519}" uniqueName="21" name="Target RFD" queryTableFieldId="21" dataDxfId="51"/>
    <tableColumn id="22" xr3:uid="{697038F1-61C1-4D82-85E6-86E18DACE7F5}" uniqueName="22" name="RFD Date" queryTableFieldId="22" dataDxfId="50"/>
    <tableColumn id="23" xr3:uid="{CBF56503-914E-444F-802A-CB587310CBCD}" uniqueName="23" name="Actual RFD Date" queryTableFieldId="23" dataDxfId="49"/>
    <tableColumn id="24" xr3:uid="{36534B89-A986-4FFE-9E05-F91D12A2A4DB}" uniqueName="24" name="RFD Delay" queryTableFieldId="24" dataDxfId="48"/>
    <tableColumn id="25" xr3:uid="{778AA31D-5A16-495D-B834-F4F17609F7E1}" uniqueName="25" name="Marketing RFD Delay" queryTableFieldId="25" dataDxfId="47"/>
    <tableColumn id="26" xr3:uid="{3C2F7771-26C6-4FC9-B1D5-ADC6AA223023}" uniqueName="26" name="Target Packing Material Mfg Date" queryTableFieldId="26" dataDxfId="46"/>
    <tableColumn id="27" xr3:uid="{5AB843BF-A13A-45B2-8698-518AA280FF68}" uniqueName="27" name="Actual Packing Material Mfg Date" queryTableFieldId="27" dataDxfId="45"/>
    <tableColumn id="28" xr3:uid="{95B67147-7821-4621-B7EB-15C167D17D25}" uniqueName="28" name="Packing Material Mfg Delay" queryTableFieldId="28" dataDxfId="44"/>
    <tableColumn id="29" xr3:uid="{181C3FC8-B1EA-4A1B-B80F-CDD0F04F3F17}" uniqueName="29" name="Target Packing Date" queryTableFieldId="29" dataDxfId="43"/>
    <tableColumn id="30" xr3:uid="{D1CE5C83-A8A6-424C-B8D6-6331B4308180}" uniqueName="30" name="Actual Packing Date" queryTableFieldId="30" dataDxfId="42"/>
    <tableColumn id="31" xr3:uid="{E9D9E866-59EC-4C01-AE1A-5E1057BD8084}" uniqueName="31" name="Packing Date" queryTableFieldId="31" dataDxfId="41"/>
    <tableColumn id="32" xr3:uid="{8D1BB325-26D3-4260-856F-B9094E572693}" uniqueName="32" name="Packing Delay" queryTableFieldId="32" dataDxfId="40"/>
    <tableColumn id="33" xr3:uid="{579D306F-A5D3-4778-933C-403E6AB5D4ED}" uniqueName="33" name="Packing Execution Time" queryTableFieldId="33" dataDxfId="39"/>
    <tableColumn id="34" xr3:uid="{384E9E06-ABD8-4A2F-A7A6-5812B374C7AA}" uniqueName="34" name="Packing Status" queryTableFieldId="34" dataDxfId="38"/>
    <tableColumn id="35" xr3:uid="{E73F16BF-764F-41A1-BD80-6DAB444FFB89}" uniqueName="35" name="Gate Out Date" queryTableFieldId="35" dataDxfId="37"/>
    <tableColumn id="36" xr3:uid="{AE340258-CE02-4D6A-9BF2-A6D938655EA1}" uniqueName="36" name="Gate-out Status" queryTableFieldId="36" dataDxfId="36"/>
    <tableColumn id="37" xr3:uid="{CAB618FC-253A-43CA-827A-9ECC857CFE4D}" uniqueName="37" name="Shipment Status" queryTableFieldId="37" dataDxfId="35"/>
    <tableColumn id="38" xr3:uid="{B044B6BF-96BF-499C-B4D0-4EE2D8BE57A0}" uniqueName="38" name="Shipment Delay" queryTableFieldId="38" dataDxfId="34"/>
    <tableColumn id="39" xr3:uid="{322C5702-A24B-4A5A-B44C-52565BA5EBE4}" uniqueName="39" name="Packing Cost Variance" queryTableFieldId="39"/>
    <tableColumn id="40" xr3:uid="{0C3CBD4A-116B-43E9-ABBA-50F98D12F0AB}" uniqueName="40" name="On-Time Packing" queryTableFieldId="40" dataDxfId="33"/>
    <tableColumn id="41" xr3:uid="{3B8E8D62-AE7E-4DB3-AFB1-FCC204FC979A}" uniqueName="41" name="Packing Efficiency %" queryTableFieldId="41" dataDxfId="32"/>
    <tableColumn id="42" xr3:uid="{E6AE5FB1-5A65-44F5-A006-E7143D5AEB05}" uniqueName="42" name="Days Pending Packing" queryTableFieldId="42"/>
    <tableColumn id="43" xr3:uid="{FB82AA82-9ADB-43D1-89D0-5CE21639FF41}" uniqueName="43" name="Overall Status" queryTableFieldId="43" dataDxfId="3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78CE34-3550-46FF-87C2-F06FCC94400E}" name="Inbound___Outbound_Shifting" displayName="Inbound___Outbound_Shifting" ref="A1:AT465" tableType="queryTable" totalsRowShown="0" headerRowDxfId="30" headerRowBorderDxfId="29">
  <autoFilter ref="A1:AT465" xr:uid="{2B78CE34-3550-46FF-87C2-F06FCC94400E}"/>
  <tableColumns count="46">
    <tableColumn id="1" xr3:uid="{6BC1FB39-5062-4CC9-914B-93534D74B6B8}" uniqueName="1" name="Movement Type" queryTableFieldId="1" dataDxfId="28"/>
    <tableColumn id="2" xr3:uid="{D9BCDF5F-1020-46DB-92EF-98504E9DED6C}" uniqueName="2" name="Execution Date" queryTableFieldId="2" dataDxfId="27"/>
    <tableColumn id="3" xr3:uid="{E29CB276-4B69-42D7-BBC2-110BB2D0B2EF}" uniqueName="3" name="Shipment Ref. / IDM #" queryTableFieldId="3"/>
    <tableColumn id="4" xr3:uid="{E94B0BFE-04E0-431E-A44A-594525F4C4C6}" uniqueName="4" name="Requester" queryTableFieldId="4" dataDxfId="26"/>
    <tableColumn id="5" xr3:uid="{EC205B1A-7EE7-450A-8F8B-0205798BEC71}" uniqueName="5" name="Sender" queryTableFieldId="5" dataDxfId="25"/>
    <tableColumn id="6" xr3:uid="{69C8E230-1434-4D73-86A5-C7F8F500901A}" uniqueName="6" name="Customer" queryTableFieldId="6" dataDxfId="24"/>
    <tableColumn id="7" xr3:uid="{39C30DEF-684C-4324-8C52-AD6C5C855A46}" uniqueName="7" name="Batch #" queryTableFieldId="7" dataDxfId="23"/>
    <tableColumn id="45" xr3:uid="{B4BFEA86-33E6-4CFD-B892-1D38A8476D81}" uniqueName="45" name="Exp # or Key" queryTableFieldId="45"/>
    <tableColumn id="46" xr3:uid="{35D517F4-A8D5-488B-8A7E-547075D2A86E}" uniqueName="46" name="Primary Key" queryTableFieldId="46" dataDxfId="22">
      <calculatedColumnFormula>CONCATENATE(Inbound___Outbound_Shifting[[#This Row],[Batch '#]],"-",Inbound___Outbound_Shifting[[#This Row],[Exp '# or Key]])</calculatedColumnFormula>
    </tableColumn>
    <tableColumn id="8" xr3:uid="{A09BEEB7-B51B-40FB-8A8F-4D76D9B0D0C5}" uniqueName="8" name="Item Name" queryTableFieldId="8" dataDxfId="21"/>
    <tableColumn id="9" xr3:uid="{9657D4BA-9140-43B6-B2B0-44A410D845D1}" uniqueName="9" name="Qty. / No. of Packages" queryTableFieldId="9"/>
    <tableColumn id="10" xr3:uid="{B4B9BCE5-E1C9-494F-BEE4-84F58F907A51}" uniqueName="10" name="Pickup Point" queryTableFieldId="10" dataDxfId="20"/>
    <tableColumn id="11" xr3:uid="{F12D80D1-70F9-4402-B634-5FD3AAFA0412}" uniqueName="11" name="Destination" queryTableFieldId="11" dataDxfId="19"/>
    <tableColumn id="12" xr3:uid="{6DF9E7B7-EC2A-4289-A041-9A87B8C321E0}" uniqueName="12" name="Province" queryTableFieldId="12" dataDxfId="18"/>
    <tableColumn id="13" xr3:uid="{B0FC2EB1-2A8A-4081-A4E1-8353FA193FEA}" uniqueName="13" name="Transporter" queryTableFieldId="13" dataDxfId="17"/>
    <tableColumn id="14" xr3:uid="{165D79A4-4AC2-4FC8-B25E-763E6161E1B1}" uniqueName="14" name="Driver #" queryTableFieldId="14" dataDxfId="16"/>
    <tableColumn id="15" xr3:uid="{D89674F2-0A97-47D3-BDE3-5FD850222666}" uniqueName="15" name="Vehicle Number" queryTableFieldId="15"/>
    <tableColumn id="16" xr3:uid="{B7CCAAFD-0E88-47A9-9FB5-98550A6C1A8C}" uniqueName="16" name="Vehicle Type" queryTableFieldId="16" dataDxfId="15"/>
    <tableColumn id="17" xr3:uid="{AAEC33E9-3509-4AD6-9B02-9D3E1D52DE0A}" uniqueName="17" name="No. of Vehicles" queryTableFieldId="17"/>
    <tableColumn id="18" xr3:uid="{EB492A73-5C79-4772-A49F-BD5856CC1BE6}" uniqueName="18" name="Container Number" queryTableFieldId="18" dataDxfId="14"/>
    <tableColumn id="19" xr3:uid="{14A2002A-4152-4D46-B1B1-A87242414D6A}" uniqueName="19" name="20 FT Containers" queryTableFieldId="19"/>
    <tableColumn id="20" xr3:uid="{63DF56BA-F3F6-48C7-BCB6-15D48A286B08}" uniqueName="20" name="40 FT Containers" queryTableFieldId="20"/>
    <tableColumn id="21" xr3:uid="{2DBAA092-F8EA-4E0E-916F-B028E31D4B24}" uniqueName="21" name="Gross Weight (Kgs)" queryTableFieldId="21"/>
    <tableColumn id="22" xr3:uid="{81781FC7-642A-4BDB-A09F-A51A84C602B6}" uniqueName="22" name="Total Gross Weight (Kgs)" queryTableFieldId="22"/>
    <tableColumn id="23" xr3:uid="{DEEC6985-1C45-433C-A2DB-FEA743681C69}" uniqueName="23" name="ETA Works / ETA Destination" queryTableFieldId="23"/>
    <tableColumn id="24" xr3:uid="{0FBDE275-FF96-4012-8F2A-64608FA27B36}" uniqueName="24" name="Dispatch Note Date" queryTableFieldId="24"/>
    <tableColumn id="25" xr3:uid="{8E54B963-2F37-42E0-AAEF-8DC7375FDC2B}" uniqueName="25" name="Cut Off Date" queryTableFieldId="25" dataDxfId="13"/>
    <tableColumn id="26" xr3:uid="{2A6003CB-C84E-40F4-8BC2-AE62DB081E67}" uniqueName="26" name="Transit Days" queryTableFieldId="26"/>
    <tableColumn id="27" xr3:uid="{25EFEA8C-E6B2-4F49-8D59-C743992087A2}" uniqueName="27" name="Actual Freight (Rs.)" queryTableFieldId="27"/>
    <tableColumn id="28" xr3:uid="{9C367C61-30E6-45B7-A986-34023E097BA2}" uniqueName="28" name="Quoted Freight (Rs.)" queryTableFieldId="28"/>
    <tableColumn id="29" xr3:uid="{A03F3BD4-1606-40CE-A4B6-D521419E0B5F}" uniqueName="29" name="Savings (Rs.)" queryTableFieldId="29"/>
    <tableColumn id="30" xr3:uid="{AFC8430D-457F-40CB-9F06-D48BC1951413}" uniqueName="30" name="Detention Amount" queryTableFieldId="30" dataDxfId="12"/>
    <tableColumn id="31" xr3:uid="{975F57FE-3951-4B84-94F6-CAB0DBDF0BA8}" uniqueName="31" name="Rate Per Kg" queryTableFieldId="31"/>
    <tableColumn id="32" xr3:uid="{4A354BA6-145A-4BEA-827C-5FB37029ADC1}" uniqueName="32" name="Rate Per Km" queryTableFieldId="32"/>
    <tableColumn id="33" xr3:uid="{CD84A2EE-9C35-49BB-BB39-1DA59D3EE89E}" uniqueName="33" name="Payment Terms" queryTableFieldId="33" dataDxfId="11"/>
    <tableColumn id="34" xr3:uid="{9C6132B5-70FA-49EA-A987-448D9056F2FB}" uniqueName="34" name="Tracking Status" queryTableFieldId="34" dataDxfId="10"/>
    <tableColumn id="35" xr3:uid="{24D5C5FF-B5A6-4AA3-97DF-DC752E6D22CD}" uniqueName="35" name="Bill/Builty Status" queryTableFieldId="35" dataDxfId="9"/>
    <tableColumn id="36" xr3:uid="{72CD2EC7-11D1-47C7-A90A-EE8725BDF1CA}" uniqueName="36" name="Ledger Entry Status" queryTableFieldId="36" dataDxfId="8"/>
    <tableColumn id="37" xr3:uid="{2B5D2B31-A7E5-4020-9BD5-C0B3FD9B4466}" uniqueName="37" name="Bill Clearance Status" queryTableFieldId="37" dataDxfId="7"/>
    <tableColumn id="38" xr3:uid="{A8D5C8E7-5D4D-44F5-8758-BF9EEAF64B0A}" uniqueName="38" name="Remarks" queryTableFieldId="38" dataDxfId="6"/>
    <tableColumn id="39" xr3:uid="{3927EF73-7861-42D1-B2F9-6B86C8F950EC}" uniqueName="39" name="Freight Variance" queryTableFieldId="39"/>
    <tableColumn id="40" xr3:uid="{A63859FF-B106-45AC-80C6-D0A24BD851D7}" uniqueName="40" name="Savings %" queryTableFieldId="40"/>
    <tableColumn id="41" xr3:uid="{C3079EE7-3AC3-4FF3-A65F-E2A5CF44F589}" uniqueName="41" name="Cost Per KG" queryTableFieldId="41"/>
    <tableColumn id="42" xr3:uid="{713C6B30-0A89-4AE0-9B6D-3CE434651F0B}" uniqueName="42" name="Shipment Status" queryTableFieldId="42"/>
    <tableColumn id="43" xr3:uid="{6B17DC8C-DCF8-43D5-8876-3739EAF1603C}" uniqueName="43" name="Delay Days" queryTableFieldId="43"/>
    <tableColumn id="44" xr3:uid="{09BE0224-599B-4589-9EB3-4D33E1249AB8}" uniqueName="44" name="Operational Status" queryTableFieldId="4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2"/>
  <sheetViews>
    <sheetView showGridLines="0" topLeftCell="A4" zoomScaleNormal="100" workbookViewId="0">
      <selection activeCell="B11" sqref="B11"/>
    </sheetView>
  </sheetViews>
  <sheetFormatPr defaultColWidth="8.5703125" defaultRowHeight="15" x14ac:dyDescent="0.25"/>
  <cols>
    <col min="1" max="1" width="20" customWidth="1"/>
    <col min="2" max="2" width="110" customWidth="1"/>
  </cols>
  <sheetData>
    <row r="1" spans="1:2" ht="27.75" customHeight="1" x14ac:dyDescent="0.25">
      <c r="A1" s="20" t="s">
        <v>0</v>
      </c>
      <c r="B1" s="20"/>
    </row>
    <row r="3" spans="1:2" ht="45.75" customHeight="1" x14ac:dyDescent="0.25">
      <c r="A3" s="1" t="s">
        <v>1</v>
      </c>
      <c r="B3" s="2" t="s">
        <v>2</v>
      </c>
    </row>
    <row r="4" spans="1:2" ht="45.75" customHeight="1" x14ac:dyDescent="0.25">
      <c r="A4" s="1" t="s">
        <v>3</v>
      </c>
      <c r="B4" s="2" t="s">
        <v>4</v>
      </c>
    </row>
    <row r="5" spans="1:2" ht="45.75" customHeight="1" x14ac:dyDescent="0.25">
      <c r="A5" s="1" t="s">
        <v>5</v>
      </c>
      <c r="B5" s="2" t="s">
        <v>6</v>
      </c>
    </row>
    <row r="6" spans="1:2" ht="45.75" customHeight="1" x14ac:dyDescent="0.25">
      <c r="A6" s="1" t="s">
        <v>7</v>
      </c>
      <c r="B6" s="2" t="s">
        <v>8</v>
      </c>
    </row>
    <row r="7" spans="1:2" ht="45.75" customHeight="1" x14ac:dyDescent="0.25">
      <c r="A7" s="1" t="s">
        <v>9</v>
      </c>
      <c r="B7" s="2" t="s">
        <v>10</v>
      </c>
    </row>
    <row r="8" spans="1:2" ht="45.75" customHeight="1" x14ac:dyDescent="0.25">
      <c r="A8" s="1" t="s">
        <v>11</v>
      </c>
      <c r="B8" s="2" t="s">
        <v>12</v>
      </c>
    </row>
    <row r="9" spans="1:2" ht="45.75" customHeight="1" x14ac:dyDescent="0.25">
      <c r="A9" s="1" t="s">
        <v>13</v>
      </c>
      <c r="B9" s="2" t="s">
        <v>14</v>
      </c>
    </row>
    <row r="10" spans="1:2" ht="45.75" customHeight="1" x14ac:dyDescent="0.25">
      <c r="A10" s="1" t="s">
        <v>15</v>
      </c>
      <c r="B10" s="2" t="s">
        <v>16</v>
      </c>
    </row>
    <row r="11" spans="1:2" ht="45.75" customHeight="1" x14ac:dyDescent="0.25">
      <c r="A11" s="1" t="s">
        <v>17</v>
      </c>
      <c r="B11" s="2" t="s">
        <v>18</v>
      </c>
    </row>
    <row r="12" spans="1:2" ht="45.75" customHeight="1" x14ac:dyDescent="0.25">
      <c r="A12" s="1" t="s">
        <v>19</v>
      </c>
      <c r="B12" s="2" t="s">
        <v>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6379-3543-426B-818E-7DFE80193276}">
  <sheetPr codeName="Sheet5"/>
  <dimension ref="A1:BB164"/>
  <sheetViews>
    <sheetView tabSelected="1" topLeftCell="H1" workbookViewId="0">
      <pane ySplit="1" topLeftCell="A132" activePane="bottomLeft" state="frozen"/>
      <selection pane="bottomLeft" activeCell="I1" sqref="I1"/>
    </sheetView>
  </sheetViews>
  <sheetFormatPr defaultRowHeight="15" x14ac:dyDescent="0.25"/>
  <cols>
    <col min="1" max="1" width="14.28515625" bestFit="1" customWidth="1"/>
    <col min="2" max="2" width="9.28515625" bestFit="1" customWidth="1"/>
    <col min="3" max="3" width="28.7109375" customWidth="1"/>
    <col min="4" max="4" width="24.85546875" bestFit="1" customWidth="1"/>
    <col min="5" max="5" width="15" bestFit="1" customWidth="1"/>
    <col min="6" max="6" width="15.5703125" bestFit="1" customWidth="1"/>
    <col min="7" max="7" width="39.42578125" bestFit="1" customWidth="1"/>
    <col min="8" max="8" width="19.42578125" bestFit="1" customWidth="1"/>
    <col min="9" max="9" width="15.42578125" style="19" bestFit="1" customWidth="1"/>
    <col min="10" max="10" width="13.5703125" style="19" bestFit="1" customWidth="1"/>
    <col min="11" max="11" width="12.85546875" style="19" bestFit="1" customWidth="1"/>
    <col min="12" max="12" width="9.42578125" bestFit="1" customWidth="1"/>
    <col min="13" max="13" width="12.5703125" bestFit="1" customWidth="1"/>
    <col min="14" max="14" width="15.42578125" bestFit="1" customWidth="1"/>
    <col min="15" max="15" width="22.5703125" bestFit="1" customWidth="1"/>
    <col min="16" max="16" width="26.42578125" bestFit="1" customWidth="1"/>
    <col min="17" max="17" width="18.140625" bestFit="1" customWidth="1"/>
    <col min="18" max="18" width="31.140625" bestFit="1" customWidth="1"/>
    <col min="19" max="19" width="11.42578125" bestFit="1" customWidth="1"/>
    <col min="20" max="20" width="19.42578125" bestFit="1" customWidth="1"/>
    <col min="21" max="21" width="11.5703125" bestFit="1" customWidth="1"/>
    <col min="22" max="22" width="23.5703125" bestFit="1" customWidth="1"/>
    <col min="23" max="23" width="27.42578125" bestFit="1" customWidth="1"/>
    <col min="24" max="24" width="9.42578125" bestFit="1" customWidth="1"/>
    <col min="25" max="25" width="15.28515625" bestFit="1" customWidth="1"/>
    <col min="26" max="26" width="25.42578125" bestFit="1" customWidth="1"/>
    <col min="27" max="27" width="27.5703125" bestFit="1" customWidth="1"/>
    <col min="28" max="28" width="26.42578125" bestFit="1" customWidth="1"/>
    <col min="29" max="29" width="19.5703125" bestFit="1" customWidth="1"/>
    <col min="30" max="30" width="23.42578125" bestFit="1" customWidth="1"/>
    <col min="31" max="31" width="14.85546875" bestFit="1" customWidth="1"/>
    <col min="32" max="32" width="16.140625" bestFit="1" customWidth="1"/>
    <col min="33" max="33" width="15.42578125" bestFit="1" customWidth="1"/>
    <col min="34" max="34" width="30.140625" bestFit="1" customWidth="1"/>
    <col min="35" max="35" width="22.42578125" bestFit="1" customWidth="1"/>
    <col min="36" max="36" width="20.140625" bestFit="1" customWidth="1"/>
    <col min="37" max="37" width="25" bestFit="1" customWidth="1"/>
    <col min="38" max="38" width="17.42578125" bestFit="1" customWidth="1"/>
    <col min="39" max="39" width="22.42578125" bestFit="1" customWidth="1"/>
    <col min="40" max="40" width="20" bestFit="1" customWidth="1"/>
    <col min="41" max="41" width="28.5703125" bestFit="1" customWidth="1"/>
    <col min="42" max="42" width="22.5703125" bestFit="1" customWidth="1"/>
    <col min="43" max="43" width="23.5703125" bestFit="1" customWidth="1"/>
    <col min="44" max="44" width="19.5703125" bestFit="1" customWidth="1"/>
    <col min="45" max="45" width="28.5703125" bestFit="1" customWidth="1"/>
    <col min="46" max="46" width="30" bestFit="1" customWidth="1"/>
    <col min="47" max="47" width="14.28515625" bestFit="1" customWidth="1"/>
    <col min="48" max="48" width="13.42578125" bestFit="1" customWidth="1"/>
    <col min="49" max="49" width="27.85546875" bestFit="1" customWidth="1"/>
    <col min="50" max="50" width="30" bestFit="1" customWidth="1"/>
    <col min="51" max="51" width="25.85546875" bestFit="1" customWidth="1"/>
    <col min="52" max="52" width="45" bestFit="1" customWidth="1"/>
    <col min="53" max="53" width="75.42578125" bestFit="1" customWidth="1"/>
    <col min="54" max="54" width="70.140625" bestFit="1" customWidth="1"/>
  </cols>
  <sheetData>
    <row r="1" spans="1:54" ht="17.100000000000001" customHeight="1" x14ac:dyDescent="0.25">
      <c r="A1" s="6" t="s">
        <v>1715</v>
      </c>
      <c r="B1" s="6" t="s">
        <v>53</v>
      </c>
      <c r="C1" s="6" t="s">
        <v>7056</v>
      </c>
      <c r="D1" s="6" t="s">
        <v>55</v>
      </c>
      <c r="E1" s="6" t="s">
        <v>74</v>
      </c>
      <c r="F1" s="6" t="s">
        <v>75</v>
      </c>
      <c r="G1" s="6" t="s">
        <v>1716</v>
      </c>
      <c r="H1" s="6" t="s">
        <v>1717</v>
      </c>
      <c r="I1" s="30" t="s">
        <v>72</v>
      </c>
      <c r="J1" s="30" t="s">
        <v>1718</v>
      </c>
      <c r="K1" s="31" t="s">
        <v>95</v>
      </c>
      <c r="L1" s="6" t="s">
        <v>96</v>
      </c>
      <c r="M1" s="6" t="s">
        <v>1681</v>
      </c>
      <c r="N1" s="6" t="s">
        <v>86</v>
      </c>
      <c r="O1" s="6" t="s">
        <v>1719</v>
      </c>
      <c r="P1" s="6" t="s">
        <v>1720</v>
      </c>
      <c r="Q1" s="6" t="s">
        <v>1721</v>
      </c>
      <c r="R1" s="6" t="s">
        <v>1722</v>
      </c>
      <c r="S1" s="6" t="s">
        <v>1723</v>
      </c>
      <c r="T1" s="6" t="s">
        <v>1724</v>
      </c>
      <c r="U1" s="6" t="s">
        <v>1725</v>
      </c>
      <c r="V1" s="6" t="s">
        <v>1726</v>
      </c>
      <c r="W1" s="6" t="s">
        <v>1727</v>
      </c>
      <c r="X1" s="6" t="s">
        <v>1728</v>
      </c>
      <c r="Y1" s="6" t="s">
        <v>90</v>
      </c>
      <c r="Z1" s="6" t="s">
        <v>1729</v>
      </c>
      <c r="AA1" s="6" t="s">
        <v>1730</v>
      </c>
      <c r="AB1" s="6" t="s">
        <v>1731</v>
      </c>
      <c r="AC1" s="6" t="s">
        <v>1732</v>
      </c>
      <c r="AD1" s="6" t="s">
        <v>1733</v>
      </c>
      <c r="AE1" s="6" t="s">
        <v>1734</v>
      </c>
      <c r="AF1" s="6" t="s">
        <v>1735</v>
      </c>
      <c r="AG1" s="6" t="s">
        <v>1736</v>
      </c>
      <c r="AH1" s="6" t="s">
        <v>1737</v>
      </c>
      <c r="AI1" s="6" t="s">
        <v>1738</v>
      </c>
      <c r="AJ1" s="6" t="s">
        <v>1739</v>
      </c>
      <c r="AK1" s="6" t="s">
        <v>1740</v>
      </c>
      <c r="AL1" s="6" t="s">
        <v>1741</v>
      </c>
      <c r="AM1" s="6" t="s">
        <v>1742</v>
      </c>
      <c r="AN1" s="6" t="s">
        <v>1743</v>
      </c>
      <c r="AO1" s="6" t="s">
        <v>1744</v>
      </c>
      <c r="AP1" s="6" t="s">
        <v>1745</v>
      </c>
      <c r="AQ1" s="6" t="s">
        <v>1686</v>
      </c>
      <c r="AR1" s="6" t="s">
        <v>1688</v>
      </c>
      <c r="AS1" s="6" t="s">
        <v>1691</v>
      </c>
      <c r="AT1" s="6" t="s">
        <v>1746</v>
      </c>
      <c r="AU1" s="6" t="s">
        <v>1747</v>
      </c>
      <c r="AV1" s="6" t="s">
        <v>1748</v>
      </c>
      <c r="AW1" s="6" t="s">
        <v>1749</v>
      </c>
      <c r="AX1" s="6" t="s">
        <v>1750</v>
      </c>
      <c r="AY1" s="6" t="s">
        <v>1751</v>
      </c>
      <c r="AZ1" s="6" t="s">
        <v>1752</v>
      </c>
      <c r="BA1" s="6" t="s">
        <v>1753</v>
      </c>
      <c r="BB1" s="6" t="s">
        <v>1754</v>
      </c>
    </row>
    <row r="2" spans="1:54" x14ac:dyDescent="0.25">
      <c r="A2" t="s">
        <v>768</v>
      </c>
      <c r="B2" t="s">
        <v>1755</v>
      </c>
      <c r="C2" t="str">
        <f>CONCATENATE(Export_Documentation_Database[[#This Row],[Exp. '#]],"-",Export_Documentation_Database[[#This Row],[Batch '#]])</f>
        <v>2360th--</v>
      </c>
      <c r="D2" t="s">
        <v>46</v>
      </c>
      <c r="E2" t="s">
        <v>181</v>
      </c>
      <c r="F2" t="s">
        <v>128</v>
      </c>
      <c r="G2" t="s">
        <v>1755</v>
      </c>
      <c r="H2" t="s">
        <v>1755</v>
      </c>
      <c r="I2" s="19" t="s">
        <v>1755</v>
      </c>
      <c r="J2" s="19" t="s">
        <v>1755</v>
      </c>
      <c r="K2" s="19">
        <v>46024</v>
      </c>
      <c r="L2" t="s">
        <v>22</v>
      </c>
      <c r="M2" t="s">
        <v>132</v>
      </c>
      <c r="N2" t="s">
        <v>133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1756</v>
      </c>
      <c r="V2" t="s">
        <v>24</v>
      </c>
      <c r="W2" t="s">
        <v>24</v>
      </c>
      <c r="X2" t="s">
        <v>1757</v>
      </c>
      <c r="Y2" t="s">
        <v>24</v>
      </c>
      <c r="Z2" t="s">
        <v>24</v>
      </c>
      <c r="AA2" t="s">
        <v>24</v>
      </c>
      <c r="AB2" t="s">
        <v>24</v>
      </c>
      <c r="AC2" t="s">
        <v>24</v>
      </c>
      <c r="AD2" t="s">
        <v>24</v>
      </c>
      <c r="AE2" t="s">
        <v>24</v>
      </c>
      <c r="AF2" t="s">
        <v>24</v>
      </c>
      <c r="AG2" t="s">
        <v>24</v>
      </c>
      <c r="AH2" t="s">
        <v>24</v>
      </c>
      <c r="AJ2" t="s">
        <v>24</v>
      </c>
      <c r="AK2" t="s">
        <v>24</v>
      </c>
      <c r="AL2">
        <v>20</v>
      </c>
      <c r="AM2">
        <v>19</v>
      </c>
      <c r="AN2">
        <v>1</v>
      </c>
      <c r="AO2">
        <v>0.95</v>
      </c>
      <c r="AP2">
        <v>1</v>
      </c>
      <c r="AQ2">
        <v>1</v>
      </c>
      <c r="AR2">
        <v>0.875</v>
      </c>
      <c r="AS2" t="s">
        <v>1758</v>
      </c>
      <c r="AT2" t="s">
        <v>1759</v>
      </c>
      <c r="AU2">
        <v>181</v>
      </c>
      <c r="AV2" t="s">
        <v>1760</v>
      </c>
      <c r="AW2" t="s">
        <v>107</v>
      </c>
      <c r="AX2" t="s">
        <v>107</v>
      </c>
      <c r="AY2" t="s">
        <v>106</v>
      </c>
      <c r="AZ2" t="s">
        <v>1573</v>
      </c>
      <c r="BA2" t="s">
        <v>1573</v>
      </c>
      <c r="BB2" t="s">
        <v>1761</v>
      </c>
    </row>
    <row r="3" spans="1:54" x14ac:dyDescent="0.25">
      <c r="A3" t="s">
        <v>579</v>
      </c>
      <c r="B3" t="s">
        <v>1755</v>
      </c>
      <c r="C3" t="str">
        <f>CONCATENATE(Export_Documentation_Database[[#This Row],[Exp. '#]],"-",Export_Documentation_Database[[#This Row],[Batch '#]])</f>
        <v>2323rd--</v>
      </c>
      <c r="D3" t="s">
        <v>46</v>
      </c>
      <c r="E3" t="s">
        <v>181</v>
      </c>
      <c r="F3" t="s">
        <v>128</v>
      </c>
      <c r="G3" t="s">
        <v>1755</v>
      </c>
      <c r="H3" t="s">
        <v>1755</v>
      </c>
      <c r="I3" s="19" t="s">
        <v>1755</v>
      </c>
      <c r="J3" s="19" t="s">
        <v>1755</v>
      </c>
      <c r="K3" s="19">
        <v>46024</v>
      </c>
      <c r="L3" t="s">
        <v>22</v>
      </c>
      <c r="M3" t="s">
        <v>132</v>
      </c>
      <c r="N3" t="s">
        <v>133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1756</v>
      </c>
      <c r="V3" t="s">
        <v>24</v>
      </c>
      <c r="W3" t="s">
        <v>24</v>
      </c>
      <c r="X3" t="s">
        <v>1757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  <c r="AD3" t="s">
        <v>24</v>
      </c>
      <c r="AE3" t="s">
        <v>24</v>
      </c>
      <c r="AF3" t="s">
        <v>24</v>
      </c>
      <c r="AG3" t="s">
        <v>24</v>
      </c>
      <c r="AH3" t="s">
        <v>24</v>
      </c>
      <c r="AI3" t="s">
        <v>1755</v>
      </c>
      <c r="AJ3" t="s">
        <v>1755</v>
      </c>
      <c r="AK3" t="s">
        <v>24</v>
      </c>
      <c r="AL3">
        <v>20</v>
      </c>
      <c r="AM3">
        <v>18</v>
      </c>
      <c r="AN3">
        <v>2</v>
      </c>
      <c r="AO3">
        <v>0.9</v>
      </c>
      <c r="AP3">
        <v>1</v>
      </c>
      <c r="AQ3">
        <v>1</v>
      </c>
      <c r="AR3">
        <v>0.75</v>
      </c>
      <c r="AS3" t="s">
        <v>1758</v>
      </c>
      <c r="AT3" t="s">
        <v>1759</v>
      </c>
      <c r="AU3">
        <v>181</v>
      </c>
      <c r="AV3" t="s">
        <v>1760</v>
      </c>
      <c r="AW3" t="s">
        <v>107</v>
      </c>
      <c r="AX3" t="s">
        <v>107</v>
      </c>
      <c r="AY3" t="s">
        <v>106</v>
      </c>
      <c r="AZ3" t="s">
        <v>1573</v>
      </c>
      <c r="BA3" t="s">
        <v>1573</v>
      </c>
      <c r="BB3" t="s">
        <v>1762</v>
      </c>
    </row>
    <row r="4" spans="1:54" x14ac:dyDescent="0.25">
      <c r="A4" t="s">
        <v>1156</v>
      </c>
      <c r="B4" t="s">
        <v>1755</v>
      </c>
      <c r="C4" t="str">
        <f>CONCATENATE(Export_Documentation_Database[[#This Row],[Exp. '#]],"-",Export_Documentation_Database[[#This Row],[Batch '#]])</f>
        <v>25-018th--</v>
      </c>
      <c r="D4" t="s">
        <v>49</v>
      </c>
      <c r="E4" t="s">
        <v>157</v>
      </c>
      <c r="F4" t="s">
        <v>632</v>
      </c>
      <c r="G4" t="s">
        <v>189</v>
      </c>
      <c r="H4" t="s">
        <v>1755</v>
      </c>
      <c r="I4" s="19" t="s">
        <v>1755</v>
      </c>
      <c r="J4" s="19" t="s">
        <v>1755</v>
      </c>
      <c r="K4" s="19">
        <v>45997</v>
      </c>
      <c r="L4" t="s">
        <v>50</v>
      </c>
      <c r="M4" t="s">
        <v>132</v>
      </c>
      <c r="N4" t="s">
        <v>133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1756</v>
      </c>
      <c r="V4" t="s">
        <v>24</v>
      </c>
      <c r="W4" t="s">
        <v>24</v>
      </c>
      <c r="X4" t="s">
        <v>1757</v>
      </c>
      <c r="Y4" t="s">
        <v>24</v>
      </c>
      <c r="Z4" t="s">
        <v>24</v>
      </c>
      <c r="AA4" t="s">
        <v>24</v>
      </c>
      <c r="AC4" t="s">
        <v>24</v>
      </c>
      <c r="AD4" t="s">
        <v>24</v>
      </c>
      <c r="AE4" t="s">
        <v>24</v>
      </c>
      <c r="AF4" t="s">
        <v>24</v>
      </c>
      <c r="AG4" t="s">
        <v>24</v>
      </c>
      <c r="AH4" t="s">
        <v>24</v>
      </c>
      <c r="AI4" t="s">
        <v>1755</v>
      </c>
      <c r="AJ4" t="s">
        <v>1755</v>
      </c>
      <c r="AK4" t="s">
        <v>24</v>
      </c>
      <c r="AL4">
        <v>20</v>
      </c>
      <c r="AM4">
        <v>17</v>
      </c>
      <c r="AN4">
        <v>3</v>
      </c>
      <c r="AO4">
        <v>0.85</v>
      </c>
      <c r="AP4">
        <v>1</v>
      </c>
      <c r="AQ4">
        <v>0.83333333333333337</v>
      </c>
      <c r="AR4">
        <v>0.75</v>
      </c>
      <c r="AS4" t="s">
        <v>1758</v>
      </c>
      <c r="AT4" t="s">
        <v>1759</v>
      </c>
      <c r="AU4">
        <v>208</v>
      </c>
      <c r="AV4" t="s">
        <v>1760</v>
      </c>
      <c r="AW4" t="s">
        <v>107</v>
      </c>
      <c r="AX4" t="s">
        <v>106</v>
      </c>
      <c r="AY4" t="s">
        <v>106</v>
      </c>
      <c r="AZ4" t="s">
        <v>1573</v>
      </c>
      <c r="BA4" t="s">
        <v>1573</v>
      </c>
      <c r="BB4" t="s">
        <v>1762</v>
      </c>
    </row>
    <row r="5" spans="1:54" x14ac:dyDescent="0.25">
      <c r="A5" t="s">
        <v>185</v>
      </c>
      <c r="B5" t="s">
        <v>1755</v>
      </c>
      <c r="C5" t="str">
        <f>CONCATENATE(Export_Documentation_Database[[#This Row],[Exp. '#]],"-",Export_Documentation_Database[[#This Row],[Batch '#]])</f>
        <v>2232nd--</v>
      </c>
      <c r="D5" t="s">
        <v>186</v>
      </c>
      <c r="E5" t="s">
        <v>157</v>
      </c>
      <c r="F5" t="s">
        <v>192</v>
      </c>
      <c r="G5" t="s">
        <v>189</v>
      </c>
      <c r="H5" t="s">
        <v>1755</v>
      </c>
      <c r="I5" s="19" t="s">
        <v>1755</v>
      </c>
      <c r="J5" s="19" t="s">
        <v>1755</v>
      </c>
      <c r="K5" s="19">
        <v>46034</v>
      </c>
      <c r="L5" t="s">
        <v>22</v>
      </c>
      <c r="M5" t="s">
        <v>132</v>
      </c>
      <c r="N5" t="s">
        <v>133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1756</v>
      </c>
      <c r="V5" t="s">
        <v>24</v>
      </c>
      <c r="W5" t="s">
        <v>24</v>
      </c>
      <c r="X5" t="s">
        <v>1757</v>
      </c>
      <c r="Y5" t="s">
        <v>24</v>
      </c>
      <c r="Z5" t="s">
        <v>24</v>
      </c>
      <c r="AA5" t="s">
        <v>24</v>
      </c>
      <c r="AC5" t="s">
        <v>24</v>
      </c>
      <c r="AD5" t="s">
        <v>24</v>
      </c>
      <c r="AE5" t="s">
        <v>24</v>
      </c>
      <c r="AF5" t="s">
        <v>24</v>
      </c>
      <c r="AG5" t="s">
        <v>24</v>
      </c>
      <c r="AH5" t="s">
        <v>24</v>
      </c>
      <c r="AI5" t="s">
        <v>1755</v>
      </c>
      <c r="AJ5" t="s">
        <v>1755</v>
      </c>
      <c r="AK5" t="s">
        <v>24</v>
      </c>
      <c r="AL5">
        <v>20</v>
      </c>
      <c r="AM5">
        <v>17</v>
      </c>
      <c r="AN5">
        <v>3</v>
      </c>
      <c r="AO5">
        <v>0.85</v>
      </c>
      <c r="AP5">
        <v>1</v>
      </c>
      <c r="AQ5">
        <v>0.83333333333333337</v>
      </c>
      <c r="AR5">
        <v>0.75</v>
      </c>
      <c r="AS5" t="s">
        <v>1758</v>
      </c>
      <c r="AT5" t="s">
        <v>1759</v>
      </c>
      <c r="AU5">
        <v>171</v>
      </c>
      <c r="AV5" t="s">
        <v>1760</v>
      </c>
      <c r="AW5" t="s">
        <v>107</v>
      </c>
      <c r="AX5" t="s">
        <v>106</v>
      </c>
      <c r="AY5" t="s">
        <v>106</v>
      </c>
      <c r="AZ5" t="s">
        <v>1573</v>
      </c>
      <c r="BA5" t="s">
        <v>1573</v>
      </c>
      <c r="BB5" t="s">
        <v>1762</v>
      </c>
    </row>
    <row r="6" spans="1:54" x14ac:dyDescent="0.25">
      <c r="A6" t="s">
        <v>1177</v>
      </c>
      <c r="B6" t="s">
        <v>1755</v>
      </c>
      <c r="C6" t="str">
        <f>CONCATENATE(Export_Documentation_Database[[#This Row],[Exp. '#]],"-",Export_Documentation_Database[[#This Row],[Batch '#]])</f>
        <v>25-026th--</v>
      </c>
      <c r="D6" t="s">
        <v>1178</v>
      </c>
      <c r="E6" t="s">
        <v>125</v>
      </c>
      <c r="F6" t="s">
        <v>128</v>
      </c>
      <c r="G6" t="s">
        <v>1755</v>
      </c>
      <c r="H6" t="s">
        <v>1755</v>
      </c>
      <c r="I6" s="19" t="s">
        <v>1755</v>
      </c>
      <c r="J6" s="19" t="s">
        <v>1755</v>
      </c>
      <c r="K6" s="19">
        <v>46024</v>
      </c>
      <c r="L6" t="s">
        <v>22</v>
      </c>
      <c r="M6" t="s">
        <v>132</v>
      </c>
      <c r="N6" t="s">
        <v>133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1756</v>
      </c>
      <c r="V6" t="s">
        <v>24</v>
      </c>
      <c r="W6" t="s">
        <v>24</v>
      </c>
      <c r="X6" t="s">
        <v>1757</v>
      </c>
      <c r="Y6" t="s">
        <v>24</v>
      </c>
      <c r="Z6" t="s">
        <v>24</v>
      </c>
      <c r="AA6" t="s">
        <v>24</v>
      </c>
      <c r="AC6" t="s">
        <v>24</v>
      </c>
      <c r="AD6" t="s">
        <v>24</v>
      </c>
      <c r="AE6" t="s">
        <v>24</v>
      </c>
      <c r="AF6" t="s">
        <v>24</v>
      </c>
      <c r="AG6" t="s">
        <v>24</v>
      </c>
      <c r="AH6" t="s">
        <v>24</v>
      </c>
      <c r="AI6" t="s">
        <v>1755</v>
      </c>
      <c r="AJ6" t="s">
        <v>1755</v>
      </c>
      <c r="AK6" t="s">
        <v>24</v>
      </c>
      <c r="AL6">
        <v>20</v>
      </c>
      <c r="AM6">
        <v>17</v>
      </c>
      <c r="AN6">
        <v>3</v>
      </c>
      <c r="AO6">
        <v>0.85</v>
      </c>
      <c r="AP6">
        <v>1</v>
      </c>
      <c r="AQ6">
        <v>0.83333333333333337</v>
      </c>
      <c r="AR6">
        <v>0.75</v>
      </c>
      <c r="AS6" t="s">
        <v>1758</v>
      </c>
      <c r="AT6" t="s">
        <v>1759</v>
      </c>
      <c r="AU6">
        <v>181</v>
      </c>
      <c r="AV6" t="s">
        <v>1760</v>
      </c>
      <c r="AW6" t="s">
        <v>107</v>
      </c>
      <c r="AX6" t="s">
        <v>106</v>
      </c>
      <c r="AY6" t="s">
        <v>106</v>
      </c>
      <c r="AZ6" t="s">
        <v>1573</v>
      </c>
      <c r="BA6" t="s">
        <v>1573</v>
      </c>
      <c r="BB6" t="s">
        <v>1762</v>
      </c>
    </row>
    <row r="7" spans="1:54" x14ac:dyDescent="0.25">
      <c r="A7" t="s">
        <v>1169</v>
      </c>
      <c r="B7" t="s">
        <v>1755</v>
      </c>
      <c r="C7" t="str">
        <f>CONCATENATE(Export_Documentation_Database[[#This Row],[Exp. '#]],"-",Export_Documentation_Database[[#This Row],[Batch '#]])</f>
        <v>25-025th--</v>
      </c>
      <c r="D7" t="s">
        <v>49</v>
      </c>
      <c r="E7" t="s">
        <v>157</v>
      </c>
      <c r="F7" t="s">
        <v>1170</v>
      </c>
      <c r="G7" t="s">
        <v>189</v>
      </c>
      <c r="H7" t="s">
        <v>1755</v>
      </c>
      <c r="I7" s="19" t="s">
        <v>1755</v>
      </c>
      <c r="J7" s="19" t="s">
        <v>1755</v>
      </c>
      <c r="K7" s="19">
        <v>46000</v>
      </c>
      <c r="L7" t="s">
        <v>50</v>
      </c>
      <c r="M7" t="s">
        <v>132</v>
      </c>
      <c r="N7" t="s">
        <v>133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1756</v>
      </c>
      <c r="V7" t="s">
        <v>24</v>
      </c>
      <c r="W7" t="s">
        <v>24</v>
      </c>
      <c r="X7" t="s">
        <v>1757</v>
      </c>
      <c r="Y7" t="s">
        <v>24</v>
      </c>
      <c r="Z7" t="s">
        <v>24</v>
      </c>
      <c r="AA7" t="s">
        <v>24</v>
      </c>
      <c r="AC7" t="s">
        <v>24</v>
      </c>
      <c r="AD7" t="s">
        <v>24</v>
      </c>
      <c r="AE7" t="s">
        <v>24</v>
      </c>
      <c r="AF7" t="s">
        <v>24</v>
      </c>
      <c r="AG7" t="s">
        <v>24</v>
      </c>
      <c r="AH7" t="s">
        <v>24</v>
      </c>
      <c r="AI7" t="s">
        <v>1755</v>
      </c>
      <c r="AJ7" t="s">
        <v>1755</v>
      </c>
      <c r="AK7" t="s">
        <v>24</v>
      </c>
      <c r="AL7">
        <v>20</v>
      </c>
      <c r="AM7">
        <v>17</v>
      </c>
      <c r="AN7">
        <v>3</v>
      </c>
      <c r="AO7">
        <v>0.85</v>
      </c>
      <c r="AP7">
        <v>1</v>
      </c>
      <c r="AQ7">
        <v>0.83333333333333337</v>
      </c>
      <c r="AR7">
        <v>0.75</v>
      </c>
      <c r="AS7" t="s">
        <v>1758</v>
      </c>
      <c r="AT7" t="s">
        <v>1759</v>
      </c>
      <c r="AU7">
        <v>205</v>
      </c>
      <c r="AV7" t="s">
        <v>1760</v>
      </c>
      <c r="AW7" t="s">
        <v>107</v>
      </c>
      <c r="AX7" t="s">
        <v>106</v>
      </c>
      <c r="AY7" t="s">
        <v>106</v>
      </c>
      <c r="AZ7" t="s">
        <v>1573</v>
      </c>
      <c r="BA7" t="s">
        <v>1573</v>
      </c>
      <c r="BB7" t="s">
        <v>1762</v>
      </c>
    </row>
    <row r="8" spans="1:54" x14ac:dyDescent="0.25">
      <c r="A8" t="s">
        <v>354</v>
      </c>
      <c r="B8" t="s">
        <v>1763</v>
      </c>
      <c r="C8" t="str">
        <f>CONCATENATE(Export_Documentation_Database[[#This Row],[Exp. '#]],"-",Export_Documentation_Database[[#This Row],[Batch '#]])</f>
        <v xml:space="preserve">2278th-4th </v>
      </c>
      <c r="D8" t="s">
        <v>143</v>
      </c>
      <c r="E8" t="s">
        <v>710</v>
      </c>
      <c r="F8" t="s">
        <v>128</v>
      </c>
      <c r="G8" t="s">
        <v>631</v>
      </c>
      <c r="H8" t="s">
        <v>1755</v>
      </c>
      <c r="I8" s="19" t="s">
        <v>1755</v>
      </c>
      <c r="J8" s="19" t="s">
        <v>1755</v>
      </c>
      <c r="K8" s="19">
        <v>46048</v>
      </c>
      <c r="L8" t="s">
        <v>22</v>
      </c>
      <c r="M8" t="s">
        <v>132</v>
      </c>
      <c r="N8" t="s">
        <v>133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1756</v>
      </c>
      <c r="V8" t="s">
        <v>24</v>
      </c>
      <c r="W8" t="s">
        <v>24</v>
      </c>
      <c r="X8" t="s">
        <v>1757</v>
      </c>
      <c r="Y8" t="s">
        <v>24</v>
      </c>
      <c r="Z8" t="s">
        <v>24</v>
      </c>
      <c r="AA8" t="s">
        <v>24</v>
      </c>
      <c r="AC8" t="s">
        <v>24</v>
      </c>
      <c r="AD8" t="s">
        <v>24</v>
      </c>
      <c r="AE8" t="s">
        <v>24</v>
      </c>
      <c r="AF8" t="s">
        <v>24</v>
      </c>
      <c r="AG8" t="s">
        <v>24</v>
      </c>
      <c r="AH8" t="s">
        <v>24</v>
      </c>
      <c r="AI8" t="s">
        <v>1755</v>
      </c>
      <c r="AJ8" t="s">
        <v>1755</v>
      </c>
      <c r="AK8" t="s">
        <v>24</v>
      </c>
      <c r="AL8">
        <v>20</v>
      </c>
      <c r="AM8">
        <v>17</v>
      </c>
      <c r="AN8">
        <v>3</v>
      </c>
      <c r="AO8">
        <v>0.85</v>
      </c>
      <c r="AP8">
        <v>1</v>
      </c>
      <c r="AQ8">
        <v>0.83333333333333337</v>
      </c>
      <c r="AR8">
        <v>0.75</v>
      </c>
      <c r="AS8" t="s">
        <v>1758</v>
      </c>
      <c r="AT8" t="s">
        <v>1759</v>
      </c>
      <c r="AU8">
        <v>157</v>
      </c>
      <c r="AV8" t="s">
        <v>1760</v>
      </c>
      <c r="AW8" t="s">
        <v>107</v>
      </c>
      <c r="AX8" t="s">
        <v>106</v>
      </c>
      <c r="AY8" t="s">
        <v>106</v>
      </c>
      <c r="AZ8" t="s">
        <v>1573</v>
      </c>
      <c r="BA8" t="s">
        <v>1573</v>
      </c>
      <c r="BB8" t="s">
        <v>1762</v>
      </c>
    </row>
    <row r="9" spans="1:54" x14ac:dyDescent="0.25">
      <c r="A9" t="s">
        <v>354</v>
      </c>
      <c r="B9" t="s">
        <v>142</v>
      </c>
      <c r="C9" t="str">
        <f>CONCATENATE(Export_Documentation_Database[[#This Row],[Exp. '#]],"-",Export_Documentation_Database[[#This Row],[Batch '#]])</f>
        <v>2278th-3rd</v>
      </c>
      <c r="D9" t="s">
        <v>143</v>
      </c>
      <c r="E9" t="s">
        <v>125</v>
      </c>
      <c r="F9" t="s">
        <v>128</v>
      </c>
      <c r="G9" t="s">
        <v>1755</v>
      </c>
      <c r="H9" t="s">
        <v>1755</v>
      </c>
      <c r="I9" s="19" t="s">
        <v>1755</v>
      </c>
      <c r="J9" s="19" t="s">
        <v>1755</v>
      </c>
      <c r="K9" s="19">
        <v>46016</v>
      </c>
      <c r="L9" t="s">
        <v>50</v>
      </c>
      <c r="M9" t="s">
        <v>132</v>
      </c>
      <c r="N9" t="s">
        <v>133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1756</v>
      </c>
      <c r="V9" t="s">
        <v>24</v>
      </c>
      <c r="W9" t="s">
        <v>24</v>
      </c>
      <c r="X9" t="s">
        <v>1757</v>
      </c>
      <c r="Y9" t="s">
        <v>24</v>
      </c>
      <c r="Z9" t="s">
        <v>24</v>
      </c>
      <c r="AA9" t="s">
        <v>24</v>
      </c>
      <c r="AC9" t="s">
        <v>24</v>
      </c>
      <c r="AD9" t="s">
        <v>24</v>
      </c>
      <c r="AE9" t="s">
        <v>24</v>
      </c>
      <c r="AF9" t="s">
        <v>24</v>
      </c>
      <c r="AG9" t="s">
        <v>24</v>
      </c>
      <c r="AH9" t="s">
        <v>24</v>
      </c>
      <c r="AI9" t="s">
        <v>1755</v>
      </c>
      <c r="AJ9" t="s">
        <v>1755</v>
      </c>
      <c r="AK9" t="s">
        <v>24</v>
      </c>
      <c r="AL9">
        <v>20</v>
      </c>
      <c r="AM9">
        <v>17</v>
      </c>
      <c r="AN9">
        <v>3</v>
      </c>
      <c r="AO9">
        <v>0.85</v>
      </c>
      <c r="AP9">
        <v>1</v>
      </c>
      <c r="AQ9">
        <v>0.83333333333333337</v>
      </c>
      <c r="AR9">
        <v>0.75</v>
      </c>
      <c r="AS9" t="s">
        <v>1758</v>
      </c>
      <c r="AT9" t="s">
        <v>1759</v>
      </c>
      <c r="AU9">
        <v>189</v>
      </c>
      <c r="AV9" t="s">
        <v>1760</v>
      </c>
      <c r="AW9" t="s">
        <v>107</v>
      </c>
      <c r="AX9" t="s">
        <v>106</v>
      </c>
      <c r="AY9" t="s">
        <v>106</v>
      </c>
      <c r="AZ9" t="s">
        <v>1573</v>
      </c>
      <c r="BA9" t="s">
        <v>1573</v>
      </c>
      <c r="BB9" t="s">
        <v>1762</v>
      </c>
    </row>
    <row r="10" spans="1:54" x14ac:dyDescent="0.25">
      <c r="A10" t="s">
        <v>1231</v>
      </c>
      <c r="B10" t="s">
        <v>1755</v>
      </c>
      <c r="C10" t="str">
        <f>CONCATENATE(Export_Documentation_Database[[#This Row],[Exp. '#]],"-",Export_Documentation_Database[[#This Row],[Batch '#]])</f>
        <v>25-040--</v>
      </c>
      <c r="D10" t="s">
        <v>1138</v>
      </c>
      <c r="E10" t="s">
        <v>630</v>
      </c>
      <c r="F10" t="s">
        <v>1236</v>
      </c>
      <c r="G10" t="s">
        <v>631</v>
      </c>
      <c r="H10" t="s">
        <v>1755</v>
      </c>
      <c r="I10" s="19" t="s">
        <v>1755</v>
      </c>
      <c r="J10" s="19" t="s">
        <v>1755</v>
      </c>
      <c r="K10" s="19">
        <v>46051</v>
      </c>
      <c r="L10" t="s">
        <v>22</v>
      </c>
      <c r="M10" t="s">
        <v>132</v>
      </c>
      <c r="N10" t="s">
        <v>133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1756</v>
      </c>
      <c r="V10" t="s">
        <v>24</v>
      </c>
      <c r="W10" t="s">
        <v>24</v>
      </c>
      <c r="X10" t="s">
        <v>1757</v>
      </c>
      <c r="Y10" t="s">
        <v>24</v>
      </c>
      <c r="Z10" t="s">
        <v>24</v>
      </c>
      <c r="AA10" t="s">
        <v>24</v>
      </c>
      <c r="AC10" t="s">
        <v>24</v>
      </c>
      <c r="AD10" t="s">
        <v>24</v>
      </c>
      <c r="AE10" t="s">
        <v>24</v>
      </c>
      <c r="AF10" t="s">
        <v>24</v>
      </c>
      <c r="AG10" t="s">
        <v>24</v>
      </c>
      <c r="AH10" t="s">
        <v>24</v>
      </c>
      <c r="AI10" t="s">
        <v>1755</v>
      </c>
      <c r="AJ10" t="s">
        <v>1755</v>
      </c>
      <c r="AK10" t="s">
        <v>24</v>
      </c>
      <c r="AL10">
        <v>20</v>
      </c>
      <c r="AM10">
        <v>17</v>
      </c>
      <c r="AN10">
        <v>3</v>
      </c>
      <c r="AO10">
        <v>0.85</v>
      </c>
      <c r="AP10">
        <v>1</v>
      </c>
      <c r="AQ10">
        <v>0.83333333333333337</v>
      </c>
      <c r="AR10">
        <v>0.75</v>
      </c>
      <c r="AS10" t="s">
        <v>1758</v>
      </c>
      <c r="AT10" t="s">
        <v>1759</v>
      </c>
      <c r="AU10">
        <v>154</v>
      </c>
      <c r="AV10" t="s">
        <v>1760</v>
      </c>
      <c r="AW10" t="s">
        <v>107</v>
      </c>
      <c r="AX10" t="s">
        <v>106</v>
      </c>
      <c r="AY10" t="s">
        <v>106</v>
      </c>
      <c r="AZ10" t="s">
        <v>1573</v>
      </c>
      <c r="BA10" t="s">
        <v>1573</v>
      </c>
      <c r="BB10" t="s">
        <v>1762</v>
      </c>
    </row>
    <row r="11" spans="1:54" x14ac:dyDescent="0.25">
      <c r="A11" t="s">
        <v>1137</v>
      </c>
      <c r="B11" t="s">
        <v>1755</v>
      </c>
      <c r="C11" t="str">
        <f>CONCATENATE(Export_Documentation_Database[[#This Row],[Exp. '#]],"-",Export_Documentation_Database[[#This Row],[Batch '#]])</f>
        <v>25-0132--</v>
      </c>
      <c r="D11" t="s">
        <v>1138</v>
      </c>
      <c r="E11" t="s">
        <v>157</v>
      </c>
      <c r="F11" t="s">
        <v>1139</v>
      </c>
      <c r="G11" t="s">
        <v>189</v>
      </c>
      <c r="H11" t="s">
        <v>1755</v>
      </c>
      <c r="I11" s="19" t="s">
        <v>1755</v>
      </c>
      <c r="J11" s="19" t="s">
        <v>1755</v>
      </c>
      <c r="K11" s="19">
        <v>46048</v>
      </c>
      <c r="L11" t="s">
        <v>22</v>
      </c>
      <c r="M11" t="s">
        <v>132</v>
      </c>
      <c r="N11" t="s">
        <v>133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1756</v>
      </c>
      <c r="V11" t="s">
        <v>24</v>
      </c>
      <c r="W11" t="s">
        <v>24</v>
      </c>
      <c r="X11" t="s">
        <v>1757</v>
      </c>
      <c r="Y11" t="s">
        <v>24</v>
      </c>
      <c r="Z11" t="s">
        <v>24</v>
      </c>
      <c r="AA11" t="s">
        <v>24</v>
      </c>
      <c r="AC11" t="s">
        <v>24</v>
      </c>
      <c r="AD11" t="s">
        <v>24</v>
      </c>
      <c r="AE11" t="s">
        <v>24</v>
      </c>
      <c r="AF11" t="s">
        <v>24</v>
      </c>
      <c r="AG11" t="s">
        <v>24</v>
      </c>
      <c r="AH11" t="s">
        <v>24</v>
      </c>
      <c r="AI11" t="s">
        <v>1755</v>
      </c>
      <c r="AJ11" t="s">
        <v>1755</v>
      </c>
      <c r="AK11" t="s">
        <v>24</v>
      </c>
      <c r="AL11">
        <v>20</v>
      </c>
      <c r="AM11">
        <v>17</v>
      </c>
      <c r="AN11">
        <v>3</v>
      </c>
      <c r="AO11">
        <v>0.85</v>
      </c>
      <c r="AP11">
        <v>1</v>
      </c>
      <c r="AQ11">
        <v>0.83333333333333337</v>
      </c>
      <c r="AR11">
        <v>0.75</v>
      </c>
      <c r="AS11" t="s">
        <v>1758</v>
      </c>
      <c r="AT11" t="s">
        <v>1759</v>
      </c>
      <c r="AU11">
        <v>157</v>
      </c>
      <c r="AV11" t="s">
        <v>1760</v>
      </c>
      <c r="AW11" t="s">
        <v>107</v>
      </c>
      <c r="AX11" t="s">
        <v>106</v>
      </c>
      <c r="AY11" t="s">
        <v>106</v>
      </c>
      <c r="AZ11" t="s">
        <v>1573</v>
      </c>
      <c r="BA11" t="s">
        <v>1573</v>
      </c>
      <c r="BB11" t="s">
        <v>1762</v>
      </c>
    </row>
    <row r="12" spans="1:54" x14ac:dyDescent="0.25">
      <c r="A12" t="s">
        <v>444</v>
      </c>
      <c r="B12" t="s">
        <v>1755</v>
      </c>
      <c r="C12" t="str">
        <f>CONCATENATE(Export_Documentation_Database[[#This Row],[Exp. '#]],"-",Export_Documentation_Database[[#This Row],[Batch '#]])</f>
        <v>2297th--</v>
      </c>
      <c r="D12" t="s">
        <v>445</v>
      </c>
      <c r="E12" t="s">
        <v>125</v>
      </c>
      <c r="F12" t="s">
        <v>128</v>
      </c>
      <c r="G12" t="s">
        <v>1755</v>
      </c>
      <c r="H12" t="s">
        <v>1755</v>
      </c>
      <c r="I12" s="19" t="s">
        <v>1755</v>
      </c>
      <c r="J12" s="19" t="s">
        <v>1755</v>
      </c>
      <c r="K12" s="19">
        <v>46016</v>
      </c>
      <c r="L12" t="s">
        <v>50</v>
      </c>
      <c r="M12" t="s">
        <v>277</v>
      </c>
      <c r="N12" t="s">
        <v>133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1756</v>
      </c>
      <c r="V12" t="s">
        <v>24</v>
      </c>
      <c r="W12" t="s">
        <v>24</v>
      </c>
      <c r="X12" t="s">
        <v>1757</v>
      </c>
      <c r="Y12" t="s">
        <v>24</v>
      </c>
      <c r="Z12" t="s">
        <v>24</v>
      </c>
      <c r="AA12" t="s">
        <v>24</v>
      </c>
      <c r="AC12" t="s">
        <v>24</v>
      </c>
      <c r="AD12" t="s">
        <v>24</v>
      </c>
      <c r="AE12" t="s">
        <v>24</v>
      </c>
      <c r="AF12" t="s">
        <v>24</v>
      </c>
      <c r="AG12" t="s">
        <v>24</v>
      </c>
      <c r="AH12" t="s">
        <v>24</v>
      </c>
      <c r="AI12" t="s">
        <v>1755</v>
      </c>
      <c r="AJ12" t="s">
        <v>1755</v>
      </c>
      <c r="AK12" t="s">
        <v>24</v>
      </c>
      <c r="AL12">
        <v>20</v>
      </c>
      <c r="AM12">
        <v>17</v>
      </c>
      <c r="AN12">
        <v>3</v>
      </c>
      <c r="AO12">
        <v>0.85</v>
      </c>
      <c r="AP12">
        <v>1</v>
      </c>
      <c r="AQ12">
        <v>0.83333333333333337</v>
      </c>
      <c r="AR12">
        <v>0.75</v>
      </c>
      <c r="AS12" t="s">
        <v>1758</v>
      </c>
      <c r="AT12" t="s">
        <v>1759</v>
      </c>
      <c r="AU12">
        <v>189</v>
      </c>
      <c r="AV12" t="s">
        <v>1760</v>
      </c>
      <c r="AW12" t="s">
        <v>107</v>
      </c>
      <c r="AX12" t="s">
        <v>106</v>
      </c>
      <c r="AY12" t="s">
        <v>106</v>
      </c>
      <c r="AZ12" t="s">
        <v>1573</v>
      </c>
      <c r="BA12" t="s">
        <v>1573</v>
      </c>
      <c r="BB12" t="s">
        <v>1762</v>
      </c>
    </row>
    <row r="13" spans="1:54" x14ac:dyDescent="0.25">
      <c r="A13" t="s">
        <v>539</v>
      </c>
      <c r="B13" t="s">
        <v>1755</v>
      </c>
      <c r="C13" t="str">
        <f>CONCATENATE(Export_Documentation_Database[[#This Row],[Exp. '#]],"-",Export_Documentation_Database[[#This Row],[Batch '#]])</f>
        <v>2315th--</v>
      </c>
      <c r="D13" t="s">
        <v>495</v>
      </c>
      <c r="E13" t="s">
        <v>125</v>
      </c>
      <c r="F13" t="s">
        <v>128</v>
      </c>
      <c r="G13" t="s">
        <v>1755</v>
      </c>
      <c r="H13" t="s">
        <v>1755</v>
      </c>
      <c r="I13" s="19" t="s">
        <v>1755</v>
      </c>
      <c r="J13" s="19" t="s">
        <v>1755</v>
      </c>
      <c r="K13" s="19">
        <v>46016</v>
      </c>
      <c r="L13" t="s">
        <v>50</v>
      </c>
      <c r="M13" t="s">
        <v>277</v>
      </c>
      <c r="N13" t="s">
        <v>133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1756</v>
      </c>
      <c r="V13" t="s">
        <v>24</v>
      </c>
      <c r="W13" t="s">
        <v>24</v>
      </c>
      <c r="X13" t="s">
        <v>1757</v>
      </c>
      <c r="Y13" t="s">
        <v>24</v>
      </c>
      <c r="Z13" t="s">
        <v>24</v>
      </c>
      <c r="AA13" t="s">
        <v>24</v>
      </c>
      <c r="AC13" t="s">
        <v>24</v>
      </c>
      <c r="AD13" t="s">
        <v>24</v>
      </c>
      <c r="AE13" t="s">
        <v>24</v>
      </c>
      <c r="AF13" t="s">
        <v>24</v>
      </c>
      <c r="AG13" t="s">
        <v>24</v>
      </c>
      <c r="AH13" t="s">
        <v>24</v>
      </c>
      <c r="AI13" t="s">
        <v>1755</v>
      </c>
      <c r="AJ13" t="s">
        <v>1755</v>
      </c>
      <c r="AK13" t="s">
        <v>24</v>
      </c>
      <c r="AL13">
        <v>20</v>
      </c>
      <c r="AM13">
        <v>17</v>
      </c>
      <c r="AN13">
        <v>3</v>
      </c>
      <c r="AO13">
        <v>0.85</v>
      </c>
      <c r="AP13">
        <v>1</v>
      </c>
      <c r="AQ13">
        <v>0.83333333333333337</v>
      </c>
      <c r="AR13">
        <v>0.75</v>
      </c>
      <c r="AS13" t="s">
        <v>1758</v>
      </c>
      <c r="AT13" t="s">
        <v>1759</v>
      </c>
      <c r="AU13">
        <v>189</v>
      </c>
      <c r="AV13" t="s">
        <v>1760</v>
      </c>
      <c r="AW13" t="s">
        <v>107</v>
      </c>
      <c r="AX13" t="s">
        <v>106</v>
      </c>
      <c r="AY13" t="s">
        <v>106</v>
      </c>
      <c r="AZ13" t="s">
        <v>1573</v>
      </c>
      <c r="BA13" t="s">
        <v>1573</v>
      </c>
      <c r="BB13" t="s">
        <v>1762</v>
      </c>
    </row>
    <row r="14" spans="1:54" x14ac:dyDescent="0.25">
      <c r="A14" t="s">
        <v>217</v>
      </c>
      <c r="B14" t="s">
        <v>1755</v>
      </c>
      <c r="C14" t="str">
        <f>CONCATENATE(Export_Documentation_Database[[#This Row],[Exp. '#]],"-",Export_Documentation_Database[[#This Row],[Batch '#]])</f>
        <v>2246th--</v>
      </c>
      <c r="D14" t="s">
        <v>218</v>
      </c>
      <c r="E14" t="s">
        <v>157</v>
      </c>
      <c r="F14" t="s">
        <v>224</v>
      </c>
      <c r="G14" t="s">
        <v>1755</v>
      </c>
      <c r="H14" t="s">
        <v>1755</v>
      </c>
      <c r="I14" s="19" t="s">
        <v>1755</v>
      </c>
      <c r="J14" s="19" t="s">
        <v>1755</v>
      </c>
      <c r="K14" s="19">
        <v>46040</v>
      </c>
      <c r="L14" t="s">
        <v>22</v>
      </c>
      <c r="M14" t="s">
        <v>132</v>
      </c>
      <c r="N14" t="s">
        <v>133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1764</v>
      </c>
      <c r="V14" t="s">
        <v>24</v>
      </c>
      <c r="W14" t="s">
        <v>24</v>
      </c>
      <c r="X14" t="s">
        <v>1757</v>
      </c>
      <c r="Y14" t="s">
        <v>24</v>
      </c>
      <c r="Z14" t="s">
        <v>24</v>
      </c>
      <c r="AA14" t="s">
        <v>24</v>
      </c>
      <c r="AC14" t="s">
        <v>24</v>
      </c>
      <c r="AD14" t="s">
        <v>24</v>
      </c>
      <c r="AE14" t="s">
        <v>24</v>
      </c>
      <c r="AF14" t="s">
        <v>24</v>
      </c>
      <c r="AG14" t="s">
        <v>24</v>
      </c>
      <c r="AH14" t="s">
        <v>24</v>
      </c>
      <c r="AI14" t="s">
        <v>1755</v>
      </c>
      <c r="AJ14" t="s">
        <v>1755</v>
      </c>
      <c r="AK14" t="s">
        <v>24</v>
      </c>
      <c r="AL14">
        <v>20</v>
      </c>
      <c r="AM14">
        <v>17</v>
      </c>
      <c r="AN14">
        <v>3</v>
      </c>
      <c r="AO14">
        <v>0.85</v>
      </c>
      <c r="AP14">
        <v>1</v>
      </c>
      <c r="AQ14">
        <v>0.83333333333333337</v>
      </c>
      <c r="AR14">
        <v>0.75</v>
      </c>
      <c r="AS14" t="s">
        <v>1758</v>
      </c>
      <c r="AT14" t="s">
        <v>1759</v>
      </c>
      <c r="AU14">
        <v>165</v>
      </c>
      <c r="AV14" t="s">
        <v>1760</v>
      </c>
      <c r="AW14" t="s">
        <v>107</v>
      </c>
      <c r="AX14" t="s">
        <v>106</v>
      </c>
      <c r="AY14" t="s">
        <v>106</v>
      </c>
      <c r="AZ14" t="s">
        <v>1573</v>
      </c>
      <c r="BA14" t="s">
        <v>1573</v>
      </c>
      <c r="BB14" t="s">
        <v>1762</v>
      </c>
    </row>
    <row r="15" spans="1:54" x14ac:dyDescent="0.25">
      <c r="A15" t="s">
        <v>384</v>
      </c>
      <c r="B15" t="s">
        <v>1755</v>
      </c>
      <c r="C15" t="str">
        <f>CONCATENATE(Export_Documentation_Database[[#This Row],[Exp. '#]],"-",Export_Documentation_Database[[#This Row],[Batch '#]])</f>
        <v>2284th--</v>
      </c>
      <c r="D15" t="s">
        <v>385</v>
      </c>
      <c r="E15" t="s">
        <v>125</v>
      </c>
      <c r="F15" t="s">
        <v>128</v>
      </c>
      <c r="G15" t="s">
        <v>1755</v>
      </c>
      <c r="H15" t="s">
        <v>1755</v>
      </c>
      <c r="I15" s="19" t="s">
        <v>1755</v>
      </c>
      <c r="J15" s="19" t="s">
        <v>1755</v>
      </c>
      <c r="K15" s="19">
        <v>46044</v>
      </c>
      <c r="L15" t="s">
        <v>22</v>
      </c>
      <c r="M15" t="s">
        <v>277</v>
      </c>
      <c r="N15" t="s">
        <v>133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1756</v>
      </c>
      <c r="V15" t="s">
        <v>24</v>
      </c>
      <c r="W15" t="s">
        <v>24</v>
      </c>
      <c r="X15" t="s">
        <v>1757</v>
      </c>
      <c r="Y15" t="s">
        <v>24</v>
      </c>
      <c r="Z15" t="s">
        <v>24</v>
      </c>
      <c r="AA15" t="s">
        <v>24</v>
      </c>
      <c r="AC15" t="s">
        <v>24</v>
      </c>
      <c r="AD15" t="s">
        <v>24</v>
      </c>
      <c r="AE15" t="s">
        <v>24</v>
      </c>
      <c r="AF15" t="s">
        <v>24</v>
      </c>
      <c r="AG15" t="s">
        <v>24</v>
      </c>
      <c r="AH15" t="s">
        <v>24</v>
      </c>
      <c r="AI15" t="s">
        <v>1755</v>
      </c>
      <c r="AJ15" t="s">
        <v>1755</v>
      </c>
      <c r="AK15" t="s">
        <v>24</v>
      </c>
      <c r="AL15">
        <v>20</v>
      </c>
      <c r="AM15">
        <v>17</v>
      </c>
      <c r="AN15">
        <v>3</v>
      </c>
      <c r="AO15">
        <v>0.85</v>
      </c>
      <c r="AP15">
        <v>1</v>
      </c>
      <c r="AQ15">
        <v>0.83333333333333337</v>
      </c>
      <c r="AR15">
        <v>0.75</v>
      </c>
      <c r="AS15" t="s">
        <v>1758</v>
      </c>
      <c r="AT15" t="s">
        <v>1759</v>
      </c>
      <c r="AU15">
        <v>161</v>
      </c>
      <c r="AV15" t="s">
        <v>1760</v>
      </c>
      <c r="AW15" t="s">
        <v>107</v>
      </c>
      <c r="AX15" t="s">
        <v>106</v>
      </c>
      <c r="AY15" t="s">
        <v>106</v>
      </c>
      <c r="AZ15" t="s">
        <v>1573</v>
      </c>
      <c r="BA15" t="s">
        <v>1573</v>
      </c>
      <c r="BB15" t="s">
        <v>1762</v>
      </c>
    </row>
    <row r="16" spans="1:54" x14ac:dyDescent="0.25">
      <c r="A16" t="s">
        <v>367</v>
      </c>
      <c r="B16" t="s">
        <v>1755</v>
      </c>
      <c r="C16" t="str">
        <f>CONCATENATE(Export_Documentation_Database[[#This Row],[Exp. '#]],"-",Export_Documentation_Database[[#This Row],[Batch '#]])</f>
        <v>2280th--</v>
      </c>
      <c r="D16" t="s">
        <v>368</v>
      </c>
      <c r="E16" t="s">
        <v>125</v>
      </c>
      <c r="F16" t="s">
        <v>128</v>
      </c>
      <c r="G16" t="s">
        <v>1755</v>
      </c>
      <c r="H16" t="s">
        <v>1755</v>
      </c>
      <c r="I16" s="19" t="s">
        <v>1755</v>
      </c>
      <c r="J16" s="19" t="s">
        <v>1755</v>
      </c>
      <c r="K16" s="19">
        <v>46044</v>
      </c>
      <c r="L16" t="s">
        <v>22</v>
      </c>
      <c r="M16" t="s">
        <v>277</v>
      </c>
      <c r="N16" t="s">
        <v>133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1756</v>
      </c>
      <c r="V16" t="s">
        <v>24</v>
      </c>
      <c r="W16" t="s">
        <v>24</v>
      </c>
      <c r="X16" t="s">
        <v>1757</v>
      </c>
      <c r="Y16" t="s">
        <v>24</v>
      </c>
      <c r="Z16" t="s">
        <v>24</v>
      </c>
      <c r="AA16" t="s">
        <v>24</v>
      </c>
      <c r="AC16" t="s">
        <v>24</v>
      </c>
      <c r="AD16" t="s">
        <v>24</v>
      </c>
      <c r="AE16" t="s">
        <v>24</v>
      </c>
      <c r="AF16" t="s">
        <v>24</v>
      </c>
      <c r="AG16" t="s">
        <v>24</v>
      </c>
      <c r="AH16" t="s">
        <v>24</v>
      </c>
      <c r="AI16" t="s">
        <v>1755</v>
      </c>
      <c r="AJ16" t="s">
        <v>1755</v>
      </c>
      <c r="AK16" t="s">
        <v>24</v>
      </c>
      <c r="AL16">
        <v>20</v>
      </c>
      <c r="AM16">
        <v>17</v>
      </c>
      <c r="AN16">
        <v>3</v>
      </c>
      <c r="AO16">
        <v>0.85</v>
      </c>
      <c r="AP16">
        <v>1</v>
      </c>
      <c r="AQ16">
        <v>0.83333333333333337</v>
      </c>
      <c r="AR16">
        <v>0.75</v>
      </c>
      <c r="AS16" t="s">
        <v>1758</v>
      </c>
      <c r="AT16" t="s">
        <v>1759</v>
      </c>
      <c r="AU16">
        <v>161</v>
      </c>
      <c r="AV16" t="s">
        <v>1760</v>
      </c>
      <c r="AW16" t="s">
        <v>107</v>
      </c>
      <c r="AX16" t="s">
        <v>106</v>
      </c>
      <c r="AY16" t="s">
        <v>106</v>
      </c>
      <c r="AZ16" t="s">
        <v>1573</v>
      </c>
      <c r="BA16" t="s">
        <v>1573</v>
      </c>
      <c r="BB16" t="s">
        <v>1762</v>
      </c>
    </row>
    <row r="17" spans="1:54" x14ac:dyDescent="0.25">
      <c r="A17" t="s">
        <v>457</v>
      </c>
      <c r="B17" t="s">
        <v>1755</v>
      </c>
      <c r="C17" t="str">
        <f>CONCATENATE(Export_Documentation_Database[[#This Row],[Exp. '#]],"-",Export_Documentation_Database[[#This Row],[Batch '#]])</f>
        <v>2302nd--</v>
      </c>
      <c r="D17" t="s">
        <v>458</v>
      </c>
      <c r="E17" t="s">
        <v>125</v>
      </c>
      <c r="F17" t="s">
        <v>128</v>
      </c>
      <c r="G17" t="s">
        <v>1755</v>
      </c>
      <c r="H17" t="s">
        <v>1755</v>
      </c>
      <c r="I17" s="19" t="s">
        <v>1755</v>
      </c>
      <c r="J17" s="19" t="s">
        <v>1755</v>
      </c>
      <c r="K17" s="19">
        <v>46044</v>
      </c>
      <c r="L17" t="s">
        <v>22</v>
      </c>
      <c r="M17" t="s">
        <v>277</v>
      </c>
      <c r="N17" t="s">
        <v>133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1756</v>
      </c>
      <c r="V17" t="s">
        <v>24</v>
      </c>
      <c r="W17" t="s">
        <v>24</v>
      </c>
      <c r="X17" t="s">
        <v>1757</v>
      </c>
      <c r="Y17" t="s">
        <v>24</v>
      </c>
      <c r="Z17" t="s">
        <v>24</v>
      </c>
      <c r="AA17" t="s">
        <v>24</v>
      </c>
      <c r="AC17" t="s">
        <v>24</v>
      </c>
      <c r="AD17" t="s">
        <v>24</v>
      </c>
      <c r="AE17" t="s">
        <v>24</v>
      </c>
      <c r="AF17" t="s">
        <v>24</v>
      </c>
      <c r="AG17" t="s">
        <v>24</v>
      </c>
      <c r="AH17" t="s">
        <v>24</v>
      </c>
      <c r="AI17" t="s">
        <v>1755</v>
      </c>
      <c r="AJ17" t="s">
        <v>1755</v>
      </c>
      <c r="AK17" t="s">
        <v>24</v>
      </c>
      <c r="AL17">
        <v>20</v>
      </c>
      <c r="AM17">
        <v>17</v>
      </c>
      <c r="AN17">
        <v>3</v>
      </c>
      <c r="AO17">
        <v>0.85</v>
      </c>
      <c r="AP17">
        <v>1</v>
      </c>
      <c r="AQ17">
        <v>0.83333333333333337</v>
      </c>
      <c r="AR17">
        <v>0.75</v>
      </c>
      <c r="AS17" t="s">
        <v>1758</v>
      </c>
      <c r="AT17" t="s">
        <v>1759</v>
      </c>
      <c r="AU17">
        <v>161</v>
      </c>
      <c r="AV17" t="s">
        <v>1760</v>
      </c>
      <c r="AW17" t="s">
        <v>107</v>
      </c>
      <c r="AX17" t="s">
        <v>106</v>
      </c>
      <c r="AY17" t="s">
        <v>106</v>
      </c>
      <c r="AZ17" t="s">
        <v>1573</v>
      </c>
      <c r="BA17" t="s">
        <v>1573</v>
      </c>
      <c r="BB17" t="s">
        <v>1762</v>
      </c>
    </row>
    <row r="18" spans="1:54" x14ac:dyDescent="0.25">
      <c r="A18" t="s">
        <v>463</v>
      </c>
      <c r="B18" t="s">
        <v>1755</v>
      </c>
      <c r="C18" t="str">
        <f>CONCATENATE(Export_Documentation_Database[[#This Row],[Exp. '#]],"-",Export_Documentation_Database[[#This Row],[Batch '#]])</f>
        <v>2303rd--</v>
      </c>
      <c r="D18" t="s">
        <v>464</v>
      </c>
      <c r="E18" t="s">
        <v>125</v>
      </c>
      <c r="F18" t="s">
        <v>128</v>
      </c>
      <c r="G18" t="s">
        <v>1755</v>
      </c>
      <c r="H18" t="s">
        <v>1755</v>
      </c>
      <c r="I18" s="19" t="s">
        <v>1755</v>
      </c>
      <c r="J18" s="19" t="s">
        <v>1755</v>
      </c>
      <c r="K18" s="19">
        <v>46044</v>
      </c>
      <c r="L18" t="s">
        <v>22</v>
      </c>
      <c r="M18" t="s">
        <v>277</v>
      </c>
      <c r="N18" t="s">
        <v>133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1756</v>
      </c>
      <c r="V18" t="s">
        <v>24</v>
      </c>
      <c r="W18" t="s">
        <v>24</v>
      </c>
      <c r="X18" t="s">
        <v>1757</v>
      </c>
      <c r="Y18" t="s">
        <v>24</v>
      </c>
      <c r="Z18" t="s">
        <v>24</v>
      </c>
      <c r="AA18" t="s">
        <v>24</v>
      </c>
      <c r="AC18" t="s">
        <v>24</v>
      </c>
      <c r="AD18" t="s">
        <v>24</v>
      </c>
      <c r="AE18" t="s">
        <v>24</v>
      </c>
      <c r="AF18" t="s">
        <v>24</v>
      </c>
      <c r="AG18" t="s">
        <v>24</v>
      </c>
      <c r="AH18" t="s">
        <v>24</v>
      </c>
      <c r="AI18" t="s">
        <v>1755</v>
      </c>
      <c r="AJ18" t="s">
        <v>1755</v>
      </c>
      <c r="AK18" t="s">
        <v>24</v>
      </c>
      <c r="AL18">
        <v>20</v>
      </c>
      <c r="AM18">
        <v>17</v>
      </c>
      <c r="AN18">
        <v>3</v>
      </c>
      <c r="AO18">
        <v>0.85</v>
      </c>
      <c r="AP18">
        <v>1</v>
      </c>
      <c r="AQ18">
        <v>0.83333333333333337</v>
      </c>
      <c r="AR18">
        <v>0.75</v>
      </c>
      <c r="AS18" t="s">
        <v>1758</v>
      </c>
      <c r="AT18" t="s">
        <v>1759</v>
      </c>
      <c r="AU18">
        <v>161</v>
      </c>
      <c r="AV18" t="s">
        <v>1760</v>
      </c>
      <c r="AW18" t="s">
        <v>107</v>
      </c>
      <c r="AX18" t="s">
        <v>106</v>
      </c>
      <c r="AY18" t="s">
        <v>106</v>
      </c>
      <c r="AZ18" t="s">
        <v>1573</v>
      </c>
      <c r="BA18" t="s">
        <v>1573</v>
      </c>
      <c r="BB18" t="s">
        <v>1762</v>
      </c>
    </row>
    <row r="19" spans="1:54" x14ac:dyDescent="0.25">
      <c r="A19" t="s">
        <v>552</v>
      </c>
      <c r="B19" t="s">
        <v>1755</v>
      </c>
      <c r="C19" t="str">
        <f>CONCATENATE(Export_Documentation_Database[[#This Row],[Exp. '#]],"-",Export_Documentation_Database[[#This Row],[Batch '#]])</f>
        <v>2318th--</v>
      </c>
      <c r="D19" t="s">
        <v>553</v>
      </c>
      <c r="E19" t="s">
        <v>125</v>
      </c>
      <c r="F19" t="s">
        <v>128</v>
      </c>
      <c r="G19" t="s">
        <v>1755</v>
      </c>
      <c r="H19" t="s">
        <v>1755</v>
      </c>
      <c r="I19" s="19" t="s">
        <v>1755</v>
      </c>
      <c r="J19" s="19" t="s">
        <v>1755</v>
      </c>
      <c r="K19" s="19">
        <v>46044</v>
      </c>
      <c r="L19" t="s">
        <v>22</v>
      </c>
      <c r="M19" t="s">
        <v>277</v>
      </c>
      <c r="N19" t="s">
        <v>133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1764</v>
      </c>
      <c r="V19" t="s">
        <v>24</v>
      </c>
      <c r="W19" t="s">
        <v>24</v>
      </c>
      <c r="X19" t="s">
        <v>1757</v>
      </c>
      <c r="Y19" t="s">
        <v>24</v>
      </c>
      <c r="Z19" t="s">
        <v>24</v>
      </c>
      <c r="AA19" t="s">
        <v>24</v>
      </c>
      <c r="AC19" t="s">
        <v>24</v>
      </c>
      <c r="AD19" t="s">
        <v>24</v>
      </c>
      <c r="AE19" t="s">
        <v>24</v>
      </c>
      <c r="AF19" t="s">
        <v>24</v>
      </c>
      <c r="AG19" t="s">
        <v>24</v>
      </c>
      <c r="AH19" t="s">
        <v>24</v>
      </c>
      <c r="AI19" t="s">
        <v>1755</v>
      </c>
      <c r="AJ19" t="s">
        <v>1755</v>
      </c>
      <c r="AK19" t="s">
        <v>24</v>
      </c>
      <c r="AL19">
        <v>20</v>
      </c>
      <c r="AM19">
        <v>17</v>
      </c>
      <c r="AN19">
        <v>3</v>
      </c>
      <c r="AO19">
        <v>0.85</v>
      </c>
      <c r="AP19">
        <v>1</v>
      </c>
      <c r="AQ19">
        <v>0.83333333333333337</v>
      </c>
      <c r="AR19">
        <v>0.75</v>
      </c>
      <c r="AS19" t="s">
        <v>1758</v>
      </c>
      <c r="AT19" t="s">
        <v>1759</v>
      </c>
      <c r="AU19">
        <v>161</v>
      </c>
      <c r="AV19" t="s">
        <v>1760</v>
      </c>
      <c r="AW19" t="s">
        <v>107</v>
      </c>
      <c r="AX19" t="s">
        <v>106</v>
      </c>
      <c r="AY19" t="s">
        <v>106</v>
      </c>
      <c r="AZ19" t="s">
        <v>1573</v>
      </c>
      <c r="BA19" t="s">
        <v>1573</v>
      </c>
      <c r="BB19" t="s">
        <v>1762</v>
      </c>
    </row>
    <row r="20" spans="1:54" x14ac:dyDescent="0.25">
      <c r="A20" t="s">
        <v>438</v>
      </c>
      <c r="B20" t="s">
        <v>1755</v>
      </c>
      <c r="C20" t="str">
        <f>CONCATENATE(Export_Documentation_Database[[#This Row],[Exp. '#]],"-",Export_Documentation_Database[[#This Row],[Batch '#]])</f>
        <v>2295th--</v>
      </c>
      <c r="D20" t="s">
        <v>38</v>
      </c>
      <c r="E20" t="s">
        <v>125</v>
      </c>
      <c r="F20" t="s">
        <v>128</v>
      </c>
      <c r="G20" t="s">
        <v>1755</v>
      </c>
      <c r="H20" t="s">
        <v>1755</v>
      </c>
      <c r="I20" s="19" t="s">
        <v>1755</v>
      </c>
      <c r="J20" s="19" t="s">
        <v>1755</v>
      </c>
      <c r="K20" s="19">
        <v>46034</v>
      </c>
      <c r="L20" t="s">
        <v>22</v>
      </c>
      <c r="M20" t="s">
        <v>132</v>
      </c>
      <c r="N20" t="s">
        <v>133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1756</v>
      </c>
      <c r="V20" t="s">
        <v>24</v>
      </c>
      <c r="W20" t="s">
        <v>24</v>
      </c>
      <c r="X20" t="s">
        <v>1757</v>
      </c>
      <c r="Y20" t="s">
        <v>24</v>
      </c>
      <c r="Z20" t="s">
        <v>24</v>
      </c>
      <c r="AA20" t="s">
        <v>24</v>
      </c>
      <c r="AC20" t="s">
        <v>24</v>
      </c>
      <c r="AD20" t="s">
        <v>24</v>
      </c>
      <c r="AE20" t="s">
        <v>24</v>
      </c>
      <c r="AF20" t="s">
        <v>24</v>
      </c>
      <c r="AG20" t="s">
        <v>24</v>
      </c>
      <c r="AH20" t="s">
        <v>24</v>
      </c>
      <c r="AI20" t="s">
        <v>1755</v>
      </c>
      <c r="AJ20" t="s">
        <v>24</v>
      </c>
      <c r="AK20" t="s">
        <v>24</v>
      </c>
      <c r="AL20">
        <v>20</v>
      </c>
      <c r="AM20">
        <v>18</v>
      </c>
      <c r="AN20">
        <v>2</v>
      </c>
      <c r="AO20">
        <v>0.9</v>
      </c>
      <c r="AP20">
        <v>1</v>
      </c>
      <c r="AQ20">
        <v>0.83333333333333337</v>
      </c>
      <c r="AR20">
        <v>0.875</v>
      </c>
      <c r="AS20" t="s">
        <v>1758</v>
      </c>
      <c r="AT20" t="s">
        <v>1759</v>
      </c>
      <c r="AU20">
        <v>171</v>
      </c>
      <c r="AV20" t="s">
        <v>1760</v>
      </c>
      <c r="AW20" t="s">
        <v>107</v>
      </c>
      <c r="AX20" t="s">
        <v>106</v>
      </c>
      <c r="AY20" t="s">
        <v>106</v>
      </c>
      <c r="AZ20" t="s">
        <v>1573</v>
      </c>
      <c r="BA20" t="s">
        <v>1573</v>
      </c>
      <c r="BB20" t="s">
        <v>1761</v>
      </c>
    </row>
    <row r="21" spans="1:54" x14ac:dyDescent="0.25">
      <c r="A21" t="s">
        <v>1179</v>
      </c>
      <c r="B21" t="s">
        <v>1755</v>
      </c>
      <c r="C21" t="str">
        <f>CONCATENATE(Export_Documentation_Database[[#This Row],[Exp. '#]],"-",Export_Documentation_Database[[#This Row],[Batch '#]])</f>
        <v>25-029--</v>
      </c>
      <c r="D21" t="s">
        <v>1180</v>
      </c>
      <c r="E21" t="s">
        <v>157</v>
      </c>
      <c r="F21" t="s">
        <v>1187</v>
      </c>
      <c r="G21" t="s">
        <v>1755</v>
      </c>
      <c r="H21" t="s">
        <v>1755</v>
      </c>
      <c r="I21" s="19" t="s">
        <v>1755</v>
      </c>
      <c r="J21" s="19" t="s">
        <v>1755</v>
      </c>
      <c r="K21" s="19">
        <v>46073</v>
      </c>
      <c r="L21" t="s">
        <v>26</v>
      </c>
      <c r="M21" t="s">
        <v>132</v>
      </c>
      <c r="N21" t="s">
        <v>133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1756</v>
      </c>
      <c r="V21" t="s">
        <v>24</v>
      </c>
      <c r="W21" t="s">
        <v>24</v>
      </c>
      <c r="X21" t="s">
        <v>1757</v>
      </c>
      <c r="Y21" t="s">
        <v>24</v>
      </c>
      <c r="Z21" t="s">
        <v>24</v>
      </c>
      <c r="AA21" t="s">
        <v>24</v>
      </c>
      <c r="AC21" t="s">
        <v>24</v>
      </c>
      <c r="AD21" t="s">
        <v>24</v>
      </c>
      <c r="AE21" t="s">
        <v>24</v>
      </c>
      <c r="AF21" t="s">
        <v>24</v>
      </c>
      <c r="AG21" t="s">
        <v>24</v>
      </c>
      <c r="AH21" t="s">
        <v>24</v>
      </c>
      <c r="AI21" t="s">
        <v>1755</v>
      </c>
      <c r="AJ21" t="s">
        <v>1755</v>
      </c>
      <c r="AK21" t="s">
        <v>24</v>
      </c>
      <c r="AL21">
        <v>20</v>
      </c>
      <c r="AM21">
        <v>17</v>
      </c>
      <c r="AN21">
        <v>3</v>
      </c>
      <c r="AO21">
        <v>0.85</v>
      </c>
      <c r="AP21">
        <v>1</v>
      </c>
      <c r="AQ21">
        <v>0.83333333333333337</v>
      </c>
      <c r="AR21">
        <v>0.75</v>
      </c>
      <c r="AS21" t="s">
        <v>1758</v>
      </c>
      <c r="AT21" t="s">
        <v>1759</v>
      </c>
      <c r="AU21">
        <v>132</v>
      </c>
      <c r="AV21" t="s">
        <v>1760</v>
      </c>
      <c r="AW21" t="s">
        <v>107</v>
      </c>
      <c r="AX21" t="s">
        <v>106</v>
      </c>
      <c r="AY21" t="s">
        <v>106</v>
      </c>
      <c r="AZ21" t="s">
        <v>1573</v>
      </c>
      <c r="BA21" t="s">
        <v>1573</v>
      </c>
      <c r="BB21" t="s">
        <v>1762</v>
      </c>
    </row>
    <row r="22" spans="1:54" x14ac:dyDescent="0.25">
      <c r="A22" t="s">
        <v>1190</v>
      </c>
      <c r="B22" t="s">
        <v>1755</v>
      </c>
      <c r="C22" t="str">
        <f>CONCATENATE(Export_Documentation_Database[[#This Row],[Exp. '#]],"-",Export_Documentation_Database[[#This Row],[Batch '#]])</f>
        <v>25-030--</v>
      </c>
      <c r="D22" t="s">
        <v>1180</v>
      </c>
      <c r="E22" t="s">
        <v>157</v>
      </c>
      <c r="F22" t="s">
        <v>1187</v>
      </c>
      <c r="G22" t="s">
        <v>1755</v>
      </c>
      <c r="H22" t="s">
        <v>1755</v>
      </c>
      <c r="I22" s="19" t="s">
        <v>1755</v>
      </c>
      <c r="J22" s="19" t="s">
        <v>1755</v>
      </c>
      <c r="K22" s="19">
        <v>46073</v>
      </c>
      <c r="L22" t="s">
        <v>26</v>
      </c>
      <c r="M22" t="s">
        <v>132</v>
      </c>
      <c r="N22" t="s">
        <v>133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1756</v>
      </c>
      <c r="V22" t="s">
        <v>24</v>
      </c>
      <c r="W22" t="s">
        <v>24</v>
      </c>
      <c r="X22" t="s">
        <v>1757</v>
      </c>
      <c r="Y22" t="s">
        <v>24</v>
      </c>
      <c r="Z22" t="s">
        <v>24</v>
      </c>
      <c r="AA22" t="s">
        <v>24</v>
      </c>
      <c r="AC22" t="s">
        <v>24</v>
      </c>
      <c r="AD22" t="s">
        <v>24</v>
      </c>
      <c r="AE22" t="s">
        <v>24</v>
      </c>
      <c r="AF22" t="s">
        <v>24</v>
      </c>
      <c r="AG22" t="s">
        <v>24</v>
      </c>
      <c r="AH22" t="s">
        <v>24</v>
      </c>
      <c r="AI22" t="s">
        <v>1755</v>
      </c>
      <c r="AJ22" t="s">
        <v>1755</v>
      </c>
      <c r="AK22" t="s">
        <v>24</v>
      </c>
      <c r="AL22">
        <v>20</v>
      </c>
      <c r="AM22">
        <v>17</v>
      </c>
      <c r="AN22">
        <v>3</v>
      </c>
      <c r="AO22">
        <v>0.85</v>
      </c>
      <c r="AP22">
        <v>1</v>
      </c>
      <c r="AQ22">
        <v>0.83333333333333337</v>
      </c>
      <c r="AR22">
        <v>0.75</v>
      </c>
      <c r="AS22" t="s">
        <v>1758</v>
      </c>
      <c r="AT22" t="s">
        <v>1759</v>
      </c>
      <c r="AU22">
        <v>132</v>
      </c>
      <c r="AV22" t="s">
        <v>1760</v>
      </c>
      <c r="AW22" t="s">
        <v>107</v>
      </c>
      <c r="AX22" t="s">
        <v>106</v>
      </c>
      <c r="AY22" t="s">
        <v>106</v>
      </c>
      <c r="AZ22" t="s">
        <v>1573</v>
      </c>
      <c r="BA22" t="s">
        <v>1573</v>
      </c>
      <c r="BB22" t="s">
        <v>1762</v>
      </c>
    </row>
    <row r="23" spans="1:54" x14ac:dyDescent="0.25">
      <c r="A23" t="s">
        <v>1381</v>
      </c>
      <c r="B23" t="s">
        <v>1755</v>
      </c>
      <c r="C23" t="str">
        <f>CONCATENATE(Export_Documentation_Database[[#This Row],[Exp. '#]],"-",Export_Documentation_Database[[#This Row],[Batch '#]])</f>
        <v>MO-0138--</v>
      </c>
      <c r="D23" t="s">
        <v>1382</v>
      </c>
      <c r="E23" t="s">
        <v>630</v>
      </c>
      <c r="F23" t="s">
        <v>1388</v>
      </c>
      <c r="G23" t="s">
        <v>631</v>
      </c>
      <c r="H23" t="s">
        <v>1755</v>
      </c>
      <c r="I23" s="19" t="s">
        <v>1755</v>
      </c>
      <c r="J23" s="19" t="s">
        <v>1755</v>
      </c>
      <c r="K23" s="19">
        <v>46093</v>
      </c>
      <c r="L23" t="s">
        <v>30</v>
      </c>
      <c r="M23" t="s">
        <v>132</v>
      </c>
      <c r="N23" t="s">
        <v>133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1756</v>
      </c>
      <c r="V23" t="s">
        <v>24</v>
      </c>
      <c r="W23" t="s">
        <v>24</v>
      </c>
      <c r="X23" t="s">
        <v>1757</v>
      </c>
      <c r="Y23" t="s">
        <v>24</v>
      </c>
      <c r="Z23" t="s">
        <v>24</v>
      </c>
      <c r="AA23" t="s">
        <v>24</v>
      </c>
      <c r="AC23" t="s">
        <v>24</v>
      </c>
      <c r="AD23" t="s">
        <v>24</v>
      </c>
      <c r="AE23" t="s">
        <v>24</v>
      </c>
      <c r="AF23" t="s">
        <v>24</v>
      </c>
      <c r="AG23" t="s">
        <v>24</v>
      </c>
      <c r="AH23" t="s">
        <v>24</v>
      </c>
      <c r="AI23" t="s">
        <v>1755</v>
      </c>
      <c r="AJ23" t="s">
        <v>1755</v>
      </c>
      <c r="AK23" t="s">
        <v>24</v>
      </c>
      <c r="AL23">
        <v>20</v>
      </c>
      <c r="AM23">
        <v>17</v>
      </c>
      <c r="AN23">
        <v>3</v>
      </c>
      <c r="AO23">
        <v>0.85</v>
      </c>
      <c r="AP23">
        <v>1</v>
      </c>
      <c r="AQ23">
        <v>0.83333333333333337</v>
      </c>
      <c r="AR23">
        <v>0.75</v>
      </c>
      <c r="AS23" t="s">
        <v>1758</v>
      </c>
      <c r="AT23" t="s">
        <v>1759</v>
      </c>
      <c r="AU23">
        <v>112</v>
      </c>
      <c r="AV23" t="s">
        <v>1760</v>
      </c>
      <c r="AW23" t="s">
        <v>107</v>
      </c>
      <c r="AX23" t="s">
        <v>106</v>
      </c>
      <c r="AY23" t="s">
        <v>106</v>
      </c>
      <c r="AZ23" t="s">
        <v>1573</v>
      </c>
      <c r="BA23" t="s">
        <v>1573</v>
      </c>
      <c r="BB23" t="s">
        <v>1762</v>
      </c>
    </row>
    <row r="24" spans="1:54" x14ac:dyDescent="0.25">
      <c r="A24" t="s">
        <v>1339</v>
      </c>
      <c r="B24" t="s">
        <v>1755</v>
      </c>
      <c r="C24" t="str">
        <f>CONCATENATE(Export_Documentation_Database[[#This Row],[Exp. '#]],"-",Export_Documentation_Database[[#This Row],[Batch '#]])</f>
        <v>MO-0131--</v>
      </c>
      <c r="D24" t="s">
        <v>1180</v>
      </c>
      <c r="E24" t="s">
        <v>157</v>
      </c>
      <c r="F24" t="s">
        <v>1344</v>
      </c>
      <c r="G24" t="s">
        <v>189</v>
      </c>
      <c r="H24" t="s">
        <v>1755</v>
      </c>
      <c r="I24" s="19" t="s">
        <v>1755</v>
      </c>
      <c r="J24" s="19" t="s">
        <v>1755</v>
      </c>
      <c r="K24" s="19">
        <v>46075</v>
      </c>
      <c r="L24" t="s">
        <v>26</v>
      </c>
      <c r="M24" t="s">
        <v>132</v>
      </c>
      <c r="N24" t="s">
        <v>133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1756</v>
      </c>
      <c r="V24" t="s">
        <v>24</v>
      </c>
      <c r="W24" t="s">
        <v>24</v>
      </c>
      <c r="X24" t="s">
        <v>1757</v>
      </c>
      <c r="Y24" t="s">
        <v>24</v>
      </c>
      <c r="Z24" t="s">
        <v>24</v>
      </c>
      <c r="AA24" t="s">
        <v>24</v>
      </c>
      <c r="AC24" t="s">
        <v>24</v>
      </c>
      <c r="AD24" t="s">
        <v>24</v>
      </c>
      <c r="AE24" t="s">
        <v>24</v>
      </c>
      <c r="AF24" t="s">
        <v>24</v>
      </c>
      <c r="AG24" t="s">
        <v>24</v>
      </c>
      <c r="AH24" t="s">
        <v>24</v>
      </c>
      <c r="AI24" t="s">
        <v>1755</v>
      </c>
      <c r="AJ24" t="s">
        <v>1755</v>
      </c>
      <c r="AK24" t="s">
        <v>24</v>
      </c>
      <c r="AL24">
        <v>20</v>
      </c>
      <c r="AM24">
        <v>17</v>
      </c>
      <c r="AN24">
        <v>3</v>
      </c>
      <c r="AO24">
        <v>0.85</v>
      </c>
      <c r="AP24">
        <v>1</v>
      </c>
      <c r="AQ24">
        <v>0.83333333333333337</v>
      </c>
      <c r="AR24">
        <v>0.75</v>
      </c>
      <c r="AS24" t="s">
        <v>1758</v>
      </c>
      <c r="AT24" t="s">
        <v>1759</v>
      </c>
      <c r="AU24">
        <v>130</v>
      </c>
      <c r="AV24" t="s">
        <v>1760</v>
      </c>
      <c r="AW24" t="s">
        <v>107</v>
      </c>
      <c r="AX24" t="s">
        <v>106</v>
      </c>
      <c r="AY24" t="s">
        <v>106</v>
      </c>
      <c r="AZ24" t="s">
        <v>1573</v>
      </c>
      <c r="BA24" t="s">
        <v>1573</v>
      </c>
      <c r="BB24" t="s">
        <v>1762</v>
      </c>
    </row>
    <row r="25" spans="1:54" x14ac:dyDescent="0.25">
      <c r="A25" t="s">
        <v>237</v>
      </c>
      <c r="B25" t="s">
        <v>1755</v>
      </c>
      <c r="C25" t="str">
        <f>CONCATENATE(Export_Documentation_Database[[#This Row],[Exp. '#]],"-",Export_Documentation_Database[[#This Row],[Batch '#]])</f>
        <v>2250th--</v>
      </c>
      <c r="D25" t="s">
        <v>238</v>
      </c>
      <c r="E25" t="s">
        <v>181</v>
      </c>
      <c r="F25" t="s">
        <v>128</v>
      </c>
      <c r="G25" t="s">
        <v>1755</v>
      </c>
      <c r="H25" t="s">
        <v>1755</v>
      </c>
      <c r="I25" s="19" t="s">
        <v>1755</v>
      </c>
      <c r="J25" s="19" t="s">
        <v>1755</v>
      </c>
      <c r="K25" s="19">
        <v>46050</v>
      </c>
      <c r="L25" t="s">
        <v>22</v>
      </c>
      <c r="M25" t="s">
        <v>132</v>
      </c>
      <c r="N25" t="s">
        <v>133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1764</v>
      </c>
      <c r="V25" t="s">
        <v>24</v>
      </c>
      <c r="W25" t="s">
        <v>24</v>
      </c>
      <c r="X25" t="s">
        <v>1757</v>
      </c>
      <c r="Y25" t="s">
        <v>24</v>
      </c>
      <c r="Z25" t="s">
        <v>24</v>
      </c>
      <c r="AA25" t="s">
        <v>24</v>
      </c>
      <c r="AB25" t="s">
        <v>24</v>
      </c>
      <c r="AC25" t="s">
        <v>24</v>
      </c>
      <c r="AD25" t="s">
        <v>24</v>
      </c>
      <c r="AE25" t="s">
        <v>24</v>
      </c>
      <c r="AF25" t="s">
        <v>24</v>
      </c>
      <c r="AG25" t="s">
        <v>24</v>
      </c>
      <c r="AH25" t="s">
        <v>24</v>
      </c>
      <c r="AI25" t="s">
        <v>1755</v>
      </c>
      <c r="AJ25" t="s">
        <v>24</v>
      </c>
      <c r="AK25" t="s">
        <v>24</v>
      </c>
      <c r="AL25">
        <v>20</v>
      </c>
      <c r="AM25">
        <v>19</v>
      </c>
      <c r="AN25">
        <v>1</v>
      </c>
      <c r="AO25">
        <v>0.95</v>
      </c>
      <c r="AP25">
        <v>1</v>
      </c>
      <c r="AQ25">
        <v>1</v>
      </c>
      <c r="AR25">
        <v>0.875</v>
      </c>
      <c r="AS25" t="s">
        <v>1758</v>
      </c>
      <c r="AT25" t="s">
        <v>1759</v>
      </c>
      <c r="AU25">
        <v>155</v>
      </c>
      <c r="AV25" t="s">
        <v>1760</v>
      </c>
      <c r="AW25" t="s">
        <v>107</v>
      </c>
      <c r="AX25" t="s">
        <v>107</v>
      </c>
      <c r="AY25" t="s">
        <v>106</v>
      </c>
      <c r="AZ25" t="s">
        <v>1573</v>
      </c>
      <c r="BA25" t="s">
        <v>1573</v>
      </c>
      <c r="BB25" t="s">
        <v>1761</v>
      </c>
    </row>
    <row r="26" spans="1:54" x14ac:dyDescent="0.25">
      <c r="A26" t="s">
        <v>1347</v>
      </c>
      <c r="B26" t="s">
        <v>1755</v>
      </c>
      <c r="C26" t="str">
        <f>CONCATENATE(Export_Documentation_Database[[#This Row],[Exp. '#]],"-",Export_Documentation_Database[[#This Row],[Batch '#]])</f>
        <v>MO-0133--</v>
      </c>
      <c r="D26" t="s">
        <v>1180</v>
      </c>
      <c r="E26" t="s">
        <v>157</v>
      </c>
      <c r="F26" t="s">
        <v>1170</v>
      </c>
      <c r="G26" t="s">
        <v>189</v>
      </c>
      <c r="H26" t="s">
        <v>1755</v>
      </c>
      <c r="I26" s="19" t="s">
        <v>1755</v>
      </c>
      <c r="J26" s="19" t="s">
        <v>1755</v>
      </c>
      <c r="K26" s="19">
        <v>46104</v>
      </c>
      <c r="L26" t="s">
        <v>30</v>
      </c>
      <c r="M26" t="s">
        <v>132</v>
      </c>
      <c r="N26" t="s">
        <v>133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1756</v>
      </c>
      <c r="V26" t="s">
        <v>24</v>
      </c>
      <c r="W26" t="s">
        <v>24</v>
      </c>
      <c r="X26" t="s">
        <v>1757</v>
      </c>
      <c r="Y26" t="s">
        <v>24</v>
      </c>
      <c r="Z26" t="s">
        <v>24</v>
      </c>
      <c r="AA26" t="s">
        <v>24</v>
      </c>
      <c r="AC26" t="s">
        <v>24</v>
      </c>
      <c r="AD26" t="s">
        <v>24</v>
      </c>
      <c r="AE26" t="s">
        <v>24</v>
      </c>
      <c r="AF26" t="s">
        <v>24</v>
      </c>
      <c r="AG26" t="s">
        <v>24</v>
      </c>
      <c r="AH26" t="s">
        <v>24</v>
      </c>
      <c r="AI26" t="s">
        <v>1755</v>
      </c>
      <c r="AJ26" t="s">
        <v>1755</v>
      </c>
      <c r="AK26" t="s">
        <v>24</v>
      </c>
      <c r="AL26">
        <v>20</v>
      </c>
      <c r="AM26">
        <v>17</v>
      </c>
      <c r="AN26">
        <v>3</v>
      </c>
      <c r="AO26">
        <v>0.85</v>
      </c>
      <c r="AP26">
        <v>1</v>
      </c>
      <c r="AQ26">
        <v>0.83333333333333337</v>
      </c>
      <c r="AR26">
        <v>0.75</v>
      </c>
      <c r="AS26" t="s">
        <v>1758</v>
      </c>
      <c r="AT26" t="s">
        <v>1759</v>
      </c>
      <c r="AU26">
        <v>101</v>
      </c>
      <c r="AV26" t="s">
        <v>1760</v>
      </c>
      <c r="AW26" t="s">
        <v>107</v>
      </c>
      <c r="AX26" t="s">
        <v>106</v>
      </c>
      <c r="AY26" t="s">
        <v>106</v>
      </c>
      <c r="AZ26" t="s">
        <v>1573</v>
      </c>
      <c r="BA26" t="s">
        <v>1573</v>
      </c>
      <c r="BB26" t="s">
        <v>1762</v>
      </c>
    </row>
    <row r="27" spans="1:54" x14ac:dyDescent="0.25">
      <c r="A27" t="s">
        <v>141</v>
      </c>
      <c r="B27" t="s">
        <v>142</v>
      </c>
      <c r="C27" t="str">
        <f>CONCATENATE(Export_Documentation_Database[[#This Row],[Exp. '#]],"-",Export_Documentation_Database[[#This Row],[Batch '#]])</f>
        <v>2211st-3rd</v>
      </c>
      <c r="D27" t="s">
        <v>143</v>
      </c>
      <c r="E27" t="s">
        <v>125</v>
      </c>
      <c r="F27" t="s">
        <v>128</v>
      </c>
      <c r="G27" t="s">
        <v>1755</v>
      </c>
      <c r="H27" t="s">
        <v>1755</v>
      </c>
      <c r="I27" s="19" t="s">
        <v>1755</v>
      </c>
      <c r="J27" s="19" t="s">
        <v>1755</v>
      </c>
      <c r="K27" s="19">
        <v>46016</v>
      </c>
      <c r="L27" t="s">
        <v>50</v>
      </c>
      <c r="M27" t="s">
        <v>132</v>
      </c>
      <c r="N27" t="s">
        <v>133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1756</v>
      </c>
      <c r="V27" t="s">
        <v>24</v>
      </c>
      <c r="W27" t="s">
        <v>24</v>
      </c>
      <c r="X27" t="s">
        <v>1757</v>
      </c>
      <c r="Y27" t="s">
        <v>24</v>
      </c>
      <c r="Z27" t="s">
        <v>24</v>
      </c>
      <c r="AA27" t="s">
        <v>24</v>
      </c>
      <c r="AC27" t="s">
        <v>24</v>
      </c>
      <c r="AD27" t="s">
        <v>24</v>
      </c>
      <c r="AE27" t="s">
        <v>24</v>
      </c>
      <c r="AF27" t="s">
        <v>24</v>
      </c>
      <c r="AG27" t="s">
        <v>24</v>
      </c>
      <c r="AH27" t="s">
        <v>24</v>
      </c>
      <c r="AI27" t="s">
        <v>1755</v>
      </c>
      <c r="AJ27" t="s">
        <v>1755</v>
      </c>
      <c r="AK27" t="s">
        <v>24</v>
      </c>
      <c r="AL27">
        <v>20</v>
      </c>
      <c r="AM27">
        <v>17</v>
      </c>
      <c r="AN27">
        <v>3</v>
      </c>
      <c r="AO27">
        <v>0.85</v>
      </c>
      <c r="AP27">
        <v>1</v>
      </c>
      <c r="AQ27">
        <v>0.83333333333333337</v>
      </c>
      <c r="AR27">
        <v>0.75</v>
      </c>
      <c r="AS27" t="s">
        <v>1758</v>
      </c>
      <c r="AT27" t="s">
        <v>1759</v>
      </c>
      <c r="AU27">
        <v>189</v>
      </c>
      <c r="AV27" t="s">
        <v>1760</v>
      </c>
      <c r="AW27" t="s">
        <v>107</v>
      </c>
      <c r="AX27" t="s">
        <v>106</v>
      </c>
      <c r="AY27" t="s">
        <v>106</v>
      </c>
      <c r="AZ27" t="s">
        <v>1573</v>
      </c>
      <c r="BA27" t="s">
        <v>1573</v>
      </c>
      <c r="BB27" t="s">
        <v>1762</v>
      </c>
    </row>
    <row r="28" spans="1:54" x14ac:dyDescent="0.25">
      <c r="A28" t="s">
        <v>629</v>
      </c>
      <c r="B28" t="s">
        <v>1755</v>
      </c>
      <c r="C28" t="str">
        <f>CONCATENATE(Export_Documentation_Database[[#This Row],[Exp. '#]],"-",Export_Documentation_Database[[#This Row],[Batch '#]])</f>
        <v>2331st--</v>
      </c>
      <c r="D28" t="s">
        <v>49</v>
      </c>
      <c r="E28" t="s">
        <v>630</v>
      </c>
      <c r="F28" t="s">
        <v>632</v>
      </c>
      <c r="G28" t="s">
        <v>631</v>
      </c>
      <c r="H28" t="s">
        <v>1755</v>
      </c>
      <c r="I28" s="19" t="s">
        <v>1755</v>
      </c>
      <c r="J28" s="19" t="s">
        <v>1755</v>
      </c>
      <c r="K28" s="19">
        <v>46024</v>
      </c>
      <c r="L28" t="s">
        <v>22</v>
      </c>
      <c r="M28" t="s">
        <v>132</v>
      </c>
      <c r="N28" t="s">
        <v>133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1756</v>
      </c>
      <c r="V28" t="s">
        <v>24</v>
      </c>
      <c r="W28" t="s">
        <v>24</v>
      </c>
      <c r="X28" t="s">
        <v>1757</v>
      </c>
      <c r="Y28" t="s">
        <v>24</v>
      </c>
      <c r="Z28" t="s">
        <v>24</v>
      </c>
      <c r="AA28" t="s">
        <v>24</v>
      </c>
      <c r="AC28" t="s">
        <v>24</v>
      </c>
      <c r="AD28" t="s">
        <v>24</v>
      </c>
      <c r="AE28" t="s">
        <v>24</v>
      </c>
      <c r="AF28" t="s">
        <v>24</v>
      </c>
      <c r="AG28" t="s">
        <v>24</v>
      </c>
      <c r="AH28" t="s">
        <v>24</v>
      </c>
      <c r="AI28" t="s">
        <v>1755</v>
      </c>
      <c r="AJ28" t="s">
        <v>1755</v>
      </c>
      <c r="AK28" t="s">
        <v>24</v>
      </c>
      <c r="AL28">
        <v>20</v>
      </c>
      <c r="AM28">
        <v>17</v>
      </c>
      <c r="AN28">
        <v>3</v>
      </c>
      <c r="AO28">
        <v>0.85</v>
      </c>
      <c r="AP28">
        <v>1</v>
      </c>
      <c r="AQ28">
        <v>0.83333333333333337</v>
      </c>
      <c r="AR28">
        <v>0.75</v>
      </c>
      <c r="AS28" t="s">
        <v>1758</v>
      </c>
      <c r="AT28" t="s">
        <v>1759</v>
      </c>
      <c r="AU28">
        <v>181</v>
      </c>
      <c r="AV28" t="s">
        <v>1760</v>
      </c>
      <c r="AW28" t="s">
        <v>107</v>
      </c>
      <c r="AX28" t="s">
        <v>106</v>
      </c>
      <c r="AY28" t="s">
        <v>106</v>
      </c>
      <c r="AZ28" t="s">
        <v>1573</v>
      </c>
      <c r="BA28" t="s">
        <v>1573</v>
      </c>
      <c r="BB28" t="s">
        <v>1762</v>
      </c>
    </row>
    <row r="29" spans="1:54" x14ac:dyDescent="0.25">
      <c r="A29" t="s">
        <v>248</v>
      </c>
      <c r="B29" t="s">
        <v>1755</v>
      </c>
      <c r="C29" t="str">
        <f>CONCATENATE(Export_Documentation_Database[[#This Row],[Exp. '#]],"-",Export_Documentation_Database[[#This Row],[Batch '#]])</f>
        <v>2252nd--</v>
      </c>
      <c r="D29" t="s">
        <v>249</v>
      </c>
      <c r="E29" t="s">
        <v>125</v>
      </c>
      <c r="F29" t="s">
        <v>128</v>
      </c>
      <c r="G29" t="s">
        <v>1755</v>
      </c>
      <c r="H29" t="s">
        <v>1755</v>
      </c>
      <c r="I29" s="19" t="s">
        <v>1755</v>
      </c>
      <c r="J29" s="19" t="s">
        <v>1755</v>
      </c>
      <c r="K29" s="19">
        <v>46030</v>
      </c>
      <c r="L29" t="s">
        <v>22</v>
      </c>
      <c r="M29" t="s">
        <v>132</v>
      </c>
      <c r="N29" t="s">
        <v>133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1756</v>
      </c>
      <c r="V29" t="s">
        <v>24</v>
      </c>
      <c r="W29" t="s">
        <v>24</v>
      </c>
      <c r="X29" t="s">
        <v>1765</v>
      </c>
      <c r="Y29" t="s">
        <v>24</v>
      </c>
      <c r="Z29" t="s">
        <v>24</v>
      </c>
      <c r="AA29" t="s">
        <v>24</v>
      </c>
      <c r="AC29" t="s">
        <v>24</v>
      </c>
      <c r="AD29" t="s">
        <v>24</v>
      </c>
      <c r="AE29" t="s">
        <v>24</v>
      </c>
      <c r="AF29" t="s">
        <v>24</v>
      </c>
      <c r="AG29" t="s">
        <v>24</v>
      </c>
      <c r="AH29" t="s">
        <v>24</v>
      </c>
      <c r="AI29" t="s">
        <v>1755</v>
      </c>
      <c r="AJ29" t="s">
        <v>1755</v>
      </c>
      <c r="AK29" t="s">
        <v>24</v>
      </c>
      <c r="AL29">
        <v>20</v>
      </c>
      <c r="AM29">
        <v>17</v>
      </c>
      <c r="AN29">
        <v>3</v>
      </c>
      <c r="AO29">
        <v>0.85</v>
      </c>
      <c r="AP29">
        <v>1</v>
      </c>
      <c r="AQ29">
        <v>0.83333333333333337</v>
      </c>
      <c r="AR29">
        <v>0.75</v>
      </c>
      <c r="AS29" t="s">
        <v>1758</v>
      </c>
      <c r="AT29" t="s">
        <v>1759</v>
      </c>
      <c r="AU29">
        <v>175</v>
      </c>
      <c r="AV29" t="s">
        <v>1760</v>
      </c>
      <c r="AW29" t="s">
        <v>107</v>
      </c>
      <c r="AX29" t="s">
        <v>106</v>
      </c>
      <c r="AY29" t="s">
        <v>106</v>
      </c>
      <c r="AZ29" t="s">
        <v>1573</v>
      </c>
      <c r="BA29" t="s">
        <v>1573</v>
      </c>
      <c r="BB29" t="s">
        <v>1762</v>
      </c>
    </row>
    <row r="30" spans="1:54" x14ac:dyDescent="0.25">
      <c r="A30" t="s">
        <v>494</v>
      </c>
      <c r="B30" t="s">
        <v>1755</v>
      </c>
      <c r="C30" t="str">
        <f>CONCATENATE(Export_Documentation_Database[[#This Row],[Exp. '#]],"-",Export_Documentation_Database[[#This Row],[Batch '#]])</f>
        <v>2307th--</v>
      </c>
      <c r="D30" t="s">
        <v>495</v>
      </c>
      <c r="E30" t="s">
        <v>125</v>
      </c>
      <c r="F30" t="s">
        <v>128</v>
      </c>
      <c r="G30" t="s">
        <v>1755</v>
      </c>
      <c r="H30" t="s">
        <v>1755</v>
      </c>
      <c r="I30" s="19" t="s">
        <v>1755</v>
      </c>
      <c r="J30" s="19" t="s">
        <v>1755</v>
      </c>
      <c r="K30" s="19">
        <v>46044</v>
      </c>
      <c r="L30" t="s">
        <v>22</v>
      </c>
      <c r="M30" t="s">
        <v>277</v>
      </c>
      <c r="N30" t="s">
        <v>133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1764</v>
      </c>
      <c r="V30" t="s">
        <v>24</v>
      </c>
      <c r="W30" t="s">
        <v>24</v>
      </c>
      <c r="X30" t="s">
        <v>1757</v>
      </c>
      <c r="Y30" t="s">
        <v>24</v>
      </c>
      <c r="Z30" t="s">
        <v>24</v>
      </c>
      <c r="AA30" t="s">
        <v>24</v>
      </c>
      <c r="AC30" t="s">
        <v>24</v>
      </c>
      <c r="AD30" t="s">
        <v>24</v>
      </c>
      <c r="AE30" t="s">
        <v>24</v>
      </c>
      <c r="AF30" t="s">
        <v>24</v>
      </c>
      <c r="AG30" t="s">
        <v>24</v>
      </c>
      <c r="AH30" t="s">
        <v>24</v>
      </c>
      <c r="AI30" t="s">
        <v>24</v>
      </c>
      <c r="AJ30" t="s">
        <v>1755</v>
      </c>
      <c r="AK30" t="s">
        <v>24</v>
      </c>
      <c r="AL30">
        <v>20</v>
      </c>
      <c r="AM30">
        <v>18</v>
      </c>
      <c r="AN30">
        <v>2</v>
      </c>
      <c r="AO30">
        <v>0.9</v>
      </c>
      <c r="AP30">
        <v>1</v>
      </c>
      <c r="AQ30">
        <v>0.83333333333333337</v>
      </c>
      <c r="AR30">
        <v>0.875</v>
      </c>
      <c r="AS30" t="s">
        <v>1758</v>
      </c>
      <c r="AT30" t="s">
        <v>1759</v>
      </c>
      <c r="AU30">
        <v>161</v>
      </c>
      <c r="AV30" t="s">
        <v>1760</v>
      </c>
      <c r="AW30" t="s">
        <v>107</v>
      </c>
      <c r="AX30" t="s">
        <v>106</v>
      </c>
      <c r="AY30" t="s">
        <v>106</v>
      </c>
      <c r="AZ30" t="s">
        <v>1573</v>
      </c>
      <c r="BA30" t="s">
        <v>1573</v>
      </c>
      <c r="BB30" t="s">
        <v>1766</v>
      </c>
    </row>
    <row r="31" spans="1:54" x14ac:dyDescent="0.25">
      <c r="A31" t="s">
        <v>681</v>
      </c>
      <c r="B31" t="s">
        <v>1755</v>
      </c>
      <c r="C31" t="str">
        <f>CONCATENATE(Export_Documentation_Database[[#This Row],[Exp. '#]],"-",Export_Documentation_Database[[#This Row],[Batch '#]])</f>
        <v>2340th--</v>
      </c>
      <c r="D31" t="s">
        <v>23</v>
      </c>
      <c r="E31" t="s">
        <v>125</v>
      </c>
      <c r="F31" t="s">
        <v>128</v>
      </c>
      <c r="G31" t="s">
        <v>1755</v>
      </c>
      <c r="H31" t="s">
        <v>1755</v>
      </c>
      <c r="I31" s="19" t="s">
        <v>1755</v>
      </c>
      <c r="J31" s="19" t="s">
        <v>1755</v>
      </c>
      <c r="K31" s="19">
        <v>46050</v>
      </c>
      <c r="L31" t="s">
        <v>22</v>
      </c>
      <c r="M31" t="s">
        <v>277</v>
      </c>
      <c r="N31" t="s">
        <v>133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1756</v>
      </c>
      <c r="V31" t="s">
        <v>24</v>
      </c>
      <c r="W31" t="s">
        <v>24</v>
      </c>
      <c r="X31" t="s">
        <v>1757</v>
      </c>
      <c r="Y31" t="s">
        <v>24</v>
      </c>
      <c r="Z31" t="s">
        <v>24</v>
      </c>
      <c r="AA31" t="s">
        <v>24</v>
      </c>
      <c r="AC31" t="s">
        <v>24</v>
      </c>
      <c r="AD31" t="s">
        <v>24</v>
      </c>
      <c r="AE31" t="s">
        <v>24</v>
      </c>
      <c r="AF31" t="s">
        <v>24</v>
      </c>
      <c r="AG31" t="s">
        <v>24</v>
      </c>
      <c r="AH31" t="s">
        <v>24</v>
      </c>
      <c r="AI31" t="s">
        <v>1755</v>
      </c>
      <c r="AJ31" t="s">
        <v>1755</v>
      </c>
      <c r="AK31" t="s">
        <v>24</v>
      </c>
      <c r="AL31">
        <v>20</v>
      </c>
      <c r="AM31">
        <v>17</v>
      </c>
      <c r="AN31">
        <v>3</v>
      </c>
      <c r="AO31">
        <v>0.85</v>
      </c>
      <c r="AP31">
        <v>1</v>
      </c>
      <c r="AQ31">
        <v>0.83333333333333337</v>
      </c>
      <c r="AR31">
        <v>0.75</v>
      </c>
      <c r="AS31" t="s">
        <v>1758</v>
      </c>
      <c r="AT31" t="s">
        <v>1759</v>
      </c>
      <c r="AU31">
        <v>155</v>
      </c>
      <c r="AV31" t="s">
        <v>1760</v>
      </c>
      <c r="AW31" t="s">
        <v>107</v>
      </c>
      <c r="AX31" t="s">
        <v>106</v>
      </c>
      <c r="AY31" t="s">
        <v>106</v>
      </c>
      <c r="AZ31" t="s">
        <v>1573</v>
      </c>
      <c r="BA31" t="s">
        <v>1573</v>
      </c>
      <c r="BB31" t="s">
        <v>1762</v>
      </c>
    </row>
    <row r="32" spans="1:54" x14ac:dyDescent="0.25">
      <c r="A32" t="s">
        <v>693</v>
      </c>
      <c r="B32" t="s">
        <v>1755</v>
      </c>
      <c r="C32" t="str">
        <f>CONCATENATE(Export_Documentation_Database[[#This Row],[Exp. '#]],"-",Export_Documentation_Database[[#This Row],[Batch '#]])</f>
        <v>2342nd--</v>
      </c>
      <c r="D32" t="s">
        <v>694</v>
      </c>
      <c r="E32" t="s">
        <v>125</v>
      </c>
      <c r="F32" t="s">
        <v>128</v>
      </c>
      <c r="G32" t="s">
        <v>1755</v>
      </c>
      <c r="H32" t="s">
        <v>1755</v>
      </c>
      <c r="I32" s="19" t="s">
        <v>1755</v>
      </c>
      <c r="J32" s="19" t="s">
        <v>1755</v>
      </c>
      <c r="K32" s="19">
        <v>46050</v>
      </c>
      <c r="L32" t="s">
        <v>22</v>
      </c>
      <c r="M32" t="s">
        <v>277</v>
      </c>
      <c r="N32" t="s">
        <v>133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1764</v>
      </c>
      <c r="V32" t="s">
        <v>24</v>
      </c>
      <c r="W32" t="s">
        <v>24</v>
      </c>
      <c r="X32" t="s">
        <v>1757</v>
      </c>
      <c r="Y32" t="s">
        <v>24</v>
      </c>
      <c r="Z32" t="s">
        <v>24</v>
      </c>
      <c r="AA32" t="s">
        <v>24</v>
      </c>
      <c r="AC32" t="s">
        <v>24</v>
      </c>
      <c r="AD32" t="s">
        <v>24</v>
      </c>
      <c r="AE32" t="s">
        <v>24</v>
      </c>
      <c r="AF32" t="s">
        <v>24</v>
      </c>
      <c r="AG32" t="s">
        <v>24</v>
      </c>
      <c r="AH32" t="s">
        <v>24</v>
      </c>
      <c r="AI32" t="s">
        <v>1755</v>
      </c>
      <c r="AJ32" t="s">
        <v>1755</v>
      </c>
      <c r="AK32" t="s">
        <v>24</v>
      </c>
      <c r="AL32">
        <v>20</v>
      </c>
      <c r="AM32">
        <v>17</v>
      </c>
      <c r="AN32">
        <v>3</v>
      </c>
      <c r="AO32">
        <v>0.85</v>
      </c>
      <c r="AP32">
        <v>1</v>
      </c>
      <c r="AQ32">
        <v>0.83333333333333337</v>
      </c>
      <c r="AR32">
        <v>0.75</v>
      </c>
      <c r="AS32" t="s">
        <v>1758</v>
      </c>
      <c r="AT32" t="s">
        <v>1759</v>
      </c>
      <c r="AU32">
        <v>155</v>
      </c>
      <c r="AV32" t="s">
        <v>1760</v>
      </c>
      <c r="AW32" t="s">
        <v>107</v>
      </c>
      <c r="AX32" t="s">
        <v>106</v>
      </c>
      <c r="AY32" t="s">
        <v>106</v>
      </c>
      <c r="AZ32" t="s">
        <v>1573</v>
      </c>
      <c r="BA32" t="s">
        <v>1573</v>
      </c>
      <c r="BB32" t="s">
        <v>1762</v>
      </c>
    </row>
    <row r="33" spans="1:54" x14ac:dyDescent="0.25">
      <c r="A33" t="s">
        <v>301</v>
      </c>
      <c r="B33" t="s">
        <v>302</v>
      </c>
      <c r="C33" t="str">
        <f>CONCATENATE(Export_Documentation_Database[[#This Row],[Exp. '#]],"-",Export_Documentation_Database[[#This Row],[Batch '#]])</f>
        <v>2265th-3rd B</v>
      </c>
      <c r="D33" t="s">
        <v>44</v>
      </c>
      <c r="E33" t="s">
        <v>125</v>
      </c>
      <c r="F33" t="s">
        <v>128</v>
      </c>
      <c r="G33" t="s">
        <v>1755</v>
      </c>
      <c r="H33" t="s">
        <v>1755</v>
      </c>
      <c r="I33" s="19" t="s">
        <v>1755</v>
      </c>
      <c r="J33" s="19" t="s">
        <v>1755</v>
      </c>
      <c r="K33" s="19">
        <v>46044</v>
      </c>
      <c r="L33" t="s">
        <v>22</v>
      </c>
      <c r="M33" t="s">
        <v>277</v>
      </c>
      <c r="N33" t="s">
        <v>133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1764</v>
      </c>
      <c r="V33" t="s">
        <v>24</v>
      </c>
      <c r="W33" t="s">
        <v>24</v>
      </c>
      <c r="X33" t="s">
        <v>1757</v>
      </c>
      <c r="Y33" t="s">
        <v>24</v>
      </c>
      <c r="Z33" t="s">
        <v>24</v>
      </c>
      <c r="AA33" t="s">
        <v>24</v>
      </c>
      <c r="AC33" t="s">
        <v>24</v>
      </c>
      <c r="AD33" t="s">
        <v>24</v>
      </c>
      <c r="AE33" t="s">
        <v>24</v>
      </c>
      <c r="AF33" t="s">
        <v>24</v>
      </c>
      <c r="AG33" t="s">
        <v>24</v>
      </c>
      <c r="AH33" t="s">
        <v>24</v>
      </c>
      <c r="AI33" t="s">
        <v>1755</v>
      </c>
      <c r="AJ33" t="s">
        <v>1755</v>
      </c>
      <c r="AK33" t="s">
        <v>24</v>
      </c>
      <c r="AL33">
        <v>20</v>
      </c>
      <c r="AM33">
        <v>17</v>
      </c>
      <c r="AN33">
        <v>3</v>
      </c>
      <c r="AO33">
        <v>0.85</v>
      </c>
      <c r="AP33">
        <v>1</v>
      </c>
      <c r="AQ33">
        <v>0.83333333333333337</v>
      </c>
      <c r="AR33">
        <v>0.75</v>
      </c>
      <c r="AS33" t="s">
        <v>1758</v>
      </c>
      <c r="AT33" t="s">
        <v>1759</v>
      </c>
      <c r="AU33">
        <v>161</v>
      </c>
      <c r="AV33" t="s">
        <v>1760</v>
      </c>
      <c r="AW33" t="s">
        <v>107</v>
      </c>
      <c r="AX33" t="s">
        <v>106</v>
      </c>
      <c r="AY33" t="s">
        <v>106</v>
      </c>
      <c r="AZ33" t="s">
        <v>1573</v>
      </c>
      <c r="BA33" t="s">
        <v>1573</v>
      </c>
      <c r="BB33" t="s">
        <v>1762</v>
      </c>
    </row>
    <row r="34" spans="1:54" x14ac:dyDescent="0.25">
      <c r="A34" t="s">
        <v>640</v>
      </c>
      <c r="B34" t="s">
        <v>1755</v>
      </c>
      <c r="C34" t="str">
        <f>CONCATENATE(Export_Documentation_Database[[#This Row],[Exp. '#]],"-",Export_Documentation_Database[[#This Row],[Batch '#]])</f>
        <v>2334th--</v>
      </c>
      <c r="D34" t="s">
        <v>641</v>
      </c>
      <c r="E34" t="s">
        <v>181</v>
      </c>
      <c r="F34" t="s">
        <v>128</v>
      </c>
      <c r="G34" t="s">
        <v>1755</v>
      </c>
      <c r="H34" t="s">
        <v>1755</v>
      </c>
      <c r="I34" s="19" t="s">
        <v>1755</v>
      </c>
      <c r="J34" s="19" t="s">
        <v>1755</v>
      </c>
      <c r="K34" s="19">
        <v>46049</v>
      </c>
      <c r="L34" t="s">
        <v>22</v>
      </c>
      <c r="M34" t="s">
        <v>132</v>
      </c>
      <c r="N34" t="s">
        <v>133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1764</v>
      </c>
      <c r="V34" t="s">
        <v>24</v>
      </c>
      <c r="W34" t="s">
        <v>24</v>
      </c>
      <c r="X34" t="s">
        <v>1765</v>
      </c>
      <c r="Y34" t="s">
        <v>24</v>
      </c>
      <c r="Z34" t="s">
        <v>24</v>
      </c>
      <c r="AA34" t="s">
        <v>24</v>
      </c>
      <c r="AB34" t="s">
        <v>24</v>
      </c>
      <c r="AC34" t="s">
        <v>24</v>
      </c>
      <c r="AD34" t="s">
        <v>24</v>
      </c>
      <c r="AE34" t="s">
        <v>24</v>
      </c>
      <c r="AF34" t="s">
        <v>24</v>
      </c>
      <c r="AG34" t="s">
        <v>24</v>
      </c>
      <c r="AH34" t="s">
        <v>24</v>
      </c>
      <c r="AI34" t="s">
        <v>1755</v>
      </c>
      <c r="AJ34" t="s">
        <v>24</v>
      </c>
      <c r="AK34" t="s">
        <v>24</v>
      </c>
      <c r="AL34">
        <v>20</v>
      </c>
      <c r="AM34">
        <v>19</v>
      </c>
      <c r="AN34">
        <v>1</v>
      </c>
      <c r="AO34">
        <v>0.95</v>
      </c>
      <c r="AP34">
        <v>1</v>
      </c>
      <c r="AQ34">
        <v>1</v>
      </c>
      <c r="AR34">
        <v>0.875</v>
      </c>
      <c r="AS34" t="s">
        <v>1758</v>
      </c>
      <c r="AT34" t="s">
        <v>1759</v>
      </c>
      <c r="AU34">
        <v>156</v>
      </c>
      <c r="AV34" t="s">
        <v>1760</v>
      </c>
      <c r="AW34" t="s">
        <v>107</v>
      </c>
      <c r="AX34" t="s">
        <v>107</v>
      </c>
      <c r="AY34" t="s">
        <v>106</v>
      </c>
      <c r="AZ34" t="s">
        <v>1573</v>
      </c>
      <c r="BA34" t="s">
        <v>1573</v>
      </c>
      <c r="BB34" t="s">
        <v>1761</v>
      </c>
    </row>
    <row r="35" spans="1:54" x14ac:dyDescent="0.25">
      <c r="A35" t="s">
        <v>1209</v>
      </c>
      <c r="B35" t="s">
        <v>1210</v>
      </c>
      <c r="C35" t="str">
        <f>CONCATENATE(Export_Documentation_Database[[#This Row],[Exp. '#]],"-",Export_Documentation_Database[[#This Row],[Batch '#]])</f>
        <v>25-034 + 36-1st B</v>
      </c>
      <c r="D35" t="s">
        <v>1211</v>
      </c>
      <c r="E35" t="s">
        <v>157</v>
      </c>
      <c r="F35" t="s">
        <v>128</v>
      </c>
      <c r="H35" t="s">
        <v>1755</v>
      </c>
      <c r="I35" s="19" t="s">
        <v>1755</v>
      </c>
      <c r="J35" s="19" t="s">
        <v>1755</v>
      </c>
      <c r="K35" s="19">
        <v>46025</v>
      </c>
      <c r="L35" t="s">
        <v>22</v>
      </c>
      <c r="M35" t="s">
        <v>132</v>
      </c>
      <c r="N35" t="s">
        <v>133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1756</v>
      </c>
      <c r="V35" t="s">
        <v>24</v>
      </c>
      <c r="W35" t="s">
        <v>24</v>
      </c>
      <c r="X35" t="s">
        <v>1757</v>
      </c>
      <c r="Y35" t="s">
        <v>24</v>
      </c>
      <c r="Z35" t="s">
        <v>24</v>
      </c>
      <c r="AA35" t="s">
        <v>24</v>
      </c>
      <c r="AC35" t="s">
        <v>24</v>
      </c>
      <c r="AD35" t="s">
        <v>24</v>
      </c>
      <c r="AE35" t="s">
        <v>24</v>
      </c>
      <c r="AF35" t="s">
        <v>24</v>
      </c>
      <c r="AG35" t="s">
        <v>24</v>
      </c>
      <c r="AH35" t="s">
        <v>24</v>
      </c>
      <c r="AI35" t="s">
        <v>24</v>
      </c>
      <c r="AJ35" t="s">
        <v>1755</v>
      </c>
      <c r="AK35" t="s">
        <v>24</v>
      </c>
      <c r="AL35">
        <v>20</v>
      </c>
      <c r="AM35">
        <v>18</v>
      </c>
      <c r="AN35">
        <v>2</v>
      </c>
      <c r="AO35">
        <v>0.9</v>
      </c>
      <c r="AP35">
        <v>1</v>
      </c>
      <c r="AQ35">
        <v>0.83333333333333337</v>
      </c>
      <c r="AR35">
        <v>0.875</v>
      </c>
      <c r="AS35" t="s">
        <v>1758</v>
      </c>
      <c r="AT35" t="s">
        <v>1759</v>
      </c>
      <c r="AU35">
        <v>180</v>
      </c>
      <c r="AV35" t="s">
        <v>1760</v>
      </c>
      <c r="AW35" t="s">
        <v>107</v>
      </c>
      <c r="AX35" t="s">
        <v>106</v>
      </c>
      <c r="AY35" t="s">
        <v>106</v>
      </c>
      <c r="AZ35" t="s">
        <v>1573</v>
      </c>
      <c r="BA35" t="s">
        <v>1573</v>
      </c>
      <c r="BB35" t="s">
        <v>1766</v>
      </c>
    </row>
    <row r="36" spans="1:54" x14ac:dyDescent="0.25">
      <c r="A36" t="s">
        <v>377</v>
      </c>
      <c r="B36" t="s">
        <v>1755</v>
      </c>
      <c r="C36" t="str">
        <f>CONCATENATE(Export_Documentation_Database[[#This Row],[Exp. '#]],"-",Export_Documentation_Database[[#This Row],[Batch '#]])</f>
        <v>2283rd--</v>
      </c>
      <c r="D36" t="s">
        <v>378</v>
      </c>
      <c r="E36" t="s">
        <v>125</v>
      </c>
      <c r="F36" t="s">
        <v>128</v>
      </c>
      <c r="G36" t="s">
        <v>1755</v>
      </c>
      <c r="H36" t="s">
        <v>1755</v>
      </c>
      <c r="I36" s="19" t="s">
        <v>1755</v>
      </c>
      <c r="J36" s="19" t="s">
        <v>1755</v>
      </c>
      <c r="K36" s="19">
        <v>46044</v>
      </c>
      <c r="L36" t="s">
        <v>22</v>
      </c>
      <c r="M36" t="s">
        <v>277</v>
      </c>
      <c r="N36" t="s">
        <v>133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1756</v>
      </c>
      <c r="V36" t="s">
        <v>24</v>
      </c>
      <c r="W36" t="s">
        <v>24</v>
      </c>
      <c r="X36" t="s">
        <v>1757</v>
      </c>
      <c r="Y36" t="s">
        <v>24</v>
      </c>
      <c r="Z36" t="s">
        <v>24</v>
      </c>
      <c r="AA36" t="s">
        <v>24</v>
      </c>
      <c r="AC36" t="s">
        <v>24</v>
      </c>
      <c r="AD36" t="s">
        <v>24</v>
      </c>
      <c r="AE36" t="s">
        <v>24</v>
      </c>
      <c r="AF36" t="s">
        <v>24</v>
      </c>
      <c r="AG36" t="s">
        <v>24</v>
      </c>
      <c r="AH36" t="s">
        <v>24</v>
      </c>
      <c r="AI36" t="s">
        <v>1755</v>
      </c>
      <c r="AJ36" t="s">
        <v>1755</v>
      </c>
      <c r="AK36" t="s">
        <v>24</v>
      </c>
      <c r="AL36">
        <v>20</v>
      </c>
      <c r="AM36">
        <v>17</v>
      </c>
      <c r="AN36">
        <v>3</v>
      </c>
      <c r="AO36">
        <v>0.85</v>
      </c>
      <c r="AP36">
        <v>1</v>
      </c>
      <c r="AQ36">
        <v>0.83333333333333337</v>
      </c>
      <c r="AR36">
        <v>0.75</v>
      </c>
      <c r="AS36" t="s">
        <v>1758</v>
      </c>
      <c r="AT36" t="s">
        <v>1759</v>
      </c>
      <c r="AU36">
        <v>161</v>
      </c>
      <c r="AV36" t="s">
        <v>1760</v>
      </c>
      <c r="AW36" t="s">
        <v>107</v>
      </c>
      <c r="AX36" t="s">
        <v>106</v>
      </c>
      <c r="AY36" t="s">
        <v>106</v>
      </c>
      <c r="AZ36" t="s">
        <v>1573</v>
      </c>
      <c r="BA36" t="s">
        <v>1573</v>
      </c>
      <c r="BB36" t="s">
        <v>1762</v>
      </c>
    </row>
    <row r="37" spans="1:54" x14ac:dyDescent="0.25">
      <c r="A37" t="s">
        <v>1216</v>
      </c>
      <c r="B37" t="s">
        <v>165</v>
      </c>
      <c r="C37" t="str">
        <f>CONCATENATE(Export_Documentation_Database[[#This Row],[Exp. '#]],"-",Export_Documentation_Database[[#This Row],[Batch '#]])</f>
        <v>25-036th-2nd B</v>
      </c>
      <c r="D37" t="s">
        <v>1205</v>
      </c>
      <c r="E37" t="s">
        <v>630</v>
      </c>
      <c r="F37" t="s">
        <v>128</v>
      </c>
      <c r="G37" t="s">
        <v>631</v>
      </c>
      <c r="H37" t="s">
        <v>1755</v>
      </c>
      <c r="I37" s="19" t="s">
        <v>1755</v>
      </c>
      <c r="J37" s="19" t="s">
        <v>1755</v>
      </c>
      <c r="K37" s="19">
        <v>46040</v>
      </c>
      <c r="L37" t="s">
        <v>22</v>
      </c>
      <c r="M37" t="s">
        <v>132</v>
      </c>
      <c r="N37" t="s">
        <v>133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1756</v>
      </c>
      <c r="V37" t="s">
        <v>24</v>
      </c>
      <c r="W37" t="s">
        <v>24</v>
      </c>
      <c r="X37" t="s">
        <v>1757</v>
      </c>
      <c r="Y37" t="s">
        <v>24</v>
      </c>
      <c r="Z37" t="s">
        <v>24</v>
      </c>
      <c r="AA37" t="s">
        <v>24</v>
      </c>
      <c r="AC37" t="s">
        <v>24</v>
      </c>
      <c r="AD37" t="s">
        <v>24</v>
      </c>
      <c r="AE37" t="s">
        <v>24</v>
      </c>
      <c r="AF37" t="s">
        <v>24</v>
      </c>
      <c r="AG37" t="s">
        <v>24</v>
      </c>
      <c r="AH37" t="s">
        <v>24</v>
      </c>
      <c r="AI37" t="s">
        <v>1755</v>
      </c>
      <c r="AJ37" t="s">
        <v>1755</v>
      </c>
      <c r="AK37" t="s">
        <v>24</v>
      </c>
      <c r="AL37">
        <v>20</v>
      </c>
      <c r="AM37">
        <v>17</v>
      </c>
      <c r="AN37">
        <v>3</v>
      </c>
      <c r="AO37">
        <v>0.85</v>
      </c>
      <c r="AP37">
        <v>1</v>
      </c>
      <c r="AQ37">
        <v>0.83333333333333337</v>
      </c>
      <c r="AR37">
        <v>0.75</v>
      </c>
      <c r="AS37" t="s">
        <v>1758</v>
      </c>
      <c r="AT37" t="s">
        <v>1759</v>
      </c>
      <c r="AU37">
        <v>165</v>
      </c>
      <c r="AV37" t="s">
        <v>1760</v>
      </c>
      <c r="AW37" t="s">
        <v>107</v>
      </c>
      <c r="AX37" t="s">
        <v>106</v>
      </c>
      <c r="AY37" t="s">
        <v>106</v>
      </c>
      <c r="AZ37" t="s">
        <v>1573</v>
      </c>
      <c r="BA37" t="s">
        <v>1573</v>
      </c>
      <c r="BB37" t="s">
        <v>1762</v>
      </c>
    </row>
    <row r="38" spans="1:54" x14ac:dyDescent="0.25">
      <c r="A38" t="s">
        <v>164</v>
      </c>
      <c r="B38" t="s">
        <v>165</v>
      </c>
      <c r="C38" t="str">
        <f>CONCATENATE(Export_Documentation_Database[[#This Row],[Exp. '#]],"-",Export_Documentation_Database[[#This Row],[Batch '#]])</f>
        <v>2224th-2nd B</v>
      </c>
      <c r="D38" t="s">
        <v>166</v>
      </c>
      <c r="E38" t="s">
        <v>125</v>
      </c>
      <c r="F38" t="s">
        <v>128</v>
      </c>
      <c r="G38" t="s">
        <v>1755</v>
      </c>
      <c r="H38" t="s">
        <v>1755</v>
      </c>
      <c r="I38" s="19" t="s">
        <v>1755</v>
      </c>
      <c r="J38" s="19" t="s">
        <v>1755</v>
      </c>
      <c r="K38" s="19">
        <v>46049</v>
      </c>
      <c r="L38" t="s">
        <v>22</v>
      </c>
      <c r="M38" t="s">
        <v>132</v>
      </c>
      <c r="N38" t="s">
        <v>133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1764</v>
      </c>
      <c r="V38" t="s">
        <v>24</v>
      </c>
      <c r="W38" t="s">
        <v>24</v>
      </c>
      <c r="X38" t="s">
        <v>1765</v>
      </c>
      <c r="Y38" t="s">
        <v>24</v>
      </c>
      <c r="Z38" t="s">
        <v>24</v>
      </c>
      <c r="AA38" t="s">
        <v>24</v>
      </c>
      <c r="AC38" t="s">
        <v>24</v>
      </c>
      <c r="AD38" t="s">
        <v>24</v>
      </c>
      <c r="AE38" t="s">
        <v>24</v>
      </c>
      <c r="AF38" t="s">
        <v>24</v>
      </c>
      <c r="AG38" t="s">
        <v>24</v>
      </c>
      <c r="AH38" t="s">
        <v>24</v>
      </c>
      <c r="AI38" t="s">
        <v>1755</v>
      </c>
      <c r="AJ38" t="s">
        <v>1755</v>
      </c>
      <c r="AK38" t="s">
        <v>24</v>
      </c>
      <c r="AL38">
        <v>20</v>
      </c>
      <c r="AM38">
        <v>17</v>
      </c>
      <c r="AN38">
        <v>3</v>
      </c>
      <c r="AO38">
        <v>0.85</v>
      </c>
      <c r="AP38">
        <v>1</v>
      </c>
      <c r="AQ38">
        <v>0.83333333333333337</v>
      </c>
      <c r="AR38">
        <v>0.75</v>
      </c>
      <c r="AS38" t="s">
        <v>1758</v>
      </c>
      <c r="AT38" t="s">
        <v>1759</v>
      </c>
      <c r="AU38">
        <v>156</v>
      </c>
      <c r="AV38" t="s">
        <v>1760</v>
      </c>
      <c r="AW38" t="s">
        <v>107</v>
      </c>
      <c r="AX38" t="s">
        <v>106</v>
      </c>
      <c r="AY38" t="s">
        <v>106</v>
      </c>
      <c r="AZ38" t="s">
        <v>1573</v>
      </c>
      <c r="BA38" t="s">
        <v>1573</v>
      </c>
      <c r="BB38" t="s">
        <v>1762</v>
      </c>
    </row>
    <row r="39" spans="1:54" x14ac:dyDescent="0.25">
      <c r="A39" t="s">
        <v>409</v>
      </c>
      <c r="B39" t="s">
        <v>1755</v>
      </c>
      <c r="C39" t="str">
        <f>CONCATENATE(Export_Documentation_Database[[#This Row],[Exp. '#]],"-",Export_Documentation_Database[[#This Row],[Batch '#]])</f>
        <v>2287th--</v>
      </c>
      <c r="D39" t="s">
        <v>166</v>
      </c>
      <c r="E39" t="s">
        <v>125</v>
      </c>
      <c r="F39" t="s">
        <v>128</v>
      </c>
      <c r="G39" t="s">
        <v>1755</v>
      </c>
      <c r="H39" t="s">
        <v>1755</v>
      </c>
      <c r="I39" s="19" t="s">
        <v>1755</v>
      </c>
      <c r="J39" s="19" t="s">
        <v>1755</v>
      </c>
      <c r="K39" s="19">
        <v>46049</v>
      </c>
      <c r="L39" t="s">
        <v>22</v>
      </c>
      <c r="M39" t="s">
        <v>132</v>
      </c>
      <c r="N39" t="s">
        <v>133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1764</v>
      </c>
      <c r="V39" t="s">
        <v>24</v>
      </c>
      <c r="W39" t="s">
        <v>24</v>
      </c>
      <c r="X39" t="s">
        <v>1765</v>
      </c>
      <c r="Y39" t="s">
        <v>24</v>
      </c>
      <c r="Z39" t="s">
        <v>24</v>
      </c>
      <c r="AA39" t="s">
        <v>24</v>
      </c>
      <c r="AC39" t="s">
        <v>24</v>
      </c>
      <c r="AD39" t="s">
        <v>24</v>
      </c>
      <c r="AE39" t="s">
        <v>24</v>
      </c>
      <c r="AF39" t="s">
        <v>24</v>
      </c>
      <c r="AG39" t="s">
        <v>24</v>
      </c>
      <c r="AH39" t="s">
        <v>24</v>
      </c>
      <c r="AI39" t="s">
        <v>24</v>
      </c>
      <c r="AJ39" t="s">
        <v>1755</v>
      </c>
      <c r="AK39" t="s">
        <v>24</v>
      </c>
      <c r="AL39">
        <v>20</v>
      </c>
      <c r="AM39">
        <v>18</v>
      </c>
      <c r="AN39">
        <v>2</v>
      </c>
      <c r="AO39">
        <v>0.9</v>
      </c>
      <c r="AP39">
        <v>1</v>
      </c>
      <c r="AQ39">
        <v>0.83333333333333337</v>
      </c>
      <c r="AR39">
        <v>0.875</v>
      </c>
      <c r="AS39" t="s">
        <v>1758</v>
      </c>
      <c r="AT39" t="s">
        <v>1759</v>
      </c>
      <c r="AU39">
        <v>156</v>
      </c>
      <c r="AV39" t="s">
        <v>1760</v>
      </c>
      <c r="AW39" t="s">
        <v>107</v>
      </c>
      <c r="AX39" t="s">
        <v>106</v>
      </c>
      <c r="AY39" t="s">
        <v>106</v>
      </c>
      <c r="AZ39" t="s">
        <v>1573</v>
      </c>
      <c r="BA39" t="s">
        <v>1573</v>
      </c>
      <c r="BB39" t="s">
        <v>1766</v>
      </c>
    </row>
    <row r="40" spans="1:54" x14ac:dyDescent="0.25">
      <c r="A40" t="s">
        <v>417</v>
      </c>
      <c r="B40" t="s">
        <v>1755</v>
      </c>
      <c r="C40" t="str">
        <f>CONCATENATE(Export_Documentation_Database[[#This Row],[Exp. '#]],"-",Export_Documentation_Database[[#This Row],[Batch '#]])</f>
        <v>2290th--</v>
      </c>
      <c r="D40" t="s">
        <v>166</v>
      </c>
      <c r="E40" t="s">
        <v>125</v>
      </c>
      <c r="F40" t="s">
        <v>128</v>
      </c>
      <c r="G40" t="s">
        <v>1755</v>
      </c>
      <c r="H40" t="s">
        <v>1755</v>
      </c>
      <c r="I40" s="19" t="s">
        <v>1755</v>
      </c>
      <c r="J40" s="19" t="s">
        <v>1755</v>
      </c>
      <c r="K40" s="19">
        <v>46049</v>
      </c>
      <c r="L40" t="s">
        <v>22</v>
      </c>
      <c r="M40" t="s">
        <v>132</v>
      </c>
      <c r="N40" t="s">
        <v>133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1764</v>
      </c>
      <c r="V40" t="s">
        <v>24</v>
      </c>
      <c r="W40" t="s">
        <v>24</v>
      </c>
      <c r="X40" t="s">
        <v>1765</v>
      </c>
      <c r="Y40" t="s">
        <v>24</v>
      </c>
      <c r="Z40" t="s">
        <v>24</v>
      </c>
      <c r="AA40" t="s">
        <v>24</v>
      </c>
      <c r="AC40" t="s">
        <v>24</v>
      </c>
      <c r="AD40" t="s">
        <v>24</v>
      </c>
      <c r="AE40" t="s">
        <v>24</v>
      </c>
      <c r="AF40" t="s">
        <v>24</v>
      </c>
      <c r="AG40" t="s">
        <v>24</v>
      </c>
      <c r="AH40" t="s">
        <v>24</v>
      </c>
      <c r="AI40" t="s">
        <v>24</v>
      </c>
      <c r="AJ40" t="s">
        <v>1755</v>
      </c>
      <c r="AK40" t="s">
        <v>24</v>
      </c>
      <c r="AL40">
        <v>20</v>
      </c>
      <c r="AM40">
        <v>18</v>
      </c>
      <c r="AN40">
        <v>2</v>
      </c>
      <c r="AO40">
        <v>0.9</v>
      </c>
      <c r="AP40">
        <v>1</v>
      </c>
      <c r="AQ40">
        <v>0.83333333333333337</v>
      </c>
      <c r="AR40">
        <v>0.875</v>
      </c>
      <c r="AS40" t="s">
        <v>1758</v>
      </c>
      <c r="AT40" t="s">
        <v>1759</v>
      </c>
      <c r="AU40">
        <v>156</v>
      </c>
      <c r="AV40" t="s">
        <v>1760</v>
      </c>
      <c r="AW40" t="s">
        <v>107</v>
      </c>
      <c r="AX40" t="s">
        <v>106</v>
      </c>
      <c r="AY40" t="s">
        <v>106</v>
      </c>
      <c r="AZ40" t="s">
        <v>1573</v>
      </c>
      <c r="BA40" t="s">
        <v>1573</v>
      </c>
      <c r="BB40" t="s">
        <v>1766</v>
      </c>
    </row>
    <row r="41" spans="1:54" x14ac:dyDescent="0.25">
      <c r="A41" t="s">
        <v>447</v>
      </c>
      <c r="B41" t="s">
        <v>1755</v>
      </c>
      <c r="C41" t="str">
        <f>CONCATENATE(Export_Documentation_Database[[#This Row],[Exp. '#]],"-",Export_Documentation_Database[[#This Row],[Batch '#]])</f>
        <v>2300th--</v>
      </c>
      <c r="D41" t="s">
        <v>143</v>
      </c>
      <c r="E41" t="s">
        <v>125</v>
      </c>
      <c r="F41" t="s">
        <v>128</v>
      </c>
      <c r="G41" t="s">
        <v>1755</v>
      </c>
      <c r="H41" t="s">
        <v>1755</v>
      </c>
      <c r="I41" s="19" t="s">
        <v>1755</v>
      </c>
      <c r="J41" s="19" t="s">
        <v>1755</v>
      </c>
      <c r="K41" s="19">
        <v>46072</v>
      </c>
      <c r="L41" t="s">
        <v>26</v>
      </c>
      <c r="M41" t="s">
        <v>132</v>
      </c>
      <c r="N41" t="s">
        <v>133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1764</v>
      </c>
      <c r="V41" t="s">
        <v>24</v>
      </c>
      <c r="W41" t="s">
        <v>24</v>
      </c>
      <c r="X41" t="s">
        <v>1757</v>
      </c>
      <c r="Y41" t="s">
        <v>24</v>
      </c>
      <c r="Z41" t="s">
        <v>24</v>
      </c>
      <c r="AA41" t="s">
        <v>24</v>
      </c>
      <c r="AC41" t="s">
        <v>24</v>
      </c>
      <c r="AD41" t="s">
        <v>24</v>
      </c>
      <c r="AE41" t="s">
        <v>24</v>
      </c>
      <c r="AF41" t="s">
        <v>24</v>
      </c>
      <c r="AG41" t="s">
        <v>24</v>
      </c>
      <c r="AH41" t="s">
        <v>24</v>
      </c>
      <c r="AI41" t="s">
        <v>24</v>
      </c>
      <c r="AJ41" t="s">
        <v>1755</v>
      </c>
      <c r="AK41" t="s">
        <v>24</v>
      </c>
      <c r="AL41">
        <v>20</v>
      </c>
      <c r="AM41">
        <v>18</v>
      </c>
      <c r="AN41">
        <v>2</v>
      </c>
      <c r="AO41">
        <v>0.9</v>
      </c>
      <c r="AP41">
        <v>1</v>
      </c>
      <c r="AQ41">
        <v>0.83333333333333337</v>
      </c>
      <c r="AR41">
        <v>0.875</v>
      </c>
      <c r="AS41" t="s">
        <v>1758</v>
      </c>
      <c r="AT41" t="s">
        <v>1759</v>
      </c>
      <c r="AU41">
        <v>133</v>
      </c>
      <c r="AV41" t="s">
        <v>1760</v>
      </c>
      <c r="AW41" t="s">
        <v>107</v>
      </c>
      <c r="AX41" t="s">
        <v>106</v>
      </c>
      <c r="AY41" t="s">
        <v>106</v>
      </c>
      <c r="AZ41" t="s">
        <v>1573</v>
      </c>
      <c r="BA41" t="s">
        <v>1573</v>
      </c>
      <c r="BB41" t="s">
        <v>1766</v>
      </c>
    </row>
    <row r="42" spans="1:54" x14ac:dyDescent="0.25">
      <c r="A42" t="s">
        <v>266</v>
      </c>
      <c r="B42" t="s">
        <v>1755</v>
      </c>
      <c r="C42" t="str">
        <f>CONCATENATE(Export_Documentation_Database[[#This Row],[Exp. '#]],"-",Export_Documentation_Database[[#This Row],[Batch '#]])</f>
        <v>2255th--</v>
      </c>
      <c r="D42" t="s">
        <v>267</v>
      </c>
      <c r="E42" t="s">
        <v>125</v>
      </c>
      <c r="F42" t="s">
        <v>128</v>
      </c>
      <c r="G42" t="s">
        <v>1755</v>
      </c>
      <c r="H42" t="s">
        <v>1755</v>
      </c>
      <c r="I42" s="19" t="s">
        <v>1755</v>
      </c>
      <c r="J42" s="19" t="s">
        <v>1755</v>
      </c>
      <c r="K42" s="19">
        <v>46057</v>
      </c>
      <c r="L42" t="s">
        <v>26</v>
      </c>
      <c r="M42" t="s">
        <v>277</v>
      </c>
      <c r="N42" t="s">
        <v>133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1756</v>
      </c>
      <c r="V42" t="s">
        <v>24</v>
      </c>
      <c r="W42" t="s">
        <v>24</v>
      </c>
      <c r="X42" t="s">
        <v>1765</v>
      </c>
      <c r="Y42" t="s">
        <v>24</v>
      </c>
      <c r="Z42" t="s">
        <v>24</v>
      </c>
      <c r="AA42" t="s">
        <v>24</v>
      </c>
      <c r="AC42" t="s">
        <v>24</v>
      </c>
      <c r="AD42" t="s">
        <v>24</v>
      </c>
      <c r="AE42" t="s">
        <v>24</v>
      </c>
      <c r="AF42" t="s">
        <v>24</v>
      </c>
      <c r="AG42" t="s">
        <v>24</v>
      </c>
      <c r="AH42" t="s">
        <v>24</v>
      </c>
      <c r="AI42" t="s">
        <v>1755</v>
      </c>
      <c r="AJ42" t="s">
        <v>1755</v>
      </c>
      <c r="AK42" t="s">
        <v>24</v>
      </c>
      <c r="AL42">
        <v>20</v>
      </c>
      <c r="AM42">
        <v>17</v>
      </c>
      <c r="AN42">
        <v>3</v>
      </c>
      <c r="AO42">
        <v>0.85</v>
      </c>
      <c r="AP42">
        <v>1</v>
      </c>
      <c r="AQ42">
        <v>0.83333333333333337</v>
      </c>
      <c r="AR42">
        <v>0.75</v>
      </c>
      <c r="AS42" t="s">
        <v>1758</v>
      </c>
      <c r="AT42" t="s">
        <v>1759</v>
      </c>
      <c r="AU42">
        <v>148</v>
      </c>
      <c r="AV42" t="s">
        <v>1760</v>
      </c>
      <c r="AW42" t="s">
        <v>107</v>
      </c>
      <c r="AX42" t="s">
        <v>106</v>
      </c>
      <c r="AY42" t="s">
        <v>106</v>
      </c>
      <c r="AZ42" t="s">
        <v>1573</v>
      </c>
      <c r="BA42" t="s">
        <v>1573</v>
      </c>
      <c r="BB42" t="s">
        <v>1762</v>
      </c>
    </row>
    <row r="43" spans="1:54" x14ac:dyDescent="0.25">
      <c r="A43" t="s">
        <v>509</v>
      </c>
      <c r="B43" t="s">
        <v>1755</v>
      </c>
      <c r="C43" t="str">
        <f>CONCATENATE(Export_Documentation_Database[[#This Row],[Exp. '#]],"-",Export_Documentation_Database[[#This Row],[Batch '#]])</f>
        <v>2311st--</v>
      </c>
      <c r="D43" t="s">
        <v>510</v>
      </c>
      <c r="E43" t="s">
        <v>125</v>
      </c>
      <c r="F43" t="s">
        <v>128</v>
      </c>
      <c r="G43" t="s">
        <v>1755</v>
      </c>
      <c r="H43" t="s">
        <v>1755</v>
      </c>
      <c r="I43" s="19" t="s">
        <v>1755</v>
      </c>
      <c r="J43" s="19" t="s">
        <v>1755</v>
      </c>
      <c r="K43" s="19">
        <v>46058</v>
      </c>
      <c r="L43" t="s">
        <v>26</v>
      </c>
      <c r="M43" t="s">
        <v>132</v>
      </c>
      <c r="N43" t="s">
        <v>133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1756</v>
      </c>
      <c r="V43" t="s">
        <v>24</v>
      </c>
      <c r="W43" t="s">
        <v>24</v>
      </c>
      <c r="X43" t="s">
        <v>1765</v>
      </c>
      <c r="Y43" t="s">
        <v>24</v>
      </c>
      <c r="Z43" t="s">
        <v>24</v>
      </c>
      <c r="AA43" t="s">
        <v>24</v>
      </c>
      <c r="AC43" t="s">
        <v>24</v>
      </c>
      <c r="AD43" t="s">
        <v>24</v>
      </c>
      <c r="AE43" t="s">
        <v>24</v>
      </c>
      <c r="AF43" t="s">
        <v>24</v>
      </c>
      <c r="AG43" t="s">
        <v>24</v>
      </c>
      <c r="AH43" t="s">
        <v>24</v>
      </c>
      <c r="AI43" t="s">
        <v>24</v>
      </c>
      <c r="AJ43" t="s">
        <v>1755</v>
      </c>
      <c r="AK43" t="s">
        <v>24</v>
      </c>
      <c r="AL43">
        <v>20</v>
      </c>
      <c r="AM43">
        <v>18</v>
      </c>
      <c r="AN43">
        <v>2</v>
      </c>
      <c r="AO43">
        <v>0.9</v>
      </c>
      <c r="AP43">
        <v>1</v>
      </c>
      <c r="AQ43">
        <v>0.83333333333333337</v>
      </c>
      <c r="AR43">
        <v>0.875</v>
      </c>
      <c r="AS43" t="s">
        <v>1758</v>
      </c>
      <c r="AT43" t="s">
        <v>1759</v>
      </c>
      <c r="AU43">
        <v>147</v>
      </c>
      <c r="AV43" t="s">
        <v>1760</v>
      </c>
      <c r="AW43" t="s">
        <v>107</v>
      </c>
      <c r="AX43" t="s">
        <v>106</v>
      </c>
      <c r="AY43" t="s">
        <v>106</v>
      </c>
      <c r="AZ43" t="s">
        <v>1573</v>
      </c>
      <c r="BA43" t="s">
        <v>1573</v>
      </c>
      <c r="BB43" t="s">
        <v>1766</v>
      </c>
    </row>
    <row r="44" spans="1:54" x14ac:dyDescent="0.25">
      <c r="A44" t="s">
        <v>663</v>
      </c>
      <c r="B44" t="s">
        <v>1755</v>
      </c>
      <c r="C44" t="str">
        <f>CONCATENATE(Export_Documentation_Database[[#This Row],[Exp. '#]],"-",Export_Documentation_Database[[#This Row],[Batch '#]])</f>
        <v>2338th--</v>
      </c>
      <c r="D44" t="s">
        <v>664</v>
      </c>
      <c r="E44" t="s">
        <v>125</v>
      </c>
      <c r="F44" t="s">
        <v>128</v>
      </c>
      <c r="G44" t="s">
        <v>1755</v>
      </c>
      <c r="H44" t="s">
        <v>1755</v>
      </c>
      <c r="I44" s="19" t="s">
        <v>1755</v>
      </c>
      <c r="J44" s="19" t="s">
        <v>1755</v>
      </c>
      <c r="K44" s="19">
        <v>46065</v>
      </c>
      <c r="L44" t="s">
        <v>26</v>
      </c>
      <c r="M44" t="s">
        <v>277</v>
      </c>
      <c r="N44" t="s">
        <v>133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1764</v>
      </c>
      <c r="V44" t="s">
        <v>24</v>
      </c>
      <c r="W44" t="s">
        <v>24</v>
      </c>
      <c r="X44" t="s">
        <v>1765</v>
      </c>
      <c r="Y44" t="s">
        <v>24</v>
      </c>
      <c r="Z44" t="s">
        <v>24</v>
      </c>
      <c r="AA44" t="s">
        <v>24</v>
      </c>
      <c r="AC44" t="s">
        <v>24</v>
      </c>
      <c r="AD44" t="s">
        <v>24</v>
      </c>
      <c r="AE44" t="s">
        <v>24</v>
      </c>
      <c r="AF44" t="s">
        <v>24</v>
      </c>
      <c r="AG44" t="s">
        <v>24</v>
      </c>
      <c r="AH44" t="s">
        <v>24</v>
      </c>
      <c r="AI44" t="s">
        <v>24</v>
      </c>
      <c r="AJ44" t="s">
        <v>1755</v>
      </c>
      <c r="AK44" t="s">
        <v>24</v>
      </c>
      <c r="AL44">
        <v>20</v>
      </c>
      <c r="AM44">
        <v>18</v>
      </c>
      <c r="AN44">
        <v>2</v>
      </c>
      <c r="AO44">
        <v>0.9</v>
      </c>
      <c r="AP44">
        <v>1</v>
      </c>
      <c r="AQ44">
        <v>0.83333333333333337</v>
      </c>
      <c r="AR44">
        <v>0.875</v>
      </c>
      <c r="AS44" t="s">
        <v>1758</v>
      </c>
      <c r="AT44" t="s">
        <v>1759</v>
      </c>
      <c r="AU44">
        <v>140</v>
      </c>
      <c r="AV44" t="s">
        <v>1760</v>
      </c>
      <c r="AW44" t="s">
        <v>107</v>
      </c>
      <c r="AX44" t="s">
        <v>106</v>
      </c>
      <c r="AY44" t="s">
        <v>106</v>
      </c>
      <c r="AZ44" t="s">
        <v>1573</v>
      </c>
      <c r="BA44" t="s">
        <v>1573</v>
      </c>
      <c r="BB44" t="s">
        <v>1766</v>
      </c>
    </row>
    <row r="45" spans="1:54" x14ac:dyDescent="0.25">
      <c r="A45" t="s">
        <v>646</v>
      </c>
      <c r="B45" t="s">
        <v>1755</v>
      </c>
      <c r="C45" t="str">
        <f>CONCATENATE(Export_Documentation_Database[[#This Row],[Exp. '#]],"-",Export_Documentation_Database[[#This Row],[Batch '#]])</f>
        <v>2335th--</v>
      </c>
      <c r="D45" t="s">
        <v>267</v>
      </c>
      <c r="E45" t="s">
        <v>125</v>
      </c>
      <c r="F45" t="s">
        <v>128</v>
      </c>
      <c r="G45" t="s">
        <v>1755</v>
      </c>
      <c r="H45" t="s">
        <v>1755</v>
      </c>
      <c r="I45" s="19" t="s">
        <v>1755</v>
      </c>
      <c r="J45" s="19" t="s">
        <v>1755</v>
      </c>
      <c r="K45" s="19">
        <v>46076</v>
      </c>
      <c r="L45" t="s">
        <v>26</v>
      </c>
      <c r="M45" t="s">
        <v>277</v>
      </c>
      <c r="N45" t="s">
        <v>133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1764</v>
      </c>
      <c r="V45" t="s">
        <v>24</v>
      </c>
      <c r="W45" t="s">
        <v>24</v>
      </c>
      <c r="X45" t="s">
        <v>1757</v>
      </c>
      <c r="Y45" t="s">
        <v>24</v>
      </c>
      <c r="Z45" t="s">
        <v>24</v>
      </c>
      <c r="AA45" t="s">
        <v>24</v>
      </c>
      <c r="AC45" t="s">
        <v>24</v>
      </c>
      <c r="AD45" t="s">
        <v>24</v>
      </c>
      <c r="AE45" t="s">
        <v>24</v>
      </c>
      <c r="AF45" t="s">
        <v>24</v>
      </c>
      <c r="AG45" t="s">
        <v>24</v>
      </c>
      <c r="AH45" t="s">
        <v>24</v>
      </c>
      <c r="AI45" t="s">
        <v>24</v>
      </c>
      <c r="AJ45" t="s">
        <v>1755</v>
      </c>
      <c r="AK45" t="s">
        <v>24</v>
      </c>
      <c r="AL45">
        <v>20</v>
      </c>
      <c r="AM45">
        <v>18</v>
      </c>
      <c r="AN45">
        <v>2</v>
      </c>
      <c r="AO45">
        <v>0.9</v>
      </c>
      <c r="AP45">
        <v>1</v>
      </c>
      <c r="AQ45">
        <v>0.83333333333333337</v>
      </c>
      <c r="AR45">
        <v>0.875</v>
      </c>
      <c r="AS45" t="s">
        <v>1758</v>
      </c>
      <c r="AT45" t="s">
        <v>1759</v>
      </c>
      <c r="AU45">
        <v>129</v>
      </c>
      <c r="AV45" t="s">
        <v>1760</v>
      </c>
      <c r="AW45" t="s">
        <v>107</v>
      </c>
      <c r="AX45" t="s">
        <v>106</v>
      </c>
      <c r="AY45" t="s">
        <v>106</v>
      </c>
      <c r="AZ45" t="s">
        <v>1573</v>
      </c>
      <c r="BA45" t="s">
        <v>1573</v>
      </c>
      <c r="BB45" t="s">
        <v>1766</v>
      </c>
    </row>
    <row r="46" spans="1:54" x14ac:dyDescent="0.25">
      <c r="A46" t="s">
        <v>354</v>
      </c>
      <c r="B46" t="s">
        <v>1767</v>
      </c>
      <c r="C46" t="str">
        <f>CONCATENATE(Export_Documentation_Database[[#This Row],[Exp. '#]],"-",Export_Documentation_Database[[#This Row],[Batch '#]])</f>
        <v>2278th-5th B</v>
      </c>
      <c r="D46" t="s">
        <v>143</v>
      </c>
      <c r="E46" t="s">
        <v>125</v>
      </c>
      <c r="F46" t="s">
        <v>128</v>
      </c>
      <c r="G46" t="s">
        <v>1755</v>
      </c>
      <c r="H46" t="s">
        <v>1755</v>
      </c>
      <c r="I46" s="19" t="s">
        <v>1755</v>
      </c>
      <c r="J46" s="19" t="s">
        <v>1755</v>
      </c>
      <c r="K46" s="19">
        <v>46057</v>
      </c>
      <c r="L46" t="s">
        <v>26</v>
      </c>
      <c r="M46" t="s">
        <v>132</v>
      </c>
      <c r="N46" t="s">
        <v>133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1756</v>
      </c>
      <c r="V46" t="s">
        <v>24</v>
      </c>
      <c r="W46" t="s">
        <v>24</v>
      </c>
      <c r="X46" t="s">
        <v>1757</v>
      </c>
      <c r="Y46" t="s">
        <v>24</v>
      </c>
      <c r="Z46" t="s">
        <v>24</v>
      </c>
      <c r="AA46" t="s">
        <v>24</v>
      </c>
      <c r="AC46" t="s">
        <v>28</v>
      </c>
      <c r="AD46" t="s">
        <v>28</v>
      </c>
      <c r="AE46" t="s">
        <v>24</v>
      </c>
      <c r="AF46" t="s">
        <v>24</v>
      </c>
      <c r="AG46" t="s">
        <v>24</v>
      </c>
      <c r="AH46" t="s">
        <v>24</v>
      </c>
      <c r="AI46" t="s">
        <v>1755</v>
      </c>
      <c r="AJ46" t="s">
        <v>1755</v>
      </c>
      <c r="AK46" t="s">
        <v>28</v>
      </c>
      <c r="AL46">
        <v>20</v>
      </c>
      <c r="AM46">
        <v>15</v>
      </c>
      <c r="AN46">
        <v>5</v>
      </c>
      <c r="AO46">
        <v>0.75</v>
      </c>
      <c r="AP46">
        <v>1</v>
      </c>
      <c r="AQ46">
        <v>0.83333333333333337</v>
      </c>
      <c r="AR46">
        <v>0.5</v>
      </c>
      <c r="AS46" t="s">
        <v>1758</v>
      </c>
      <c r="AT46" t="s">
        <v>1759</v>
      </c>
      <c r="AU46">
        <v>148</v>
      </c>
      <c r="AV46" t="s">
        <v>1760</v>
      </c>
      <c r="AW46" t="s">
        <v>107</v>
      </c>
      <c r="AX46" t="s">
        <v>106</v>
      </c>
      <c r="AY46" t="s">
        <v>106</v>
      </c>
      <c r="AZ46" t="s">
        <v>1573</v>
      </c>
      <c r="BA46" t="s">
        <v>1573</v>
      </c>
      <c r="BB46" t="s">
        <v>1762</v>
      </c>
    </row>
    <row r="47" spans="1:54" x14ac:dyDescent="0.25">
      <c r="A47" t="s">
        <v>354</v>
      </c>
      <c r="B47" t="s">
        <v>1768</v>
      </c>
      <c r="C47" t="str">
        <f>CONCATENATE(Export_Documentation_Database[[#This Row],[Exp. '#]],"-",Export_Documentation_Database[[#This Row],[Batch '#]])</f>
        <v>2278th-6th B</v>
      </c>
      <c r="D47" t="s">
        <v>143</v>
      </c>
      <c r="E47" t="s">
        <v>125</v>
      </c>
      <c r="F47" t="s">
        <v>128</v>
      </c>
      <c r="G47" t="s">
        <v>1755</v>
      </c>
      <c r="H47" t="s">
        <v>1755</v>
      </c>
      <c r="I47" s="19" t="s">
        <v>1755</v>
      </c>
      <c r="J47" s="19" t="s">
        <v>1755</v>
      </c>
      <c r="K47" s="19">
        <v>46072</v>
      </c>
      <c r="L47" t="s">
        <v>26</v>
      </c>
      <c r="M47" t="s">
        <v>132</v>
      </c>
      <c r="N47" t="s">
        <v>133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1756</v>
      </c>
      <c r="V47" t="s">
        <v>24</v>
      </c>
      <c r="W47" t="s">
        <v>24</v>
      </c>
      <c r="X47" t="s">
        <v>1757</v>
      </c>
      <c r="Y47" t="s">
        <v>24</v>
      </c>
      <c r="Z47" t="s">
        <v>24</v>
      </c>
      <c r="AA47" t="s">
        <v>24</v>
      </c>
      <c r="AC47" t="s">
        <v>28</v>
      </c>
      <c r="AD47" t="s">
        <v>28</v>
      </c>
      <c r="AE47" t="s">
        <v>24</v>
      </c>
      <c r="AF47" t="s">
        <v>24</v>
      </c>
      <c r="AG47" t="s">
        <v>24</v>
      </c>
      <c r="AH47" t="s">
        <v>24</v>
      </c>
      <c r="AI47" t="s">
        <v>1755</v>
      </c>
      <c r="AJ47" t="s">
        <v>1755</v>
      </c>
      <c r="AK47" t="s">
        <v>28</v>
      </c>
      <c r="AL47">
        <v>20</v>
      </c>
      <c r="AM47">
        <v>15</v>
      </c>
      <c r="AN47">
        <v>5</v>
      </c>
      <c r="AO47">
        <v>0.75</v>
      </c>
      <c r="AP47">
        <v>1</v>
      </c>
      <c r="AQ47">
        <v>0.83333333333333337</v>
      </c>
      <c r="AR47">
        <v>0.5</v>
      </c>
      <c r="AS47" t="s">
        <v>1758</v>
      </c>
      <c r="AT47" t="s">
        <v>1759</v>
      </c>
      <c r="AU47">
        <v>133</v>
      </c>
      <c r="AV47" t="s">
        <v>1760</v>
      </c>
      <c r="AW47" t="s">
        <v>107</v>
      </c>
      <c r="AX47" t="s">
        <v>106</v>
      </c>
      <c r="AY47" t="s">
        <v>106</v>
      </c>
      <c r="AZ47" t="s">
        <v>1573</v>
      </c>
      <c r="BA47" t="s">
        <v>1573</v>
      </c>
      <c r="BB47" t="s">
        <v>1762</v>
      </c>
    </row>
    <row r="48" spans="1:54" x14ac:dyDescent="0.25">
      <c r="A48" t="s">
        <v>498</v>
      </c>
      <c r="B48" t="s">
        <v>1755</v>
      </c>
      <c r="C48" t="str">
        <f>CONCATENATE(Export_Documentation_Database[[#This Row],[Exp. '#]],"-",Export_Documentation_Database[[#This Row],[Batch '#]])</f>
        <v>2308th--</v>
      </c>
      <c r="D48" t="s">
        <v>499</v>
      </c>
      <c r="E48" t="s">
        <v>181</v>
      </c>
      <c r="F48" t="s">
        <v>128</v>
      </c>
      <c r="G48" t="s">
        <v>1755</v>
      </c>
      <c r="H48" t="s">
        <v>1755</v>
      </c>
      <c r="I48" s="19" t="s">
        <v>1755</v>
      </c>
      <c r="J48" s="19" t="s">
        <v>1755</v>
      </c>
      <c r="K48" s="19">
        <v>46063</v>
      </c>
      <c r="L48" t="s">
        <v>26</v>
      </c>
      <c r="M48" t="s">
        <v>132</v>
      </c>
      <c r="N48" t="s">
        <v>133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1764</v>
      </c>
      <c r="V48" t="s">
        <v>24</v>
      </c>
      <c r="W48" t="s">
        <v>24</v>
      </c>
      <c r="X48" t="s">
        <v>1757</v>
      </c>
      <c r="Y48" t="s">
        <v>24</v>
      </c>
      <c r="Z48" t="s">
        <v>24</v>
      </c>
      <c r="AA48" t="s">
        <v>24</v>
      </c>
      <c r="AB48" t="s">
        <v>24</v>
      </c>
      <c r="AC48" t="s">
        <v>24</v>
      </c>
      <c r="AD48" t="s">
        <v>24</v>
      </c>
      <c r="AE48" t="s">
        <v>24</v>
      </c>
      <c r="AF48" t="s">
        <v>24</v>
      </c>
      <c r="AG48" t="s">
        <v>24</v>
      </c>
      <c r="AH48" t="s">
        <v>24</v>
      </c>
      <c r="AI48" t="s">
        <v>1755</v>
      </c>
      <c r="AJ48" t="s">
        <v>24</v>
      </c>
      <c r="AK48" t="s">
        <v>24</v>
      </c>
      <c r="AL48">
        <v>20</v>
      </c>
      <c r="AM48">
        <v>19</v>
      </c>
      <c r="AN48">
        <v>1</v>
      </c>
      <c r="AO48">
        <v>0.95</v>
      </c>
      <c r="AP48">
        <v>1</v>
      </c>
      <c r="AQ48">
        <v>1</v>
      </c>
      <c r="AR48">
        <v>0.875</v>
      </c>
      <c r="AS48" t="s">
        <v>1758</v>
      </c>
      <c r="AT48" t="s">
        <v>1759</v>
      </c>
      <c r="AU48">
        <v>142</v>
      </c>
      <c r="AV48" t="s">
        <v>1760</v>
      </c>
      <c r="AW48" t="s">
        <v>107</v>
      </c>
      <c r="AX48" t="s">
        <v>107</v>
      </c>
      <c r="AY48" t="s">
        <v>106</v>
      </c>
      <c r="AZ48" t="s">
        <v>1573</v>
      </c>
      <c r="BA48" t="s">
        <v>1573</v>
      </c>
      <c r="BB48" t="s">
        <v>1761</v>
      </c>
    </row>
    <row r="49" spans="1:54" x14ac:dyDescent="0.25">
      <c r="A49" t="s">
        <v>481</v>
      </c>
      <c r="B49" t="s">
        <v>1755</v>
      </c>
      <c r="C49" t="str">
        <f>CONCATENATE(Export_Documentation_Database[[#This Row],[Exp. '#]],"-",Export_Documentation_Database[[#This Row],[Batch '#]])</f>
        <v>2305th--</v>
      </c>
      <c r="D49" t="s">
        <v>206</v>
      </c>
      <c r="E49" t="s">
        <v>181</v>
      </c>
      <c r="F49" t="s">
        <v>128</v>
      </c>
      <c r="G49" t="s">
        <v>1755</v>
      </c>
      <c r="H49" t="s">
        <v>1755</v>
      </c>
      <c r="I49" s="19" t="s">
        <v>1755</v>
      </c>
      <c r="J49" s="19" t="s">
        <v>1755</v>
      </c>
      <c r="K49" s="19">
        <v>46061</v>
      </c>
      <c r="L49" t="s">
        <v>26</v>
      </c>
      <c r="M49" t="s">
        <v>132</v>
      </c>
      <c r="N49" t="s">
        <v>133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1764</v>
      </c>
      <c r="V49" t="s">
        <v>24</v>
      </c>
      <c r="W49" t="s">
        <v>24</v>
      </c>
      <c r="X49" t="s">
        <v>1765</v>
      </c>
      <c r="Y49" t="s">
        <v>24</v>
      </c>
      <c r="Z49" t="s">
        <v>24</v>
      </c>
      <c r="AA49" t="s">
        <v>24</v>
      </c>
      <c r="AB49" t="s">
        <v>24</v>
      </c>
      <c r="AC49" t="s">
        <v>24</v>
      </c>
      <c r="AD49" t="s">
        <v>24</v>
      </c>
      <c r="AE49" t="s">
        <v>24</v>
      </c>
      <c r="AF49" t="s">
        <v>24</v>
      </c>
      <c r="AG49" t="s">
        <v>24</v>
      </c>
      <c r="AH49" t="s">
        <v>24</v>
      </c>
      <c r="AI49" t="s">
        <v>1755</v>
      </c>
      <c r="AJ49" t="s">
        <v>24</v>
      </c>
      <c r="AK49" t="s">
        <v>24</v>
      </c>
      <c r="AL49">
        <v>20</v>
      </c>
      <c r="AM49">
        <v>19</v>
      </c>
      <c r="AN49">
        <v>1</v>
      </c>
      <c r="AO49">
        <v>0.95</v>
      </c>
      <c r="AP49">
        <v>1</v>
      </c>
      <c r="AQ49">
        <v>1</v>
      </c>
      <c r="AR49">
        <v>0.875</v>
      </c>
      <c r="AS49" t="s">
        <v>1758</v>
      </c>
      <c r="AT49" t="s">
        <v>1759</v>
      </c>
      <c r="AU49">
        <v>144</v>
      </c>
      <c r="AV49" t="s">
        <v>1760</v>
      </c>
      <c r="AW49" t="s">
        <v>107</v>
      </c>
      <c r="AX49" t="s">
        <v>107</v>
      </c>
      <c r="AY49" t="s">
        <v>106</v>
      </c>
      <c r="AZ49" t="s">
        <v>1573</v>
      </c>
      <c r="BA49" t="s">
        <v>1573</v>
      </c>
      <c r="BB49" t="s">
        <v>1761</v>
      </c>
    </row>
    <row r="50" spans="1:54" x14ac:dyDescent="0.25">
      <c r="A50" t="s">
        <v>205</v>
      </c>
      <c r="B50" t="s">
        <v>1755</v>
      </c>
      <c r="C50" t="str">
        <f>CONCATENATE(Export_Documentation_Database[[#This Row],[Exp. '#]],"-",Export_Documentation_Database[[#This Row],[Batch '#]])</f>
        <v>2242nd--</v>
      </c>
      <c r="D50" t="s">
        <v>206</v>
      </c>
      <c r="E50" t="s">
        <v>181</v>
      </c>
      <c r="F50" t="s">
        <v>128</v>
      </c>
      <c r="G50" t="s">
        <v>1755</v>
      </c>
      <c r="H50" t="s">
        <v>1755</v>
      </c>
      <c r="I50" s="19" t="s">
        <v>1755</v>
      </c>
      <c r="J50" s="19" t="s">
        <v>1755</v>
      </c>
      <c r="K50" s="19">
        <v>46061</v>
      </c>
      <c r="L50" t="s">
        <v>26</v>
      </c>
      <c r="M50" t="s">
        <v>132</v>
      </c>
      <c r="N50" t="s">
        <v>133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1756</v>
      </c>
      <c r="V50" t="s">
        <v>24</v>
      </c>
      <c r="W50" t="s">
        <v>24</v>
      </c>
      <c r="X50" t="s">
        <v>1765</v>
      </c>
      <c r="Y50" t="s">
        <v>24</v>
      </c>
      <c r="Z50" t="s">
        <v>24</v>
      </c>
      <c r="AA50" t="s">
        <v>24</v>
      </c>
      <c r="AB50" t="s">
        <v>24</v>
      </c>
      <c r="AC50" t="s">
        <v>24</v>
      </c>
      <c r="AD50" t="s">
        <v>24</v>
      </c>
      <c r="AE50" t="s">
        <v>24</v>
      </c>
      <c r="AF50" t="s">
        <v>24</v>
      </c>
      <c r="AG50" t="s">
        <v>24</v>
      </c>
      <c r="AH50" t="s">
        <v>24</v>
      </c>
      <c r="AI50" t="s">
        <v>24</v>
      </c>
      <c r="AJ50" t="s">
        <v>24</v>
      </c>
      <c r="AK50" t="s">
        <v>24</v>
      </c>
      <c r="AL50">
        <v>20</v>
      </c>
      <c r="AM50">
        <v>20</v>
      </c>
      <c r="AN50">
        <v>0</v>
      </c>
      <c r="AO50">
        <v>1</v>
      </c>
      <c r="AP50">
        <v>1</v>
      </c>
      <c r="AQ50">
        <v>1</v>
      </c>
      <c r="AR50">
        <v>1</v>
      </c>
      <c r="AS50" t="s">
        <v>1769</v>
      </c>
      <c r="AT50" t="s">
        <v>1770</v>
      </c>
      <c r="AU50">
        <v>0</v>
      </c>
      <c r="AV50" t="s">
        <v>1771</v>
      </c>
      <c r="AW50" t="s">
        <v>107</v>
      </c>
      <c r="AX50" t="s">
        <v>107</v>
      </c>
      <c r="AY50" t="s">
        <v>107</v>
      </c>
      <c r="AZ50" t="s">
        <v>1573</v>
      </c>
      <c r="BA50" t="s">
        <v>1573</v>
      </c>
      <c r="BB50" t="s">
        <v>1573</v>
      </c>
    </row>
    <row r="51" spans="1:54" x14ac:dyDescent="0.25">
      <c r="A51" t="s">
        <v>585</v>
      </c>
      <c r="B51" t="s">
        <v>1755</v>
      </c>
      <c r="C51" t="str">
        <f>CONCATENATE(Export_Documentation_Database[[#This Row],[Exp. '#]],"-",Export_Documentation_Database[[#This Row],[Batch '#]])</f>
        <v>2324th--</v>
      </c>
      <c r="D51" t="s">
        <v>206</v>
      </c>
      <c r="E51" t="s">
        <v>181</v>
      </c>
      <c r="F51" t="s">
        <v>128</v>
      </c>
      <c r="G51" t="s">
        <v>1755</v>
      </c>
      <c r="H51" t="s">
        <v>1755</v>
      </c>
      <c r="I51" s="19" t="s">
        <v>1755</v>
      </c>
      <c r="J51" s="19" t="s">
        <v>1755</v>
      </c>
      <c r="K51" s="19">
        <v>46061</v>
      </c>
      <c r="L51" t="s">
        <v>26</v>
      </c>
      <c r="M51" t="s">
        <v>132</v>
      </c>
      <c r="N51" t="s">
        <v>133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1764</v>
      </c>
      <c r="V51" t="s">
        <v>24</v>
      </c>
      <c r="W51" t="s">
        <v>24</v>
      </c>
      <c r="X51" t="s">
        <v>1765</v>
      </c>
      <c r="Y51" t="s">
        <v>24</v>
      </c>
      <c r="Z51" t="s">
        <v>24</v>
      </c>
      <c r="AA51" t="s">
        <v>24</v>
      </c>
      <c r="AB51" t="s">
        <v>24</v>
      </c>
      <c r="AC51" t="s">
        <v>24</v>
      </c>
      <c r="AD51" t="s">
        <v>24</v>
      </c>
      <c r="AE51" t="s">
        <v>24</v>
      </c>
      <c r="AF51" t="s">
        <v>24</v>
      </c>
      <c r="AG51" t="s">
        <v>24</v>
      </c>
      <c r="AH51" t="s">
        <v>24</v>
      </c>
      <c r="AI51" t="s">
        <v>24</v>
      </c>
      <c r="AJ51" t="s">
        <v>24</v>
      </c>
      <c r="AK51" t="s">
        <v>24</v>
      </c>
      <c r="AL51">
        <v>20</v>
      </c>
      <c r="AM51">
        <v>20</v>
      </c>
      <c r="AN51">
        <v>0</v>
      </c>
      <c r="AO51">
        <v>1</v>
      </c>
      <c r="AP51">
        <v>1</v>
      </c>
      <c r="AQ51">
        <v>1</v>
      </c>
      <c r="AR51">
        <v>1</v>
      </c>
      <c r="AS51" t="s">
        <v>1769</v>
      </c>
      <c r="AT51" t="s">
        <v>1770</v>
      </c>
      <c r="AU51">
        <v>0</v>
      </c>
      <c r="AV51" t="s">
        <v>1771</v>
      </c>
      <c r="AW51" t="s">
        <v>107</v>
      </c>
      <c r="AX51" t="s">
        <v>107</v>
      </c>
      <c r="AY51" t="s">
        <v>107</v>
      </c>
      <c r="AZ51" t="s">
        <v>1573</v>
      </c>
      <c r="BA51" t="s">
        <v>1573</v>
      </c>
      <c r="BB51" t="s">
        <v>1573</v>
      </c>
    </row>
    <row r="52" spans="1:54" x14ac:dyDescent="0.25">
      <c r="A52" t="s">
        <v>310</v>
      </c>
      <c r="B52" t="s">
        <v>1755</v>
      </c>
      <c r="C52" t="str">
        <f>CONCATENATE(Export_Documentation_Database[[#This Row],[Exp. '#]],"-",Export_Documentation_Database[[#This Row],[Batch '#]])</f>
        <v>2266th--</v>
      </c>
      <c r="D52" t="s">
        <v>311</v>
      </c>
      <c r="E52" t="s">
        <v>125</v>
      </c>
      <c r="F52" t="s">
        <v>128</v>
      </c>
      <c r="G52" t="s">
        <v>189</v>
      </c>
      <c r="H52" t="s">
        <v>1755</v>
      </c>
      <c r="I52" s="19" t="s">
        <v>1755</v>
      </c>
      <c r="J52" s="19" t="s">
        <v>1755</v>
      </c>
      <c r="K52" s="19">
        <v>46063</v>
      </c>
      <c r="L52" t="s">
        <v>26</v>
      </c>
      <c r="M52" t="s">
        <v>132</v>
      </c>
      <c r="N52" t="s">
        <v>133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1764</v>
      </c>
      <c r="V52" t="s">
        <v>24</v>
      </c>
      <c r="W52" t="s">
        <v>24</v>
      </c>
      <c r="X52" t="s">
        <v>1757</v>
      </c>
      <c r="Y52" t="s">
        <v>24</v>
      </c>
      <c r="Z52" t="s">
        <v>24</v>
      </c>
      <c r="AA52" t="s">
        <v>24</v>
      </c>
      <c r="AC52" t="s">
        <v>24</v>
      </c>
      <c r="AD52" t="s">
        <v>24</v>
      </c>
      <c r="AE52" t="s">
        <v>24</v>
      </c>
      <c r="AF52" t="s">
        <v>24</v>
      </c>
      <c r="AG52" t="s">
        <v>24</v>
      </c>
      <c r="AH52" t="s">
        <v>24</v>
      </c>
      <c r="AI52" t="s">
        <v>24</v>
      </c>
      <c r="AJ52" t="s">
        <v>1755</v>
      </c>
      <c r="AK52" t="s">
        <v>24</v>
      </c>
      <c r="AL52">
        <v>20</v>
      </c>
      <c r="AM52">
        <v>18</v>
      </c>
      <c r="AN52">
        <v>2</v>
      </c>
      <c r="AO52">
        <v>0.9</v>
      </c>
      <c r="AP52">
        <v>1</v>
      </c>
      <c r="AQ52">
        <v>0.83333333333333337</v>
      </c>
      <c r="AR52">
        <v>0.875</v>
      </c>
      <c r="AS52" t="s">
        <v>1758</v>
      </c>
      <c r="AT52" t="s">
        <v>1759</v>
      </c>
      <c r="AU52">
        <v>142</v>
      </c>
      <c r="AV52" t="s">
        <v>1760</v>
      </c>
      <c r="AW52" t="s">
        <v>107</v>
      </c>
      <c r="AX52" t="s">
        <v>106</v>
      </c>
      <c r="AY52" t="s">
        <v>106</v>
      </c>
      <c r="AZ52" t="s">
        <v>1573</v>
      </c>
      <c r="BA52" t="s">
        <v>1573</v>
      </c>
      <c r="BB52" t="s">
        <v>1766</v>
      </c>
    </row>
    <row r="53" spans="1:54" x14ac:dyDescent="0.25">
      <c r="A53" t="s">
        <v>717</v>
      </c>
      <c r="B53" t="s">
        <v>1755</v>
      </c>
      <c r="C53" t="str">
        <f>CONCATENATE(Export_Documentation_Database[[#This Row],[Exp. '#]],"-",Export_Documentation_Database[[#This Row],[Batch '#]])</f>
        <v>2350th--</v>
      </c>
      <c r="D53" t="s">
        <v>23</v>
      </c>
      <c r="E53" t="s">
        <v>710</v>
      </c>
      <c r="F53" t="s">
        <v>128</v>
      </c>
      <c r="G53" t="s">
        <v>631</v>
      </c>
      <c r="H53" t="s">
        <v>1755</v>
      </c>
      <c r="I53" s="19" t="s">
        <v>1755</v>
      </c>
      <c r="J53" s="19" t="s">
        <v>1755</v>
      </c>
      <c r="K53" s="19">
        <v>46065</v>
      </c>
      <c r="L53" t="s">
        <v>26</v>
      </c>
      <c r="M53" t="s">
        <v>277</v>
      </c>
      <c r="N53" t="s">
        <v>133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1756</v>
      </c>
      <c r="V53" t="s">
        <v>24</v>
      </c>
      <c r="W53" t="s">
        <v>24</v>
      </c>
      <c r="X53" t="s">
        <v>1757</v>
      </c>
      <c r="Y53" t="s">
        <v>24</v>
      </c>
      <c r="Z53" t="s">
        <v>24</v>
      </c>
      <c r="AA53" t="s">
        <v>24</v>
      </c>
      <c r="AC53" t="s">
        <v>24</v>
      </c>
      <c r="AD53" t="s">
        <v>24</v>
      </c>
      <c r="AE53" t="s">
        <v>24</v>
      </c>
      <c r="AF53" t="s">
        <v>24</v>
      </c>
      <c r="AG53" t="s">
        <v>24</v>
      </c>
      <c r="AH53" t="s">
        <v>24</v>
      </c>
      <c r="AI53" t="s">
        <v>1755</v>
      </c>
      <c r="AJ53" t="s">
        <v>1755</v>
      </c>
      <c r="AK53" t="s">
        <v>24</v>
      </c>
      <c r="AL53">
        <v>20</v>
      </c>
      <c r="AM53">
        <v>17</v>
      </c>
      <c r="AN53">
        <v>3</v>
      </c>
      <c r="AO53">
        <v>0.85</v>
      </c>
      <c r="AP53">
        <v>1</v>
      </c>
      <c r="AQ53">
        <v>0.83333333333333337</v>
      </c>
      <c r="AR53">
        <v>0.75</v>
      </c>
      <c r="AS53" t="s">
        <v>1758</v>
      </c>
      <c r="AT53" t="s">
        <v>1759</v>
      </c>
      <c r="AU53">
        <v>140</v>
      </c>
      <c r="AV53" t="s">
        <v>1760</v>
      </c>
      <c r="AW53" t="s">
        <v>107</v>
      </c>
      <c r="AX53" t="s">
        <v>106</v>
      </c>
      <c r="AY53" t="s">
        <v>106</v>
      </c>
      <c r="AZ53" t="s">
        <v>1573</v>
      </c>
      <c r="BA53" t="s">
        <v>1573</v>
      </c>
      <c r="BB53" t="s">
        <v>1762</v>
      </c>
    </row>
    <row r="54" spans="1:54" x14ac:dyDescent="0.25">
      <c r="A54" t="s">
        <v>709</v>
      </c>
      <c r="B54" t="s">
        <v>1755</v>
      </c>
      <c r="C54" t="str">
        <f>CONCATENATE(Export_Documentation_Database[[#This Row],[Exp. '#]],"-",Export_Documentation_Database[[#This Row],[Batch '#]])</f>
        <v>2347th--</v>
      </c>
      <c r="D54" t="s">
        <v>23</v>
      </c>
      <c r="E54" t="s">
        <v>710</v>
      </c>
      <c r="F54" t="s">
        <v>128</v>
      </c>
      <c r="G54" t="s">
        <v>631</v>
      </c>
      <c r="H54" t="s">
        <v>1755</v>
      </c>
      <c r="I54" s="19" t="s">
        <v>1755</v>
      </c>
      <c r="J54" s="19" t="s">
        <v>1755</v>
      </c>
      <c r="K54" s="19">
        <v>46071</v>
      </c>
      <c r="L54" t="s">
        <v>26</v>
      </c>
      <c r="M54" t="s">
        <v>277</v>
      </c>
      <c r="N54" t="s">
        <v>133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1756</v>
      </c>
      <c r="V54" t="s">
        <v>24</v>
      </c>
      <c r="W54" t="s">
        <v>24</v>
      </c>
      <c r="X54" t="s">
        <v>1757</v>
      </c>
      <c r="Y54" t="s">
        <v>24</v>
      </c>
      <c r="Z54" t="s">
        <v>24</v>
      </c>
      <c r="AA54" t="s">
        <v>24</v>
      </c>
      <c r="AC54" t="s">
        <v>24</v>
      </c>
      <c r="AD54" t="s">
        <v>24</v>
      </c>
      <c r="AE54" t="s">
        <v>24</v>
      </c>
      <c r="AF54" t="s">
        <v>24</v>
      </c>
      <c r="AG54" t="s">
        <v>24</v>
      </c>
      <c r="AH54" t="s">
        <v>24</v>
      </c>
      <c r="AI54" t="s">
        <v>1755</v>
      </c>
      <c r="AJ54" t="s">
        <v>1755</v>
      </c>
      <c r="AK54" t="s">
        <v>24</v>
      </c>
      <c r="AL54">
        <v>20</v>
      </c>
      <c r="AM54">
        <v>17</v>
      </c>
      <c r="AN54">
        <v>3</v>
      </c>
      <c r="AO54">
        <v>0.85</v>
      </c>
      <c r="AP54">
        <v>1</v>
      </c>
      <c r="AQ54">
        <v>0.83333333333333337</v>
      </c>
      <c r="AR54">
        <v>0.75</v>
      </c>
      <c r="AS54" t="s">
        <v>1758</v>
      </c>
      <c r="AT54" t="s">
        <v>1759</v>
      </c>
      <c r="AU54">
        <v>134</v>
      </c>
      <c r="AV54" t="s">
        <v>1760</v>
      </c>
      <c r="AW54" t="s">
        <v>107</v>
      </c>
      <c r="AX54" t="s">
        <v>106</v>
      </c>
      <c r="AY54" t="s">
        <v>106</v>
      </c>
      <c r="AZ54" t="s">
        <v>1573</v>
      </c>
      <c r="BA54" t="s">
        <v>1573</v>
      </c>
      <c r="BB54" t="s">
        <v>1762</v>
      </c>
    </row>
    <row r="55" spans="1:54" x14ac:dyDescent="0.25">
      <c r="A55" t="s">
        <v>718</v>
      </c>
      <c r="B55" t="s">
        <v>1755</v>
      </c>
      <c r="C55" t="str">
        <f>CONCATENATE(Export_Documentation_Database[[#This Row],[Exp. '#]],"-",Export_Documentation_Database[[#This Row],[Batch '#]])</f>
        <v>2351st--</v>
      </c>
      <c r="D55" t="s">
        <v>385</v>
      </c>
      <c r="E55" t="s">
        <v>125</v>
      </c>
      <c r="F55" t="s">
        <v>128</v>
      </c>
      <c r="G55" t="s">
        <v>1755</v>
      </c>
      <c r="H55" t="s">
        <v>1755</v>
      </c>
      <c r="I55" s="19" t="s">
        <v>1755</v>
      </c>
      <c r="J55" s="19" t="s">
        <v>1755</v>
      </c>
      <c r="K55" s="19">
        <v>46072</v>
      </c>
      <c r="L55" t="s">
        <v>26</v>
      </c>
      <c r="M55" t="s">
        <v>277</v>
      </c>
      <c r="N55" t="s">
        <v>133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1756</v>
      </c>
      <c r="V55" t="s">
        <v>24</v>
      </c>
      <c r="W55" t="s">
        <v>24</v>
      </c>
      <c r="X55" t="s">
        <v>1765</v>
      </c>
      <c r="Y55" t="s">
        <v>24</v>
      </c>
      <c r="Z55" t="s">
        <v>24</v>
      </c>
      <c r="AA55" t="s">
        <v>24</v>
      </c>
      <c r="AC55" t="s">
        <v>24</v>
      </c>
      <c r="AD55" t="s">
        <v>24</v>
      </c>
      <c r="AE55" t="s">
        <v>24</v>
      </c>
      <c r="AF55" t="s">
        <v>24</v>
      </c>
      <c r="AG55" t="s">
        <v>24</v>
      </c>
      <c r="AH55" t="s">
        <v>24</v>
      </c>
      <c r="AI55" t="s">
        <v>1755</v>
      </c>
      <c r="AJ55" t="s">
        <v>1755</v>
      </c>
      <c r="AK55" t="s">
        <v>24</v>
      </c>
      <c r="AL55">
        <v>20</v>
      </c>
      <c r="AM55">
        <v>17</v>
      </c>
      <c r="AN55">
        <v>3</v>
      </c>
      <c r="AO55">
        <v>0.85</v>
      </c>
      <c r="AP55">
        <v>1</v>
      </c>
      <c r="AQ55">
        <v>0.83333333333333337</v>
      </c>
      <c r="AR55">
        <v>0.75</v>
      </c>
      <c r="AS55" t="s">
        <v>1758</v>
      </c>
      <c r="AT55" t="s">
        <v>1759</v>
      </c>
      <c r="AU55">
        <v>133</v>
      </c>
      <c r="AV55" t="s">
        <v>1760</v>
      </c>
      <c r="AW55" t="s">
        <v>107</v>
      </c>
      <c r="AX55" t="s">
        <v>106</v>
      </c>
      <c r="AY55" t="s">
        <v>106</v>
      </c>
      <c r="AZ55" t="s">
        <v>1573</v>
      </c>
      <c r="BA55" t="s">
        <v>1573</v>
      </c>
      <c r="BB55" t="s">
        <v>1762</v>
      </c>
    </row>
    <row r="56" spans="1:54" x14ac:dyDescent="0.25">
      <c r="A56" t="s">
        <v>659</v>
      </c>
      <c r="B56" t="s">
        <v>1210</v>
      </c>
      <c r="C56" t="str">
        <f>CONCATENATE(Export_Documentation_Database[[#This Row],[Exp. '#]],"-",Export_Documentation_Database[[#This Row],[Batch '#]])</f>
        <v>2337th-1st B</v>
      </c>
      <c r="D56" t="s">
        <v>143</v>
      </c>
      <c r="E56" t="s">
        <v>125</v>
      </c>
      <c r="F56" t="s">
        <v>128</v>
      </c>
      <c r="G56" t="s">
        <v>1755</v>
      </c>
      <c r="H56" t="s">
        <v>1755</v>
      </c>
      <c r="I56" s="19" t="s">
        <v>1755</v>
      </c>
      <c r="J56" s="19" t="s">
        <v>1755</v>
      </c>
      <c r="K56" s="19">
        <v>46073</v>
      </c>
      <c r="L56" t="s">
        <v>26</v>
      </c>
      <c r="M56" t="s">
        <v>132</v>
      </c>
      <c r="N56" t="s">
        <v>133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1756</v>
      </c>
      <c r="V56" t="s">
        <v>24</v>
      </c>
      <c r="W56" t="s">
        <v>24</v>
      </c>
      <c r="X56" t="s">
        <v>1757</v>
      </c>
      <c r="Y56" t="s">
        <v>24</v>
      </c>
      <c r="Z56" t="s">
        <v>24</v>
      </c>
      <c r="AA56" t="s">
        <v>24</v>
      </c>
      <c r="AC56" t="s">
        <v>24</v>
      </c>
      <c r="AD56" t="s">
        <v>24</v>
      </c>
      <c r="AE56" t="s">
        <v>24</v>
      </c>
      <c r="AF56" t="s">
        <v>24</v>
      </c>
      <c r="AG56" t="s">
        <v>24</v>
      </c>
      <c r="AH56" t="s">
        <v>24</v>
      </c>
      <c r="AI56" t="s">
        <v>24</v>
      </c>
      <c r="AJ56" t="s">
        <v>1755</v>
      </c>
      <c r="AK56" t="s">
        <v>24</v>
      </c>
      <c r="AL56">
        <v>20</v>
      </c>
      <c r="AM56">
        <v>18</v>
      </c>
      <c r="AN56">
        <v>2</v>
      </c>
      <c r="AO56">
        <v>0.9</v>
      </c>
      <c r="AP56">
        <v>1</v>
      </c>
      <c r="AQ56">
        <v>0.83333333333333337</v>
      </c>
      <c r="AR56">
        <v>0.875</v>
      </c>
      <c r="AS56" t="s">
        <v>1758</v>
      </c>
      <c r="AT56" t="s">
        <v>1759</v>
      </c>
      <c r="AU56">
        <v>132</v>
      </c>
      <c r="AV56" t="s">
        <v>1760</v>
      </c>
      <c r="AW56" t="s">
        <v>107</v>
      </c>
      <c r="AX56" t="s">
        <v>106</v>
      </c>
      <c r="AY56" t="s">
        <v>106</v>
      </c>
      <c r="AZ56" t="s">
        <v>1573</v>
      </c>
      <c r="BA56" t="s">
        <v>1573</v>
      </c>
      <c r="BB56" t="s">
        <v>1766</v>
      </c>
    </row>
    <row r="57" spans="1:54" x14ac:dyDescent="0.25">
      <c r="A57" t="s">
        <v>354</v>
      </c>
      <c r="B57" t="s">
        <v>1772</v>
      </c>
      <c r="C57" t="str">
        <f>CONCATENATE(Export_Documentation_Database[[#This Row],[Exp. '#]],"-",Export_Documentation_Database[[#This Row],[Batch '#]])</f>
        <v>2278th-7th B</v>
      </c>
      <c r="D57" t="s">
        <v>143</v>
      </c>
      <c r="E57" t="s">
        <v>125</v>
      </c>
      <c r="F57" t="s">
        <v>128</v>
      </c>
      <c r="G57" t="s">
        <v>1755</v>
      </c>
      <c r="H57" t="s">
        <v>1755</v>
      </c>
      <c r="I57" s="19" t="s">
        <v>1755</v>
      </c>
      <c r="J57" s="19" t="s">
        <v>1755</v>
      </c>
      <c r="K57" s="19">
        <v>46073</v>
      </c>
      <c r="L57" t="s">
        <v>26</v>
      </c>
      <c r="M57" t="s">
        <v>132</v>
      </c>
      <c r="N57" t="s">
        <v>133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1764</v>
      </c>
      <c r="V57" t="s">
        <v>24</v>
      </c>
      <c r="W57" t="s">
        <v>24</v>
      </c>
      <c r="X57" t="s">
        <v>1757</v>
      </c>
      <c r="Y57" t="s">
        <v>24</v>
      </c>
      <c r="Z57" t="s">
        <v>24</v>
      </c>
      <c r="AA57" t="s">
        <v>24</v>
      </c>
      <c r="AC57" t="s">
        <v>28</v>
      </c>
      <c r="AD57" t="s">
        <v>28</v>
      </c>
      <c r="AE57" t="s">
        <v>24</v>
      </c>
      <c r="AF57" t="s">
        <v>24</v>
      </c>
      <c r="AG57" t="s">
        <v>24</v>
      </c>
      <c r="AH57" t="s">
        <v>24</v>
      </c>
      <c r="AI57" t="s">
        <v>1755</v>
      </c>
      <c r="AJ57" t="s">
        <v>1755</v>
      </c>
      <c r="AK57" t="s">
        <v>28</v>
      </c>
      <c r="AL57">
        <v>20</v>
      </c>
      <c r="AM57">
        <v>15</v>
      </c>
      <c r="AN57">
        <v>5</v>
      </c>
      <c r="AO57">
        <v>0.75</v>
      </c>
      <c r="AP57">
        <v>1</v>
      </c>
      <c r="AQ57">
        <v>0.83333333333333337</v>
      </c>
      <c r="AR57">
        <v>0.5</v>
      </c>
      <c r="AS57" t="s">
        <v>1758</v>
      </c>
      <c r="AT57" t="s">
        <v>1759</v>
      </c>
      <c r="AU57">
        <v>132</v>
      </c>
      <c r="AV57" t="s">
        <v>1760</v>
      </c>
      <c r="AW57" t="s">
        <v>107</v>
      </c>
      <c r="AX57" t="s">
        <v>106</v>
      </c>
      <c r="AY57" t="s">
        <v>106</v>
      </c>
      <c r="AZ57" t="s">
        <v>1573</v>
      </c>
      <c r="BA57" t="s">
        <v>1573</v>
      </c>
      <c r="BB57" t="s">
        <v>1762</v>
      </c>
    </row>
    <row r="58" spans="1:54" x14ac:dyDescent="0.25">
      <c r="A58" t="s">
        <v>354</v>
      </c>
      <c r="B58" t="s">
        <v>355</v>
      </c>
      <c r="C58" t="str">
        <f>CONCATENATE(Export_Documentation_Database[[#This Row],[Exp. '#]],"-",Export_Documentation_Database[[#This Row],[Batch '#]])</f>
        <v>2278th-8th B</v>
      </c>
      <c r="D58" t="s">
        <v>143</v>
      </c>
      <c r="E58" t="s">
        <v>125</v>
      </c>
      <c r="F58" t="s">
        <v>128</v>
      </c>
      <c r="G58" t="s">
        <v>1755</v>
      </c>
      <c r="H58" t="s">
        <v>1755</v>
      </c>
      <c r="I58" s="19" t="s">
        <v>1755</v>
      </c>
      <c r="J58" s="19" t="s">
        <v>1755</v>
      </c>
      <c r="K58" s="19">
        <v>46073</v>
      </c>
      <c r="L58" t="s">
        <v>26</v>
      </c>
      <c r="M58" t="s">
        <v>132</v>
      </c>
      <c r="N58" t="s">
        <v>133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1756</v>
      </c>
      <c r="V58" t="s">
        <v>24</v>
      </c>
      <c r="W58" t="s">
        <v>24</v>
      </c>
      <c r="X58" t="s">
        <v>1757</v>
      </c>
      <c r="Y58" t="s">
        <v>24</v>
      </c>
      <c r="Z58" t="s">
        <v>24</v>
      </c>
      <c r="AA58" t="s">
        <v>24</v>
      </c>
      <c r="AC58" t="s">
        <v>28</v>
      </c>
      <c r="AD58" t="s">
        <v>28</v>
      </c>
      <c r="AE58" t="s">
        <v>24</v>
      </c>
      <c r="AF58" t="s">
        <v>24</v>
      </c>
      <c r="AG58" t="s">
        <v>24</v>
      </c>
      <c r="AH58" t="s">
        <v>24</v>
      </c>
      <c r="AI58" t="s">
        <v>1755</v>
      </c>
      <c r="AJ58" t="s">
        <v>1755</v>
      </c>
      <c r="AK58" t="s">
        <v>28</v>
      </c>
      <c r="AL58">
        <v>20</v>
      </c>
      <c r="AM58">
        <v>15</v>
      </c>
      <c r="AN58">
        <v>5</v>
      </c>
      <c r="AO58">
        <v>0.75</v>
      </c>
      <c r="AP58">
        <v>1</v>
      </c>
      <c r="AQ58">
        <v>0.83333333333333337</v>
      </c>
      <c r="AR58">
        <v>0.5</v>
      </c>
      <c r="AS58" t="s">
        <v>1758</v>
      </c>
      <c r="AT58" t="s">
        <v>1759</v>
      </c>
      <c r="AU58">
        <v>132</v>
      </c>
      <c r="AV58" t="s">
        <v>1760</v>
      </c>
      <c r="AW58" t="s">
        <v>107</v>
      </c>
      <c r="AX58" t="s">
        <v>106</v>
      </c>
      <c r="AY58" t="s">
        <v>106</v>
      </c>
      <c r="AZ58" t="s">
        <v>1573</v>
      </c>
      <c r="BA58" t="s">
        <v>1573</v>
      </c>
      <c r="BB58" t="s">
        <v>1762</v>
      </c>
    </row>
    <row r="59" spans="1:54" x14ac:dyDescent="0.25">
      <c r="A59" t="s">
        <v>790</v>
      </c>
      <c r="B59" t="s">
        <v>1755</v>
      </c>
      <c r="C59" t="str">
        <f>CONCATENATE(Export_Documentation_Database[[#This Row],[Exp. '#]],"-",Export_Documentation_Database[[#This Row],[Batch '#]])</f>
        <v>2363rd--</v>
      </c>
      <c r="D59" t="s">
        <v>495</v>
      </c>
      <c r="E59" t="s">
        <v>125</v>
      </c>
      <c r="F59" t="s">
        <v>128</v>
      </c>
      <c r="G59" t="s">
        <v>1755</v>
      </c>
      <c r="H59" t="s">
        <v>1755</v>
      </c>
      <c r="I59" s="19" t="s">
        <v>1755</v>
      </c>
      <c r="J59" s="19" t="s">
        <v>1755</v>
      </c>
      <c r="K59" s="19">
        <v>46072</v>
      </c>
      <c r="L59" t="s">
        <v>26</v>
      </c>
      <c r="M59" t="s">
        <v>277</v>
      </c>
      <c r="N59" t="s">
        <v>133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1764</v>
      </c>
      <c r="V59" t="s">
        <v>24</v>
      </c>
      <c r="W59" t="s">
        <v>24</v>
      </c>
      <c r="X59" t="s">
        <v>1757</v>
      </c>
      <c r="Y59" t="s">
        <v>24</v>
      </c>
      <c r="Z59" t="s">
        <v>24</v>
      </c>
      <c r="AA59" t="s">
        <v>24</v>
      </c>
      <c r="AC59" t="s">
        <v>24</v>
      </c>
      <c r="AD59" t="s">
        <v>24</v>
      </c>
      <c r="AE59" t="s">
        <v>24</v>
      </c>
      <c r="AF59" t="s">
        <v>24</v>
      </c>
      <c r="AG59" t="s">
        <v>24</v>
      </c>
      <c r="AH59" t="s">
        <v>24</v>
      </c>
      <c r="AI59" t="s">
        <v>1755</v>
      </c>
      <c r="AJ59" t="s">
        <v>1755</v>
      </c>
      <c r="AK59" t="s">
        <v>24</v>
      </c>
      <c r="AL59">
        <v>20</v>
      </c>
      <c r="AM59">
        <v>17</v>
      </c>
      <c r="AN59">
        <v>3</v>
      </c>
      <c r="AO59">
        <v>0.85</v>
      </c>
      <c r="AP59">
        <v>1</v>
      </c>
      <c r="AQ59">
        <v>0.83333333333333337</v>
      </c>
      <c r="AR59">
        <v>0.75</v>
      </c>
      <c r="AS59" t="s">
        <v>1758</v>
      </c>
      <c r="AT59" t="s">
        <v>1759</v>
      </c>
      <c r="AU59">
        <v>133</v>
      </c>
      <c r="AV59" t="s">
        <v>1760</v>
      </c>
      <c r="AW59" t="s">
        <v>107</v>
      </c>
      <c r="AX59" t="s">
        <v>106</v>
      </c>
      <c r="AY59" t="s">
        <v>106</v>
      </c>
      <c r="AZ59" t="s">
        <v>1573</v>
      </c>
      <c r="BA59" t="s">
        <v>1573</v>
      </c>
      <c r="BB59" t="s">
        <v>1762</v>
      </c>
    </row>
    <row r="60" spans="1:54" x14ac:dyDescent="0.25">
      <c r="A60" t="s">
        <v>432</v>
      </c>
      <c r="B60" t="s">
        <v>1755</v>
      </c>
      <c r="C60" t="str">
        <f>CONCATENATE(Export_Documentation_Database[[#This Row],[Exp. '#]],"-",Export_Documentation_Database[[#This Row],[Batch '#]])</f>
        <v>2292nd--</v>
      </c>
      <c r="D60" t="s">
        <v>238</v>
      </c>
      <c r="E60" t="s">
        <v>181</v>
      </c>
      <c r="F60" t="s">
        <v>128</v>
      </c>
      <c r="G60" t="s">
        <v>1755</v>
      </c>
      <c r="H60" t="s">
        <v>1755</v>
      </c>
      <c r="I60" s="19" t="s">
        <v>1755</v>
      </c>
      <c r="J60" s="19" t="s">
        <v>1755</v>
      </c>
      <c r="K60" s="19">
        <v>46070</v>
      </c>
      <c r="L60" t="s">
        <v>26</v>
      </c>
      <c r="M60" t="s">
        <v>132</v>
      </c>
      <c r="N60" t="s">
        <v>133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1764</v>
      </c>
      <c r="V60" t="s">
        <v>24</v>
      </c>
      <c r="W60" t="s">
        <v>24</v>
      </c>
      <c r="X60" t="s">
        <v>1765</v>
      </c>
      <c r="Y60" t="s">
        <v>24</v>
      </c>
      <c r="Z60" t="s">
        <v>24</v>
      </c>
      <c r="AA60" t="s">
        <v>24</v>
      </c>
      <c r="AB60" t="s">
        <v>24</v>
      </c>
      <c r="AC60" t="s">
        <v>24</v>
      </c>
      <c r="AD60" t="s">
        <v>24</v>
      </c>
      <c r="AE60" t="s">
        <v>24</v>
      </c>
      <c r="AF60" t="s">
        <v>24</v>
      </c>
      <c r="AG60" t="s">
        <v>24</v>
      </c>
      <c r="AH60" t="s">
        <v>24</v>
      </c>
      <c r="AI60" t="s">
        <v>1755</v>
      </c>
      <c r="AJ60" t="s">
        <v>24</v>
      </c>
      <c r="AK60" t="s">
        <v>24</v>
      </c>
      <c r="AL60">
        <v>20</v>
      </c>
      <c r="AM60">
        <v>19</v>
      </c>
      <c r="AN60">
        <v>1</v>
      </c>
      <c r="AO60">
        <v>0.95</v>
      </c>
      <c r="AP60">
        <v>1</v>
      </c>
      <c r="AQ60">
        <v>1</v>
      </c>
      <c r="AR60">
        <v>0.875</v>
      </c>
      <c r="AS60" t="s">
        <v>1758</v>
      </c>
      <c r="AT60" t="s">
        <v>1759</v>
      </c>
      <c r="AU60">
        <v>135</v>
      </c>
      <c r="AV60" t="s">
        <v>1760</v>
      </c>
      <c r="AW60" t="s">
        <v>107</v>
      </c>
      <c r="AX60" t="s">
        <v>107</v>
      </c>
      <c r="AY60" t="s">
        <v>106</v>
      </c>
      <c r="AZ60" t="s">
        <v>1573</v>
      </c>
      <c r="BA60" t="s">
        <v>1573</v>
      </c>
      <c r="BB60" t="s">
        <v>1761</v>
      </c>
    </row>
    <row r="61" spans="1:54" x14ac:dyDescent="0.25">
      <c r="A61" t="s">
        <v>228</v>
      </c>
      <c r="B61" t="s">
        <v>1755</v>
      </c>
      <c r="C61" t="str">
        <f>CONCATENATE(Export_Documentation_Database[[#This Row],[Exp. '#]],"-",Export_Documentation_Database[[#This Row],[Batch '#]])</f>
        <v>2247th--</v>
      </c>
      <c r="D61" t="s">
        <v>229</v>
      </c>
      <c r="E61" t="s">
        <v>125</v>
      </c>
      <c r="F61" t="s">
        <v>128</v>
      </c>
      <c r="G61" t="s">
        <v>1755</v>
      </c>
      <c r="H61" t="s">
        <v>1755</v>
      </c>
      <c r="I61" s="19" t="s">
        <v>1755</v>
      </c>
      <c r="J61" s="19" t="s">
        <v>1755</v>
      </c>
      <c r="K61" s="19">
        <v>46079</v>
      </c>
      <c r="L61" t="s">
        <v>26</v>
      </c>
      <c r="M61" t="s">
        <v>132</v>
      </c>
      <c r="N61" t="s">
        <v>133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1764</v>
      </c>
      <c r="V61" t="s">
        <v>24</v>
      </c>
      <c r="W61" t="s">
        <v>24</v>
      </c>
      <c r="X61" t="s">
        <v>1765</v>
      </c>
      <c r="Y61" t="s">
        <v>24</v>
      </c>
      <c r="Z61" t="s">
        <v>24</v>
      </c>
      <c r="AA61" t="s">
        <v>24</v>
      </c>
      <c r="AC61" t="s">
        <v>24</v>
      </c>
      <c r="AD61" t="s">
        <v>24</v>
      </c>
      <c r="AE61" t="s">
        <v>24</v>
      </c>
      <c r="AF61" t="s">
        <v>24</v>
      </c>
      <c r="AG61" t="s">
        <v>24</v>
      </c>
      <c r="AH61" t="s">
        <v>24</v>
      </c>
      <c r="AI61" t="s">
        <v>24</v>
      </c>
      <c r="AJ61" t="s">
        <v>1755</v>
      </c>
      <c r="AK61" t="s">
        <v>24</v>
      </c>
      <c r="AL61">
        <v>20</v>
      </c>
      <c r="AM61">
        <v>18</v>
      </c>
      <c r="AN61">
        <v>2</v>
      </c>
      <c r="AO61">
        <v>0.9</v>
      </c>
      <c r="AP61">
        <v>1</v>
      </c>
      <c r="AQ61">
        <v>0.83333333333333337</v>
      </c>
      <c r="AR61">
        <v>0.875</v>
      </c>
      <c r="AS61" t="s">
        <v>1758</v>
      </c>
      <c r="AT61" t="s">
        <v>1759</v>
      </c>
      <c r="AU61">
        <v>126</v>
      </c>
      <c r="AV61" t="s">
        <v>1760</v>
      </c>
      <c r="AW61" t="s">
        <v>107</v>
      </c>
      <c r="AX61" t="s">
        <v>106</v>
      </c>
      <c r="AY61" t="s">
        <v>106</v>
      </c>
      <c r="AZ61" t="s">
        <v>1573</v>
      </c>
      <c r="BA61" t="s">
        <v>1573</v>
      </c>
      <c r="BB61" t="s">
        <v>1766</v>
      </c>
    </row>
    <row r="62" spans="1:54" x14ac:dyDescent="0.25">
      <c r="A62" t="s">
        <v>317</v>
      </c>
      <c r="B62" t="s">
        <v>1755</v>
      </c>
      <c r="C62" t="str">
        <f>CONCATENATE(Export_Documentation_Database[[#This Row],[Exp. '#]],"-",Export_Documentation_Database[[#This Row],[Batch '#]])</f>
        <v>2270th--</v>
      </c>
      <c r="D62" t="s">
        <v>229</v>
      </c>
      <c r="E62" t="s">
        <v>181</v>
      </c>
      <c r="F62" t="s">
        <v>128</v>
      </c>
      <c r="G62" t="s">
        <v>1755</v>
      </c>
      <c r="H62" t="s">
        <v>1755</v>
      </c>
      <c r="I62" s="19" t="s">
        <v>1755</v>
      </c>
      <c r="J62" s="19" t="s">
        <v>1755</v>
      </c>
      <c r="K62" s="19">
        <v>46079</v>
      </c>
      <c r="L62" t="s">
        <v>26</v>
      </c>
      <c r="M62" t="s">
        <v>132</v>
      </c>
      <c r="N62" t="s">
        <v>133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1764</v>
      </c>
      <c r="V62" t="s">
        <v>24</v>
      </c>
      <c r="W62" t="s">
        <v>24</v>
      </c>
      <c r="X62" t="s">
        <v>1765</v>
      </c>
      <c r="Y62" t="s">
        <v>24</v>
      </c>
      <c r="Z62" t="s">
        <v>24</v>
      </c>
      <c r="AA62" t="s">
        <v>24</v>
      </c>
      <c r="AB62" t="s">
        <v>24</v>
      </c>
      <c r="AC62" t="s">
        <v>24</v>
      </c>
      <c r="AD62" t="s">
        <v>24</v>
      </c>
      <c r="AE62" t="s">
        <v>24</v>
      </c>
      <c r="AF62" t="s">
        <v>24</v>
      </c>
      <c r="AG62" t="s">
        <v>24</v>
      </c>
      <c r="AH62" t="s">
        <v>24</v>
      </c>
      <c r="AI62" t="s">
        <v>24</v>
      </c>
      <c r="AJ62" t="s">
        <v>24</v>
      </c>
      <c r="AK62" t="s">
        <v>24</v>
      </c>
      <c r="AL62">
        <v>20</v>
      </c>
      <c r="AM62">
        <v>20</v>
      </c>
      <c r="AN62">
        <v>0</v>
      </c>
      <c r="AO62">
        <v>1</v>
      </c>
      <c r="AP62">
        <v>1</v>
      </c>
      <c r="AQ62">
        <v>1</v>
      </c>
      <c r="AR62">
        <v>1</v>
      </c>
      <c r="AS62" t="s">
        <v>1769</v>
      </c>
      <c r="AT62" t="s">
        <v>1770</v>
      </c>
      <c r="AU62">
        <v>0</v>
      </c>
      <c r="AV62" t="s">
        <v>1771</v>
      </c>
      <c r="AW62" t="s">
        <v>107</v>
      </c>
      <c r="AX62" t="s">
        <v>107</v>
      </c>
      <c r="AY62" t="s">
        <v>107</v>
      </c>
      <c r="AZ62" t="s">
        <v>1573</v>
      </c>
      <c r="BA62" t="s">
        <v>1573</v>
      </c>
      <c r="BB62" t="s">
        <v>1573</v>
      </c>
    </row>
    <row r="63" spans="1:54" x14ac:dyDescent="0.25">
      <c r="A63" t="s">
        <v>502</v>
      </c>
      <c r="B63" t="s">
        <v>1755</v>
      </c>
      <c r="C63" t="str">
        <f>CONCATENATE(Export_Documentation_Database[[#This Row],[Exp. '#]],"-",Export_Documentation_Database[[#This Row],[Batch '#]])</f>
        <v>2310st--</v>
      </c>
      <c r="D63" t="s">
        <v>35</v>
      </c>
      <c r="E63" t="s">
        <v>157</v>
      </c>
      <c r="F63" t="s">
        <v>182</v>
      </c>
      <c r="G63" t="s">
        <v>503</v>
      </c>
      <c r="H63">
        <v>1</v>
      </c>
      <c r="I63" s="19" t="s">
        <v>1755</v>
      </c>
      <c r="J63" s="19" t="s">
        <v>1755</v>
      </c>
      <c r="K63" s="19">
        <v>46087</v>
      </c>
      <c r="L63" t="s">
        <v>30</v>
      </c>
      <c r="M63" t="s">
        <v>132</v>
      </c>
      <c r="N63" t="s">
        <v>133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1756</v>
      </c>
      <c r="V63" t="s">
        <v>24</v>
      </c>
      <c r="W63" t="s">
        <v>24</v>
      </c>
      <c r="X63" t="s">
        <v>1757</v>
      </c>
      <c r="Y63" t="s">
        <v>24</v>
      </c>
      <c r="Z63" t="s">
        <v>24</v>
      </c>
      <c r="AA63" t="s">
        <v>24</v>
      </c>
      <c r="AC63" t="s">
        <v>24</v>
      </c>
      <c r="AD63" t="s">
        <v>24</v>
      </c>
      <c r="AE63" t="s">
        <v>24</v>
      </c>
      <c r="AF63" t="s">
        <v>24</v>
      </c>
      <c r="AG63" t="s">
        <v>24</v>
      </c>
      <c r="AH63" t="s">
        <v>24</v>
      </c>
      <c r="AI63" t="s">
        <v>24</v>
      </c>
      <c r="AJ63" t="s">
        <v>1755</v>
      </c>
      <c r="AK63" t="s">
        <v>24</v>
      </c>
      <c r="AL63">
        <v>20</v>
      </c>
      <c r="AM63">
        <v>18</v>
      </c>
      <c r="AN63">
        <v>2</v>
      </c>
      <c r="AO63">
        <v>0.9</v>
      </c>
      <c r="AP63">
        <v>1</v>
      </c>
      <c r="AQ63">
        <v>0.83333333333333337</v>
      </c>
      <c r="AR63">
        <v>0.875</v>
      </c>
      <c r="AS63" t="s">
        <v>1758</v>
      </c>
      <c r="AT63" t="s">
        <v>1759</v>
      </c>
      <c r="AU63">
        <v>118</v>
      </c>
      <c r="AV63" t="s">
        <v>1760</v>
      </c>
      <c r="AW63" t="s">
        <v>107</v>
      </c>
      <c r="AX63" t="s">
        <v>106</v>
      </c>
      <c r="AY63" t="s">
        <v>106</v>
      </c>
      <c r="AZ63" t="s">
        <v>1573</v>
      </c>
      <c r="BA63" t="s">
        <v>1573</v>
      </c>
      <c r="BB63" t="s">
        <v>1766</v>
      </c>
    </row>
    <row r="64" spans="1:54" x14ac:dyDescent="0.25">
      <c r="A64" t="s">
        <v>652</v>
      </c>
      <c r="B64" t="s">
        <v>1755</v>
      </c>
      <c r="C64" t="str">
        <f>CONCATENATE(Export_Documentation_Database[[#This Row],[Exp. '#]],"-",Export_Documentation_Database[[#This Row],[Batch '#]])</f>
        <v>2336th--</v>
      </c>
      <c r="D64" t="s">
        <v>35</v>
      </c>
      <c r="E64" t="s">
        <v>157</v>
      </c>
      <c r="F64" t="s">
        <v>182</v>
      </c>
      <c r="G64" t="s">
        <v>1755</v>
      </c>
      <c r="H64" t="s">
        <v>1755</v>
      </c>
      <c r="I64" s="19" t="s">
        <v>1755</v>
      </c>
      <c r="J64" s="19" t="s">
        <v>1755</v>
      </c>
      <c r="K64" s="19">
        <v>46087</v>
      </c>
      <c r="L64" t="s">
        <v>30</v>
      </c>
      <c r="M64" t="s">
        <v>132</v>
      </c>
      <c r="N64" t="s">
        <v>133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1756</v>
      </c>
      <c r="V64" t="s">
        <v>24</v>
      </c>
      <c r="W64" t="s">
        <v>24</v>
      </c>
      <c r="X64" t="s">
        <v>1757</v>
      </c>
      <c r="Y64" t="s">
        <v>24</v>
      </c>
      <c r="Z64" t="s">
        <v>24</v>
      </c>
      <c r="AA64" t="s">
        <v>24</v>
      </c>
      <c r="AC64" t="s">
        <v>24</v>
      </c>
      <c r="AD64" t="s">
        <v>24</v>
      </c>
      <c r="AE64" t="s">
        <v>24</v>
      </c>
      <c r="AF64" t="s">
        <v>24</v>
      </c>
      <c r="AG64" t="s">
        <v>24</v>
      </c>
      <c r="AH64" t="s">
        <v>24</v>
      </c>
      <c r="AI64" t="s">
        <v>1755</v>
      </c>
      <c r="AJ64" t="s">
        <v>1755</v>
      </c>
      <c r="AK64" t="s">
        <v>24</v>
      </c>
      <c r="AL64">
        <v>20</v>
      </c>
      <c r="AM64">
        <v>17</v>
      </c>
      <c r="AN64">
        <v>3</v>
      </c>
      <c r="AO64">
        <v>0.85</v>
      </c>
      <c r="AP64">
        <v>1</v>
      </c>
      <c r="AQ64">
        <v>0.83333333333333337</v>
      </c>
      <c r="AR64">
        <v>0.75</v>
      </c>
      <c r="AS64" t="s">
        <v>1758</v>
      </c>
      <c r="AT64" t="s">
        <v>1759</v>
      </c>
      <c r="AU64">
        <v>118</v>
      </c>
      <c r="AV64" t="s">
        <v>1760</v>
      </c>
      <c r="AW64" t="s">
        <v>107</v>
      </c>
      <c r="AX64" t="s">
        <v>106</v>
      </c>
      <c r="AY64" t="s">
        <v>106</v>
      </c>
      <c r="AZ64" t="s">
        <v>1573</v>
      </c>
      <c r="BA64" t="s">
        <v>1573</v>
      </c>
      <c r="BB64" t="s">
        <v>1762</v>
      </c>
    </row>
    <row r="65" spans="1:54" x14ac:dyDescent="0.25">
      <c r="A65" t="s">
        <v>567</v>
      </c>
      <c r="B65" t="s">
        <v>1755</v>
      </c>
      <c r="C65" t="str">
        <f>CONCATENATE(Export_Documentation_Database[[#This Row],[Exp. '#]],"-",Export_Documentation_Database[[#This Row],[Batch '#]])</f>
        <v>2321st--</v>
      </c>
      <c r="D65" t="s">
        <v>568</v>
      </c>
      <c r="E65" t="s">
        <v>125</v>
      </c>
      <c r="F65" t="s">
        <v>128</v>
      </c>
      <c r="G65" t="s">
        <v>1755</v>
      </c>
      <c r="H65" t="s">
        <v>1755</v>
      </c>
      <c r="I65" s="19" t="s">
        <v>1755</v>
      </c>
      <c r="J65" s="19" t="s">
        <v>1755</v>
      </c>
      <c r="K65" s="19">
        <v>46087</v>
      </c>
      <c r="L65" t="s">
        <v>30</v>
      </c>
      <c r="M65" t="s">
        <v>277</v>
      </c>
      <c r="N65" t="s">
        <v>133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1756</v>
      </c>
      <c r="V65" t="s">
        <v>24</v>
      </c>
      <c r="W65" t="s">
        <v>24</v>
      </c>
      <c r="X65" t="s">
        <v>1757</v>
      </c>
      <c r="Y65" t="s">
        <v>24</v>
      </c>
      <c r="Z65" t="s">
        <v>24</v>
      </c>
      <c r="AA65" t="s">
        <v>24</v>
      </c>
      <c r="AC65" t="s">
        <v>24</v>
      </c>
      <c r="AD65" t="s">
        <v>24</v>
      </c>
      <c r="AE65" t="s">
        <v>24</v>
      </c>
      <c r="AF65" t="s">
        <v>24</v>
      </c>
      <c r="AG65" t="s">
        <v>24</v>
      </c>
      <c r="AH65" t="s">
        <v>24</v>
      </c>
      <c r="AI65" t="s">
        <v>1755</v>
      </c>
      <c r="AJ65" t="s">
        <v>1755</v>
      </c>
      <c r="AK65" t="s">
        <v>24</v>
      </c>
      <c r="AL65">
        <v>20</v>
      </c>
      <c r="AM65">
        <v>17</v>
      </c>
      <c r="AN65">
        <v>3</v>
      </c>
      <c r="AO65">
        <v>0.85</v>
      </c>
      <c r="AP65">
        <v>1</v>
      </c>
      <c r="AQ65">
        <v>0.83333333333333337</v>
      </c>
      <c r="AR65">
        <v>0.75</v>
      </c>
      <c r="AS65" t="s">
        <v>1758</v>
      </c>
      <c r="AT65" t="s">
        <v>1759</v>
      </c>
      <c r="AU65">
        <v>118</v>
      </c>
      <c r="AV65" t="s">
        <v>1760</v>
      </c>
      <c r="AW65" t="s">
        <v>107</v>
      </c>
      <c r="AX65" t="s">
        <v>106</v>
      </c>
      <c r="AY65" t="s">
        <v>106</v>
      </c>
      <c r="AZ65" t="s">
        <v>1573</v>
      </c>
      <c r="BA65" t="s">
        <v>1573</v>
      </c>
      <c r="BB65" t="s">
        <v>1762</v>
      </c>
    </row>
    <row r="66" spans="1:54" x14ac:dyDescent="0.25">
      <c r="A66" t="s">
        <v>627</v>
      </c>
      <c r="B66" t="s">
        <v>1755</v>
      </c>
      <c r="C66" t="str">
        <f>CONCATENATE(Export_Documentation_Database[[#This Row],[Exp. '#]],"-",Export_Documentation_Database[[#This Row],[Batch '#]])</f>
        <v>2330th--</v>
      </c>
      <c r="D66" t="s">
        <v>44</v>
      </c>
      <c r="E66" t="s">
        <v>125</v>
      </c>
      <c r="F66" t="s">
        <v>128</v>
      </c>
      <c r="G66" t="s">
        <v>1755</v>
      </c>
      <c r="H66" t="s">
        <v>1755</v>
      </c>
      <c r="I66" s="19" t="s">
        <v>1755</v>
      </c>
      <c r="J66" s="19" t="s">
        <v>1755</v>
      </c>
      <c r="K66" s="19">
        <v>46087</v>
      </c>
      <c r="L66" t="s">
        <v>30</v>
      </c>
      <c r="M66" t="s">
        <v>277</v>
      </c>
      <c r="N66" t="s">
        <v>133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1756</v>
      </c>
      <c r="V66" t="s">
        <v>24</v>
      </c>
      <c r="W66" t="s">
        <v>24</v>
      </c>
      <c r="X66" t="s">
        <v>1757</v>
      </c>
      <c r="Y66" t="s">
        <v>24</v>
      </c>
      <c r="Z66" t="s">
        <v>24</v>
      </c>
      <c r="AA66" t="s">
        <v>24</v>
      </c>
      <c r="AC66" t="s">
        <v>24</v>
      </c>
      <c r="AD66" t="s">
        <v>24</v>
      </c>
      <c r="AE66" t="s">
        <v>24</v>
      </c>
      <c r="AF66" t="s">
        <v>24</v>
      </c>
      <c r="AG66" t="s">
        <v>24</v>
      </c>
      <c r="AH66" t="s">
        <v>24</v>
      </c>
      <c r="AI66" t="s">
        <v>1755</v>
      </c>
      <c r="AJ66" t="s">
        <v>1755</v>
      </c>
      <c r="AK66" t="s">
        <v>24</v>
      </c>
      <c r="AL66">
        <v>20</v>
      </c>
      <c r="AM66">
        <v>17</v>
      </c>
      <c r="AN66">
        <v>3</v>
      </c>
      <c r="AO66">
        <v>0.85</v>
      </c>
      <c r="AP66">
        <v>1</v>
      </c>
      <c r="AQ66">
        <v>0.83333333333333337</v>
      </c>
      <c r="AR66">
        <v>0.75</v>
      </c>
      <c r="AS66" t="s">
        <v>1758</v>
      </c>
      <c r="AT66" t="s">
        <v>1759</v>
      </c>
      <c r="AU66">
        <v>118</v>
      </c>
      <c r="AV66" t="s">
        <v>1760</v>
      </c>
      <c r="AW66" t="s">
        <v>107</v>
      </c>
      <c r="AX66" t="s">
        <v>106</v>
      </c>
      <c r="AY66" t="s">
        <v>106</v>
      </c>
      <c r="AZ66" t="s">
        <v>1573</v>
      </c>
      <c r="BA66" t="s">
        <v>1573</v>
      </c>
      <c r="BB66" t="s">
        <v>1762</v>
      </c>
    </row>
    <row r="67" spans="1:54" x14ac:dyDescent="0.25">
      <c r="A67" t="s">
        <v>674</v>
      </c>
      <c r="B67" t="s">
        <v>1755</v>
      </c>
      <c r="C67" t="str">
        <f>CONCATENATE(Export_Documentation_Database[[#This Row],[Exp. '#]],"-",Export_Documentation_Database[[#This Row],[Batch '#]])</f>
        <v>2339th--</v>
      </c>
      <c r="D67" t="s">
        <v>568</v>
      </c>
      <c r="E67" t="s">
        <v>125</v>
      </c>
      <c r="F67" t="s">
        <v>128</v>
      </c>
      <c r="G67" t="s">
        <v>1755</v>
      </c>
      <c r="H67" t="s">
        <v>1755</v>
      </c>
      <c r="I67" s="19" t="s">
        <v>1755</v>
      </c>
      <c r="J67" s="19" t="s">
        <v>1755</v>
      </c>
      <c r="K67" s="19">
        <v>46087</v>
      </c>
      <c r="L67" t="s">
        <v>30</v>
      </c>
      <c r="M67" t="s">
        <v>277</v>
      </c>
      <c r="N67" t="s">
        <v>133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1756</v>
      </c>
      <c r="V67" t="s">
        <v>24</v>
      </c>
      <c r="W67" t="s">
        <v>24</v>
      </c>
      <c r="X67" t="s">
        <v>1757</v>
      </c>
      <c r="Y67" t="s">
        <v>24</v>
      </c>
      <c r="Z67" t="s">
        <v>24</v>
      </c>
      <c r="AA67" t="s">
        <v>24</v>
      </c>
      <c r="AC67" t="s">
        <v>24</v>
      </c>
      <c r="AD67" t="s">
        <v>24</v>
      </c>
      <c r="AE67" t="s">
        <v>24</v>
      </c>
      <c r="AF67" t="s">
        <v>24</v>
      </c>
      <c r="AG67" t="s">
        <v>24</v>
      </c>
      <c r="AH67" t="s">
        <v>24</v>
      </c>
      <c r="AI67" t="s">
        <v>1755</v>
      </c>
      <c r="AJ67" t="s">
        <v>1755</v>
      </c>
      <c r="AK67" t="s">
        <v>24</v>
      </c>
      <c r="AL67">
        <v>20</v>
      </c>
      <c r="AM67">
        <v>17</v>
      </c>
      <c r="AN67">
        <v>3</v>
      </c>
      <c r="AO67">
        <v>0.85</v>
      </c>
      <c r="AP67">
        <v>1</v>
      </c>
      <c r="AQ67">
        <v>0.83333333333333337</v>
      </c>
      <c r="AR67">
        <v>0.75</v>
      </c>
      <c r="AS67" t="s">
        <v>1758</v>
      </c>
      <c r="AT67" t="s">
        <v>1759</v>
      </c>
      <c r="AU67">
        <v>118</v>
      </c>
      <c r="AV67" t="s">
        <v>1760</v>
      </c>
      <c r="AW67" t="s">
        <v>107</v>
      </c>
      <c r="AX67" t="s">
        <v>106</v>
      </c>
      <c r="AY67" t="s">
        <v>106</v>
      </c>
      <c r="AZ67" t="s">
        <v>1573</v>
      </c>
      <c r="BA67" t="s">
        <v>1573</v>
      </c>
      <c r="BB67" t="s">
        <v>1762</v>
      </c>
    </row>
    <row r="68" spans="1:54" x14ac:dyDescent="0.25">
      <c r="A68" t="s">
        <v>701</v>
      </c>
      <c r="B68" t="s">
        <v>1755</v>
      </c>
      <c r="C68" t="str">
        <f>CONCATENATE(Export_Documentation_Database[[#This Row],[Exp. '#]],"-",Export_Documentation_Database[[#This Row],[Batch '#]])</f>
        <v>2344th--</v>
      </c>
      <c r="D68" t="s">
        <v>702</v>
      </c>
      <c r="E68" t="s">
        <v>125</v>
      </c>
      <c r="F68" t="s">
        <v>128</v>
      </c>
      <c r="G68" t="s">
        <v>1755</v>
      </c>
      <c r="H68" t="s">
        <v>1755</v>
      </c>
      <c r="I68" s="19" t="s">
        <v>1755</v>
      </c>
      <c r="J68" s="19" t="s">
        <v>1755</v>
      </c>
      <c r="K68" s="19">
        <v>46087</v>
      </c>
      <c r="L68" t="s">
        <v>30</v>
      </c>
      <c r="M68" t="s">
        <v>277</v>
      </c>
      <c r="N68" t="s">
        <v>133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1764</v>
      </c>
      <c r="V68" t="s">
        <v>24</v>
      </c>
      <c r="W68" t="s">
        <v>24</v>
      </c>
      <c r="X68" t="s">
        <v>1757</v>
      </c>
      <c r="Y68" t="s">
        <v>24</v>
      </c>
      <c r="Z68" t="s">
        <v>24</v>
      </c>
      <c r="AA68" t="s">
        <v>24</v>
      </c>
      <c r="AC68" t="s">
        <v>24</v>
      </c>
      <c r="AD68" t="s">
        <v>24</v>
      </c>
      <c r="AE68" t="s">
        <v>24</v>
      </c>
      <c r="AF68" t="s">
        <v>24</v>
      </c>
      <c r="AG68" t="s">
        <v>24</v>
      </c>
      <c r="AH68" t="s">
        <v>24</v>
      </c>
      <c r="AI68" t="s">
        <v>1755</v>
      </c>
      <c r="AJ68" t="s">
        <v>1755</v>
      </c>
      <c r="AK68" t="s">
        <v>24</v>
      </c>
      <c r="AL68">
        <v>20</v>
      </c>
      <c r="AM68">
        <v>17</v>
      </c>
      <c r="AN68">
        <v>3</v>
      </c>
      <c r="AO68">
        <v>0.85</v>
      </c>
      <c r="AP68">
        <v>1</v>
      </c>
      <c r="AQ68">
        <v>0.83333333333333337</v>
      </c>
      <c r="AR68">
        <v>0.75</v>
      </c>
      <c r="AS68" t="s">
        <v>1758</v>
      </c>
      <c r="AT68" t="s">
        <v>1759</v>
      </c>
      <c r="AU68">
        <v>118</v>
      </c>
      <c r="AV68" t="s">
        <v>1760</v>
      </c>
      <c r="AW68" t="s">
        <v>107</v>
      </c>
      <c r="AX68" t="s">
        <v>106</v>
      </c>
      <c r="AY68" t="s">
        <v>106</v>
      </c>
      <c r="AZ68" t="s">
        <v>1573</v>
      </c>
      <c r="BA68" t="s">
        <v>1573</v>
      </c>
      <c r="BB68" t="s">
        <v>1762</v>
      </c>
    </row>
    <row r="69" spans="1:54" x14ac:dyDescent="0.25">
      <c r="A69" t="s">
        <v>715</v>
      </c>
      <c r="B69" t="s">
        <v>1755</v>
      </c>
      <c r="C69" t="str">
        <f>CONCATENATE(Export_Documentation_Database[[#This Row],[Exp. '#]],"-",Export_Documentation_Database[[#This Row],[Batch '#]])</f>
        <v>2349th--</v>
      </c>
      <c r="D69" t="s">
        <v>702</v>
      </c>
      <c r="E69" t="s">
        <v>125</v>
      </c>
      <c r="F69" t="s">
        <v>128</v>
      </c>
      <c r="G69" t="s">
        <v>1755</v>
      </c>
      <c r="H69" t="s">
        <v>1755</v>
      </c>
      <c r="I69" s="19" t="s">
        <v>1755</v>
      </c>
      <c r="J69" s="19" t="s">
        <v>1755</v>
      </c>
      <c r="K69" s="19">
        <v>46087</v>
      </c>
      <c r="L69" t="s">
        <v>30</v>
      </c>
      <c r="M69" t="s">
        <v>277</v>
      </c>
      <c r="N69" t="s">
        <v>133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1764</v>
      </c>
      <c r="V69" t="s">
        <v>24</v>
      </c>
      <c r="W69" t="s">
        <v>24</v>
      </c>
      <c r="X69" t="s">
        <v>1757</v>
      </c>
      <c r="Y69" t="s">
        <v>24</v>
      </c>
      <c r="Z69" t="s">
        <v>24</v>
      </c>
      <c r="AA69" t="s">
        <v>24</v>
      </c>
      <c r="AC69" t="s">
        <v>24</v>
      </c>
      <c r="AD69" t="s">
        <v>24</v>
      </c>
      <c r="AE69" t="s">
        <v>24</v>
      </c>
      <c r="AF69" t="s">
        <v>24</v>
      </c>
      <c r="AG69" t="s">
        <v>24</v>
      </c>
      <c r="AH69" t="s">
        <v>24</v>
      </c>
      <c r="AI69" t="s">
        <v>1755</v>
      </c>
      <c r="AJ69" t="s">
        <v>1755</v>
      </c>
      <c r="AK69" t="s">
        <v>24</v>
      </c>
      <c r="AL69">
        <v>20</v>
      </c>
      <c r="AM69">
        <v>17</v>
      </c>
      <c r="AN69">
        <v>3</v>
      </c>
      <c r="AO69">
        <v>0.85</v>
      </c>
      <c r="AP69">
        <v>1</v>
      </c>
      <c r="AQ69">
        <v>0.83333333333333337</v>
      </c>
      <c r="AR69">
        <v>0.75</v>
      </c>
      <c r="AS69" t="s">
        <v>1758</v>
      </c>
      <c r="AT69" t="s">
        <v>1759</v>
      </c>
      <c r="AU69">
        <v>118</v>
      </c>
      <c r="AV69" t="s">
        <v>1760</v>
      </c>
      <c r="AW69" t="s">
        <v>107</v>
      </c>
      <c r="AX69" t="s">
        <v>106</v>
      </c>
      <c r="AY69" t="s">
        <v>106</v>
      </c>
      <c r="AZ69" t="s">
        <v>1573</v>
      </c>
      <c r="BA69" t="s">
        <v>1573</v>
      </c>
      <c r="BB69" t="s">
        <v>1762</v>
      </c>
    </row>
    <row r="70" spans="1:54" x14ac:dyDescent="0.25">
      <c r="A70" t="s">
        <v>711</v>
      </c>
      <c r="B70" t="s">
        <v>1210</v>
      </c>
      <c r="C70" t="str">
        <f>CONCATENATE(Export_Documentation_Database[[#This Row],[Exp. '#]],"-",Export_Documentation_Database[[#This Row],[Batch '#]])</f>
        <v>2348th-1st B</v>
      </c>
      <c r="D70" t="s">
        <v>458</v>
      </c>
      <c r="E70" t="s">
        <v>125</v>
      </c>
      <c r="F70" t="s">
        <v>128</v>
      </c>
      <c r="G70" t="s">
        <v>1755</v>
      </c>
      <c r="H70" t="s">
        <v>1755</v>
      </c>
      <c r="I70" s="19" t="s">
        <v>1755</v>
      </c>
      <c r="J70" s="19" t="s">
        <v>1755</v>
      </c>
      <c r="K70" s="19">
        <v>46087</v>
      </c>
      <c r="L70" t="s">
        <v>30</v>
      </c>
      <c r="M70" t="s">
        <v>277</v>
      </c>
      <c r="N70" t="s">
        <v>133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1756</v>
      </c>
      <c r="V70" t="s">
        <v>24</v>
      </c>
      <c r="W70" t="s">
        <v>24</v>
      </c>
      <c r="X70" t="s">
        <v>1757</v>
      </c>
      <c r="Y70" t="s">
        <v>24</v>
      </c>
      <c r="Z70" t="s">
        <v>24</v>
      </c>
      <c r="AA70" t="s">
        <v>24</v>
      </c>
      <c r="AC70" t="s">
        <v>24</v>
      </c>
      <c r="AD70" t="s">
        <v>24</v>
      </c>
      <c r="AE70" t="s">
        <v>24</v>
      </c>
      <c r="AF70" t="s">
        <v>24</v>
      </c>
      <c r="AG70" t="s">
        <v>24</v>
      </c>
      <c r="AH70" t="s">
        <v>24</v>
      </c>
      <c r="AI70" t="s">
        <v>1755</v>
      </c>
      <c r="AJ70" t="s">
        <v>1755</v>
      </c>
      <c r="AK70" t="s">
        <v>24</v>
      </c>
      <c r="AL70">
        <v>20</v>
      </c>
      <c r="AM70">
        <v>17</v>
      </c>
      <c r="AN70">
        <v>3</v>
      </c>
      <c r="AO70">
        <v>0.85</v>
      </c>
      <c r="AP70">
        <v>1</v>
      </c>
      <c r="AQ70">
        <v>0.83333333333333337</v>
      </c>
      <c r="AR70">
        <v>0.75</v>
      </c>
      <c r="AS70" t="s">
        <v>1758</v>
      </c>
      <c r="AT70" t="s">
        <v>1759</v>
      </c>
      <c r="AU70">
        <v>118</v>
      </c>
      <c r="AV70" t="s">
        <v>1760</v>
      </c>
      <c r="AW70" t="s">
        <v>107</v>
      </c>
      <c r="AX70" t="s">
        <v>106</v>
      </c>
      <c r="AY70" t="s">
        <v>106</v>
      </c>
      <c r="AZ70" t="s">
        <v>1573</v>
      </c>
      <c r="BA70" t="s">
        <v>1573</v>
      </c>
      <c r="BB70" t="s">
        <v>1762</v>
      </c>
    </row>
    <row r="71" spans="1:54" x14ac:dyDescent="0.25">
      <c r="A71" t="s">
        <v>1204</v>
      </c>
      <c r="B71" t="s">
        <v>165</v>
      </c>
      <c r="C71" t="str">
        <f>CONCATENATE(Export_Documentation_Database[[#This Row],[Exp. '#]],"-",Export_Documentation_Database[[#This Row],[Batch '#]])</f>
        <v>25-034-2nd B</v>
      </c>
      <c r="D71" t="s">
        <v>1205</v>
      </c>
      <c r="E71" t="s">
        <v>125</v>
      </c>
      <c r="F71" t="s">
        <v>128</v>
      </c>
      <c r="G71" t="s">
        <v>1755</v>
      </c>
      <c r="H71" t="s">
        <v>1755</v>
      </c>
      <c r="I71" s="19" t="s">
        <v>1755</v>
      </c>
      <c r="J71" s="19" t="s">
        <v>1755</v>
      </c>
      <c r="K71" s="19">
        <v>46115</v>
      </c>
      <c r="L71" t="s">
        <v>34</v>
      </c>
      <c r="M71" t="s">
        <v>132</v>
      </c>
      <c r="N71" t="s">
        <v>133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1756</v>
      </c>
      <c r="V71" t="s">
        <v>24</v>
      </c>
      <c r="W71" t="s">
        <v>24</v>
      </c>
      <c r="X71" t="s">
        <v>1757</v>
      </c>
      <c r="Y71" t="s">
        <v>24</v>
      </c>
      <c r="Z71" t="s">
        <v>24</v>
      </c>
      <c r="AA71" t="s">
        <v>24</v>
      </c>
      <c r="AC71" t="s">
        <v>24</v>
      </c>
      <c r="AD71" t="s">
        <v>24</v>
      </c>
      <c r="AE71" t="s">
        <v>24</v>
      </c>
      <c r="AF71" t="s">
        <v>24</v>
      </c>
      <c r="AG71" t="s">
        <v>24</v>
      </c>
      <c r="AH71" t="s">
        <v>24</v>
      </c>
      <c r="AI71" t="s">
        <v>1755</v>
      </c>
      <c r="AJ71" t="s">
        <v>1755</v>
      </c>
      <c r="AK71" t="s">
        <v>24</v>
      </c>
      <c r="AL71">
        <v>20</v>
      </c>
      <c r="AM71">
        <v>17</v>
      </c>
      <c r="AN71">
        <v>3</v>
      </c>
      <c r="AO71">
        <v>0.85</v>
      </c>
      <c r="AP71">
        <v>1</v>
      </c>
      <c r="AQ71">
        <v>0.83333333333333337</v>
      </c>
      <c r="AR71">
        <v>0.75</v>
      </c>
      <c r="AS71" t="s">
        <v>1758</v>
      </c>
      <c r="AT71" t="s">
        <v>1759</v>
      </c>
      <c r="AU71">
        <v>90</v>
      </c>
      <c r="AV71" t="s">
        <v>1760</v>
      </c>
      <c r="AW71" t="s">
        <v>107</v>
      </c>
      <c r="AX71" t="s">
        <v>106</v>
      </c>
      <c r="AY71" t="s">
        <v>106</v>
      </c>
      <c r="AZ71" t="s">
        <v>1573</v>
      </c>
      <c r="BA71" t="s">
        <v>1573</v>
      </c>
      <c r="BB71" t="s">
        <v>1762</v>
      </c>
    </row>
    <row r="72" spans="1:54" x14ac:dyDescent="0.25">
      <c r="A72" t="s">
        <v>932</v>
      </c>
      <c r="B72" t="s">
        <v>1210</v>
      </c>
      <c r="C72" t="str">
        <f>CONCATENATE(Export_Documentation_Database[[#This Row],[Exp. '#]],"-",Export_Documentation_Database[[#This Row],[Batch '#]])</f>
        <v>2393rd-1st B</v>
      </c>
      <c r="D72" t="s">
        <v>23</v>
      </c>
      <c r="E72" t="s">
        <v>710</v>
      </c>
      <c r="F72" t="s">
        <v>128</v>
      </c>
      <c r="G72" t="s">
        <v>631</v>
      </c>
      <c r="H72" t="s">
        <v>1755</v>
      </c>
      <c r="I72" s="19" t="s">
        <v>1755</v>
      </c>
      <c r="J72" s="19" t="s">
        <v>1755</v>
      </c>
      <c r="K72" s="19">
        <v>46090</v>
      </c>
      <c r="L72" t="s">
        <v>30</v>
      </c>
      <c r="M72" t="s">
        <v>277</v>
      </c>
      <c r="N72" t="s">
        <v>133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1756</v>
      </c>
      <c r="V72" t="s">
        <v>24</v>
      </c>
      <c r="W72" t="s">
        <v>24</v>
      </c>
      <c r="X72" t="s">
        <v>1757</v>
      </c>
      <c r="Y72" t="s">
        <v>24</v>
      </c>
      <c r="Z72" t="s">
        <v>24</v>
      </c>
      <c r="AA72" t="s">
        <v>24</v>
      </c>
      <c r="AC72" t="s">
        <v>24</v>
      </c>
      <c r="AD72" t="s">
        <v>24</v>
      </c>
      <c r="AE72" t="s">
        <v>24</v>
      </c>
      <c r="AF72" t="s">
        <v>24</v>
      </c>
      <c r="AG72" t="s">
        <v>24</v>
      </c>
      <c r="AH72" t="s">
        <v>24</v>
      </c>
      <c r="AI72" t="s">
        <v>1755</v>
      </c>
      <c r="AJ72" t="s">
        <v>1755</v>
      </c>
      <c r="AK72" t="s">
        <v>24</v>
      </c>
      <c r="AL72">
        <v>20</v>
      </c>
      <c r="AM72">
        <v>17</v>
      </c>
      <c r="AN72">
        <v>3</v>
      </c>
      <c r="AO72">
        <v>0.85</v>
      </c>
      <c r="AP72">
        <v>1</v>
      </c>
      <c r="AQ72">
        <v>0.83333333333333337</v>
      </c>
      <c r="AR72">
        <v>0.75</v>
      </c>
      <c r="AS72" t="s">
        <v>1758</v>
      </c>
      <c r="AT72" t="s">
        <v>1759</v>
      </c>
      <c r="AU72">
        <v>115</v>
      </c>
      <c r="AV72" t="s">
        <v>1760</v>
      </c>
      <c r="AW72" t="s">
        <v>107</v>
      </c>
      <c r="AX72" t="s">
        <v>106</v>
      </c>
      <c r="AY72" t="s">
        <v>106</v>
      </c>
      <c r="AZ72" t="s">
        <v>1573</v>
      </c>
      <c r="BA72" t="s">
        <v>1573</v>
      </c>
      <c r="BB72" t="s">
        <v>1762</v>
      </c>
    </row>
    <row r="73" spans="1:54" x14ac:dyDescent="0.25">
      <c r="A73" t="s">
        <v>795</v>
      </c>
      <c r="B73" t="s">
        <v>1210</v>
      </c>
      <c r="C73" t="str">
        <f>CONCATENATE(Export_Documentation_Database[[#This Row],[Exp. '#]],"-",Export_Documentation_Database[[#This Row],[Batch '#]])</f>
        <v>2364th-1st B</v>
      </c>
      <c r="D73" t="s">
        <v>23</v>
      </c>
      <c r="E73" t="s">
        <v>710</v>
      </c>
      <c r="F73" t="s">
        <v>128</v>
      </c>
      <c r="G73" t="s">
        <v>631</v>
      </c>
      <c r="H73" t="s">
        <v>1755</v>
      </c>
      <c r="I73" s="19" t="s">
        <v>1755</v>
      </c>
      <c r="J73" s="19" t="s">
        <v>1755</v>
      </c>
      <c r="K73" s="19">
        <v>46090</v>
      </c>
      <c r="L73" t="s">
        <v>30</v>
      </c>
      <c r="M73" t="s">
        <v>277</v>
      </c>
      <c r="N73" t="s">
        <v>133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1756</v>
      </c>
      <c r="V73" t="s">
        <v>24</v>
      </c>
      <c r="W73" t="s">
        <v>24</v>
      </c>
      <c r="X73" t="s">
        <v>1757</v>
      </c>
      <c r="Y73" t="s">
        <v>24</v>
      </c>
      <c r="Z73" t="s">
        <v>24</v>
      </c>
      <c r="AA73" t="s">
        <v>24</v>
      </c>
      <c r="AC73" t="s">
        <v>24</v>
      </c>
      <c r="AD73" t="s">
        <v>24</v>
      </c>
      <c r="AE73" t="s">
        <v>24</v>
      </c>
      <c r="AF73" t="s">
        <v>24</v>
      </c>
      <c r="AG73" t="s">
        <v>24</v>
      </c>
      <c r="AH73" t="s">
        <v>24</v>
      </c>
      <c r="AI73" t="s">
        <v>1755</v>
      </c>
      <c r="AJ73" t="s">
        <v>1755</v>
      </c>
      <c r="AK73" t="s">
        <v>24</v>
      </c>
      <c r="AL73">
        <v>20</v>
      </c>
      <c r="AM73">
        <v>17</v>
      </c>
      <c r="AN73">
        <v>3</v>
      </c>
      <c r="AO73">
        <v>0.85</v>
      </c>
      <c r="AP73">
        <v>1</v>
      </c>
      <c r="AQ73">
        <v>0.83333333333333337</v>
      </c>
      <c r="AR73">
        <v>0.75</v>
      </c>
      <c r="AS73" t="s">
        <v>1758</v>
      </c>
      <c r="AT73" t="s">
        <v>1759</v>
      </c>
      <c r="AU73">
        <v>115</v>
      </c>
      <c r="AV73" t="s">
        <v>1760</v>
      </c>
      <c r="AW73" t="s">
        <v>107</v>
      </c>
      <c r="AX73" t="s">
        <v>106</v>
      </c>
      <c r="AY73" t="s">
        <v>106</v>
      </c>
      <c r="AZ73" t="s">
        <v>1573</v>
      </c>
      <c r="BA73" t="s">
        <v>1573</v>
      </c>
      <c r="BB73" t="s">
        <v>1762</v>
      </c>
    </row>
    <row r="74" spans="1:54" x14ac:dyDescent="0.25">
      <c r="A74" t="s">
        <v>719</v>
      </c>
      <c r="B74" t="s">
        <v>1755</v>
      </c>
      <c r="C74" t="str">
        <f>CONCATENATE(Export_Documentation_Database[[#This Row],[Exp. '#]],"-",Export_Documentation_Database[[#This Row],[Batch '#]])</f>
        <v>2352nd--</v>
      </c>
      <c r="D74" t="s">
        <v>720</v>
      </c>
      <c r="E74" t="s">
        <v>125</v>
      </c>
      <c r="F74" t="s">
        <v>128</v>
      </c>
      <c r="G74" t="s">
        <v>1755</v>
      </c>
      <c r="H74" t="s">
        <v>1755</v>
      </c>
      <c r="I74" s="19" t="s">
        <v>1755</v>
      </c>
      <c r="J74" s="19" t="s">
        <v>1755</v>
      </c>
      <c r="K74" s="19">
        <v>46091</v>
      </c>
      <c r="L74" t="s">
        <v>30</v>
      </c>
      <c r="M74" t="s">
        <v>132</v>
      </c>
      <c r="N74" t="s">
        <v>133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1756</v>
      </c>
      <c r="V74" t="s">
        <v>24</v>
      </c>
      <c r="W74" t="s">
        <v>24</v>
      </c>
      <c r="X74" t="s">
        <v>1765</v>
      </c>
      <c r="Y74" t="s">
        <v>24</v>
      </c>
      <c r="Z74" t="s">
        <v>24</v>
      </c>
      <c r="AA74" t="s">
        <v>24</v>
      </c>
      <c r="AC74" t="s">
        <v>24</v>
      </c>
      <c r="AD74" t="s">
        <v>24</v>
      </c>
      <c r="AE74" t="s">
        <v>24</v>
      </c>
      <c r="AF74" t="s">
        <v>24</v>
      </c>
      <c r="AG74" t="s">
        <v>24</v>
      </c>
      <c r="AH74" t="s">
        <v>24</v>
      </c>
      <c r="AI74" t="s">
        <v>1755</v>
      </c>
      <c r="AJ74" t="s">
        <v>1755</v>
      </c>
      <c r="AK74" t="s">
        <v>24</v>
      </c>
      <c r="AL74">
        <v>20</v>
      </c>
      <c r="AM74">
        <v>17</v>
      </c>
      <c r="AN74">
        <v>3</v>
      </c>
      <c r="AO74">
        <v>0.85</v>
      </c>
      <c r="AP74">
        <v>1</v>
      </c>
      <c r="AQ74">
        <v>0.83333333333333337</v>
      </c>
      <c r="AR74">
        <v>0.75</v>
      </c>
      <c r="AS74" t="s">
        <v>1758</v>
      </c>
      <c r="AT74" t="s">
        <v>1759</v>
      </c>
      <c r="AU74">
        <v>114</v>
      </c>
      <c r="AV74" t="s">
        <v>1760</v>
      </c>
      <c r="AW74" t="s">
        <v>107</v>
      </c>
      <c r="AX74" t="s">
        <v>106</v>
      </c>
      <c r="AY74" t="s">
        <v>106</v>
      </c>
      <c r="AZ74" t="s">
        <v>1573</v>
      </c>
      <c r="BA74" t="s">
        <v>1573</v>
      </c>
      <c r="BB74" t="s">
        <v>1762</v>
      </c>
    </row>
    <row r="75" spans="1:54" x14ac:dyDescent="0.25">
      <c r="A75" t="s">
        <v>932</v>
      </c>
      <c r="B75" t="s">
        <v>165</v>
      </c>
      <c r="C75" t="str">
        <f>CONCATENATE(Export_Documentation_Database[[#This Row],[Exp. '#]],"-",Export_Documentation_Database[[#This Row],[Batch '#]])</f>
        <v>2393rd-2nd B</v>
      </c>
      <c r="D75" t="s">
        <v>23</v>
      </c>
      <c r="E75" t="s">
        <v>710</v>
      </c>
      <c r="F75" t="s">
        <v>128</v>
      </c>
      <c r="G75" t="s">
        <v>631</v>
      </c>
      <c r="H75" t="s">
        <v>1755</v>
      </c>
      <c r="I75" s="19" t="s">
        <v>1755</v>
      </c>
      <c r="J75" s="19" t="s">
        <v>1755</v>
      </c>
      <c r="K75" s="19">
        <v>46096</v>
      </c>
      <c r="L75" t="s">
        <v>30</v>
      </c>
      <c r="M75" t="s">
        <v>277</v>
      </c>
      <c r="N75" t="s">
        <v>133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1756</v>
      </c>
      <c r="V75" t="s">
        <v>24</v>
      </c>
      <c r="W75" t="s">
        <v>24</v>
      </c>
      <c r="X75" t="s">
        <v>1757</v>
      </c>
      <c r="Y75" t="s">
        <v>24</v>
      </c>
      <c r="Z75" t="s">
        <v>24</v>
      </c>
      <c r="AA75" t="s">
        <v>24</v>
      </c>
      <c r="AC75" t="s">
        <v>24</v>
      </c>
      <c r="AD75" t="s">
        <v>24</v>
      </c>
      <c r="AE75" t="s">
        <v>24</v>
      </c>
      <c r="AF75" t="s">
        <v>24</v>
      </c>
      <c r="AG75" t="s">
        <v>24</v>
      </c>
      <c r="AH75" t="s">
        <v>24</v>
      </c>
      <c r="AI75" t="s">
        <v>24</v>
      </c>
      <c r="AJ75" t="s">
        <v>1755</v>
      </c>
      <c r="AK75" t="s">
        <v>24</v>
      </c>
      <c r="AL75">
        <v>20</v>
      </c>
      <c r="AM75">
        <v>18</v>
      </c>
      <c r="AN75">
        <v>2</v>
      </c>
      <c r="AO75">
        <v>0.9</v>
      </c>
      <c r="AP75">
        <v>1</v>
      </c>
      <c r="AQ75">
        <v>0.83333333333333337</v>
      </c>
      <c r="AR75">
        <v>0.875</v>
      </c>
      <c r="AS75" t="s">
        <v>1758</v>
      </c>
      <c r="AT75" t="s">
        <v>1759</v>
      </c>
      <c r="AU75">
        <v>109</v>
      </c>
      <c r="AV75" t="s">
        <v>1760</v>
      </c>
      <c r="AW75" t="s">
        <v>107</v>
      </c>
      <c r="AX75" t="s">
        <v>106</v>
      </c>
      <c r="AY75" t="s">
        <v>106</v>
      </c>
      <c r="AZ75" t="s">
        <v>1573</v>
      </c>
      <c r="BA75" t="s">
        <v>1573</v>
      </c>
      <c r="BB75" t="s">
        <v>1766</v>
      </c>
    </row>
    <row r="76" spans="1:54" x14ac:dyDescent="0.25">
      <c r="A76" t="s">
        <v>934</v>
      </c>
      <c r="B76" t="s">
        <v>1210</v>
      </c>
      <c r="C76" t="str">
        <f>CONCATENATE(Export_Documentation_Database[[#This Row],[Exp. '#]],"-",Export_Documentation_Database[[#This Row],[Batch '#]])</f>
        <v>2394th-1st B</v>
      </c>
      <c r="D76" t="s">
        <v>23</v>
      </c>
      <c r="E76" t="s">
        <v>710</v>
      </c>
      <c r="F76" t="s">
        <v>128</v>
      </c>
      <c r="G76" t="s">
        <v>631</v>
      </c>
      <c r="H76" t="s">
        <v>1755</v>
      </c>
      <c r="I76" s="19" t="s">
        <v>1755</v>
      </c>
      <c r="J76" s="19" t="s">
        <v>1755</v>
      </c>
      <c r="K76" s="19">
        <v>46098</v>
      </c>
      <c r="L76" t="s">
        <v>30</v>
      </c>
      <c r="M76" t="s">
        <v>277</v>
      </c>
      <c r="N76" t="s">
        <v>133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1756</v>
      </c>
      <c r="V76" t="s">
        <v>24</v>
      </c>
      <c r="W76" t="s">
        <v>24</v>
      </c>
      <c r="X76" t="s">
        <v>1757</v>
      </c>
      <c r="Y76" t="s">
        <v>24</v>
      </c>
      <c r="Z76" t="s">
        <v>24</v>
      </c>
      <c r="AA76" t="s">
        <v>24</v>
      </c>
      <c r="AC76" t="s">
        <v>24</v>
      </c>
      <c r="AD76" t="s">
        <v>24</v>
      </c>
      <c r="AE76" t="s">
        <v>24</v>
      </c>
      <c r="AF76" t="s">
        <v>24</v>
      </c>
      <c r="AG76" t="s">
        <v>24</v>
      </c>
      <c r="AH76" t="s">
        <v>24</v>
      </c>
      <c r="AI76" t="s">
        <v>1755</v>
      </c>
      <c r="AJ76" t="s">
        <v>1755</v>
      </c>
      <c r="AK76" t="s">
        <v>24</v>
      </c>
      <c r="AL76">
        <v>20</v>
      </c>
      <c r="AM76">
        <v>17</v>
      </c>
      <c r="AN76">
        <v>3</v>
      </c>
      <c r="AO76">
        <v>0.85</v>
      </c>
      <c r="AP76">
        <v>1</v>
      </c>
      <c r="AQ76">
        <v>0.83333333333333337</v>
      </c>
      <c r="AR76">
        <v>0.75</v>
      </c>
      <c r="AS76" t="s">
        <v>1758</v>
      </c>
      <c r="AT76" t="s">
        <v>1759</v>
      </c>
      <c r="AU76">
        <v>107</v>
      </c>
      <c r="AV76" t="s">
        <v>1760</v>
      </c>
      <c r="AW76" t="s">
        <v>107</v>
      </c>
      <c r="AX76" t="s">
        <v>106</v>
      </c>
      <c r="AY76" t="s">
        <v>106</v>
      </c>
      <c r="AZ76" t="s">
        <v>1573</v>
      </c>
      <c r="BA76" t="s">
        <v>1573</v>
      </c>
      <c r="BB76" t="s">
        <v>1762</v>
      </c>
    </row>
    <row r="77" spans="1:54" x14ac:dyDescent="0.25">
      <c r="A77" t="s">
        <v>783</v>
      </c>
      <c r="B77" t="s">
        <v>1755</v>
      </c>
      <c r="C77" t="str">
        <f>CONCATENATE(Export_Documentation_Database[[#This Row],[Exp. '#]],"-",Export_Documentation_Database[[#This Row],[Batch '#]])</f>
        <v>2362nd--</v>
      </c>
      <c r="D77" t="s">
        <v>784</v>
      </c>
      <c r="E77" t="s">
        <v>181</v>
      </c>
      <c r="F77" t="s">
        <v>128</v>
      </c>
      <c r="G77" t="s">
        <v>1755</v>
      </c>
      <c r="H77" t="s">
        <v>1755</v>
      </c>
      <c r="I77" s="19" t="s">
        <v>1755</v>
      </c>
      <c r="J77" s="19" t="s">
        <v>1755</v>
      </c>
      <c r="K77" s="19">
        <v>46106</v>
      </c>
      <c r="L77" t="s">
        <v>30</v>
      </c>
      <c r="M77" t="s">
        <v>132</v>
      </c>
      <c r="N77" t="s">
        <v>133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1756</v>
      </c>
      <c r="V77" t="s">
        <v>24</v>
      </c>
      <c r="W77" t="s">
        <v>24</v>
      </c>
      <c r="X77" t="s">
        <v>1765</v>
      </c>
      <c r="Y77" t="s">
        <v>24</v>
      </c>
      <c r="Z77" t="s">
        <v>24</v>
      </c>
      <c r="AA77" t="s">
        <v>24</v>
      </c>
      <c r="AB77" t="s">
        <v>24</v>
      </c>
      <c r="AC77" t="s">
        <v>24</v>
      </c>
      <c r="AD77" t="s">
        <v>24</v>
      </c>
      <c r="AE77" t="s">
        <v>24</v>
      </c>
      <c r="AF77" t="s">
        <v>24</v>
      </c>
      <c r="AG77" t="s">
        <v>24</v>
      </c>
      <c r="AH77" t="s">
        <v>24</v>
      </c>
      <c r="AI77" t="s">
        <v>1755</v>
      </c>
      <c r="AJ77" t="s">
        <v>24</v>
      </c>
      <c r="AK77" t="s">
        <v>24</v>
      </c>
      <c r="AL77">
        <v>20</v>
      </c>
      <c r="AM77">
        <v>19</v>
      </c>
      <c r="AN77">
        <v>1</v>
      </c>
      <c r="AO77">
        <v>0.95</v>
      </c>
      <c r="AP77">
        <v>1</v>
      </c>
      <c r="AQ77">
        <v>1</v>
      </c>
      <c r="AR77">
        <v>0.875</v>
      </c>
      <c r="AS77" t="s">
        <v>1758</v>
      </c>
      <c r="AT77" t="s">
        <v>1759</v>
      </c>
      <c r="AU77">
        <v>99</v>
      </c>
      <c r="AV77" t="s">
        <v>1760</v>
      </c>
      <c r="AW77" t="s">
        <v>107</v>
      </c>
      <c r="AX77" t="s">
        <v>107</v>
      </c>
      <c r="AY77" t="s">
        <v>106</v>
      </c>
      <c r="AZ77" t="s">
        <v>1573</v>
      </c>
      <c r="BA77" t="s">
        <v>1573</v>
      </c>
      <c r="BB77" t="s">
        <v>1761</v>
      </c>
    </row>
    <row r="78" spans="1:54" x14ac:dyDescent="0.25">
      <c r="A78" t="s">
        <v>932</v>
      </c>
      <c r="B78" t="s">
        <v>302</v>
      </c>
      <c r="C78" t="str">
        <f>CONCATENATE(Export_Documentation_Database[[#This Row],[Exp. '#]],"-",Export_Documentation_Database[[#This Row],[Batch '#]])</f>
        <v>2393rd-3rd B</v>
      </c>
      <c r="D78" t="s">
        <v>23</v>
      </c>
      <c r="E78" t="s">
        <v>710</v>
      </c>
      <c r="F78" t="s">
        <v>128</v>
      </c>
      <c r="G78" t="s">
        <v>631</v>
      </c>
      <c r="H78" t="s">
        <v>1755</v>
      </c>
      <c r="I78" s="19" t="s">
        <v>1755</v>
      </c>
      <c r="J78" s="19" t="s">
        <v>1755</v>
      </c>
      <c r="K78" s="19">
        <v>46108</v>
      </c>
      <c r="L78" t="s">
        <v>30</v>
      </c>
      <c r="M78" t="s">
        <v>277</v>
      </c>
      <c r="N78" t="s">
        <v>133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1756</v>
      </c>
      <c r="V78" t="s">
        <v>24</v>
      </c>
      <c r="W78" t="s">
        <v>24</v>
      </c>
      <c r="X78" t="s">
        <v>1757</v>
      </c>
      <c r="Y78" t="s">
        <v>24</v>
      </c>
      <c r="Z78" t="s">
        <v>24</v>
      </c>
      <c r="AA78" t="s">
        <v>24</v>
      </c>
      <c r="AC78" t="s">
        <v>24</v>
      </c>
      <c r="AD78" t="s">
        <v>24</v>
      </c>
      <c r="AE78" t="s">
        <v>24</v>
      </c>
      <c r="AF78" t="s">
        <v>24</v>
      </c>
      <c r="AG78" t="s">
        <v>24</v>
      </c>
      <c r="AH78" t="s">
        <v>24</v>
      </c>
      <c r="AI78" t="s">
        <v>24</v>
      </c>
      <c r="AJ78" t="s">
        <v>1755</v>
      </c>
      <c r="AK78" t="s">
        <v>24</v>
      </c>
      <c r="AL78">
        <v>20</v>
      </c>
      <c r="AM78">
        <v>18</v>
      </c>
      <c r="AN78">
        <v>2</v>
      </c>
      <c r="AO78">
        <v>0.9</v>
      </c>
      <c r="AP78">
        <v>1</v>
      </c>
      <c r="AQ78">
        <v>0.83333333333333337</v>
      </c>
      <c r="AR78">
        <v>0.875</v>
      </c>
      <c r="AS78" t="s">
        <v>1758</v>
      </c>
      <c r="AT78" t="s">
        <v>1759</v>
      </c>
      <c r="AU78">
        <v>97</v>
      </c>
      <c r="AV78" t="s">
        <v>1760</v>
      </c>
      <c r="AW78" t="s">
        <v>107</v>
      </c>
      <c r="AX78" t="s">
        <v>106</v>
      </c>
      <c r="AY78" t="s">
        <v>106</v>
      </c>
      <c r="AZ78" t="s">
        <v>1573</v>
      </c>
      <c r="BA78" t="s">
        <v>1573</v>
      </c>
      <c r="BB78" t="s">
        <v>1766</v>
      </c>
    </row>
    <row r="79" spans="1:54" x14ac:dyDescent="0.25">
      <c r="A79" t="s">
        <v>934</v>
      </c>
      <c r="B79" t="s">
        <v>165</v>
      </c>
      <c r="C79" t="str">
        <f>CONCATENATE(Export_Documentation_Database[[#This Row],[Exp. '#]],"-",Export_Documentation_Database[[#This Row],[Batch '#]])</f>
        <v>2394th-2nd B</v>
      </c>
      <c r="D79" t="s">
        <v>23</v>
      </c>
      <c r="E79" t="s">
        <v>710</v>
      </c>
      <c r="F79" t="s">
        <v>288</v>
      </c>
      <c r="G79" t="s">
        <v>631</v>
      </c>
      <c r="H79" t="s">
        <v>1755</v>
      </c>
      <c r="I79" s="19" t="s">
        <v>1755</v>
      </c>
      <c r="J79" s="19" t="s">
        <v>1755</v>
      </c>
      <c r="K79" s="19">
        <v>46117</v>
      </c>
      <c r="L79" t="s">
        <v>34</v>
      </c>
      <c r="M79" t="s">
        <v>277</v>
      </c>
      <c r="N79" t="s">
        <v>133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1756</v>
      </c>
      <c r="V79" t="s">
        <v>24</v>
      </c>
      <c r="W79" t="s">
        <v>24</v>
      </c>
      <c r="X79" t="s">
        <v>1757</v>
      </c>
      <c r="Y79" t="s">
        <v>24</v>
      </c>
      <c r="Z79" t="s">
        <v>24</v>
      </c>
      <c r="AA79" t="s">
        <v>24</v>
      </c>
      <c r="AC79" t="s">
        <v>24</v>
      </c>
      <c r="AD79" t="s">
        <v>24</v>
      </c>
      <c r="AE79" t="s">
        <v>24</v>
      </c>
      <c r="AF79" t="s">
        <v>24</v>
      </c>
      <c r="AG79" t="s">
        <v>24</v>
      </c>
      <c r="AH79" t="s">
        <v>24</v>
      </c>
      <c r="AI79" t="s">
        <v>1755</v>
      </c>
      <c r="AJ79" t="s">
        <v>1755</v>
      </c>
      <c r="AK79" t="s">
        <v>24</v>
      </c>
      <c r="AL79">
        <v>20</v>
      </c>
      <c r="AM79">
        <v>17</v>
      </c>
      <c r="AN79">
        <v>3</v>
      </c>
      <c r="AO79">
        <v>0.85</v>
      </c>
      <c r="AP79">
        <v>1</v>
      </c>
      <c r="AQ79">
        <v>0.83333333333333337</v>
      </c>
      <c r="AR79">
        <v>0.75</v>
      </c>
      <c r="AS79" t="s">
        <v>1758</v>
      </c>
      <c r="AT79" t="s">
        <v>1759</v>
      </c>
      <c r="AU79">
        <v>88</v>
      </c>
      <c r="AV79" t="s">
        <v>1760</v>
      </c>
      <c r="AW79" t="s">
        <v>107</v>
      </c>
      <c r="AX79" t="s">
        <v>106</v>
      </c>
      <c r="AY79" t="s">
        <v>106</v>
      </c>
      <c r="AZ79" t="s">
        <v>1573</v>
      </c>
      <c r="BA79" t="s">
        <v>1573</v>
      </c>
      <c r="BB79" t="s">
        <v>1762</v>
      </c>
    </row>
    <row r="80" spans="1:54" x14ac:dyDescent="0.25">
      <c r="A80" t="s">
        <v>855</v>
      </c>
      <c r="B80" t="s">
        <v>1755</v>
      </c>
      <c r="C80" t="str">
        <f>CONCATENATE(Export_Documentation_Database[[#This Row],[Exp. '#]],"-",Export_Documentation_Database[[#This Row],[Batch '#]])</f>
        <v>2377th--</v>
      </c>
      <c r="D80" t="s">
        <v>856</v>
      </c>
      <c r="E80" t="s">
        <v>710</v>
      </c>
      <c r="F80" t="s">
        <v>128</v>
      </c>
      <c r="G80" t="s">
        <v>631</v>
      </c>
      <c r="H80" t="s">
        <v>1755</v>
      </c>
      <c r="I80" s="19" t="s">
        <v>1755</v>
      </c>
      <c r="J80" s="19" t="s">
        <v>1755</v>
      </c>
      <c r="K80" s="19">
        <v>46110</v>
      </c>
      <c r="L80" t="s">
        <v>30</v>
      </c>
      <c r="M80" t="s">
        <v>132</v>
      </c>
      <c r="N80" t="s">
        <v>133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1756</v>
      </c>
      <c r="V80" t="s">
        <v>24</v>
      </c>
      <c r="W80" t="s">
        <v>24</v>
      </c>
      <c r="X80" t="s">
        <v>1757</v>
      </c>
      <c r="Y80" t="s">
        <v>24</v>
      </c>
      <c r="Z80" t="s">
        <v>24</v>
      </c>
      <c r="AA80" t="s">
        <v>24</v>
      </c>
      <c r="AC80" t="s">
        <v>24</v>
      </c>
      <c r="AD80" t="s">
        <v>24</v>
      </c>
      <c r="AE80" t="s">
        <v>24</v>
      </c>
      <c r="AF80" t="s">
        <v>24</v>
      </c>
      <c r="AG80" t="s">
        <v>24</v>
      </c>
      <c r="AH80" t="s">
        <v>24</v>
      </c>
      <c r="AI80" t="s">
        <v>1755</v>
      </c>
      <c r="AJ80" t="s">
        <v>1755</v>
      </c>
      <c r="AK80" t="s">
        <v>24</v>
      </c>
      <c r="AL80">
        <v>20</v>
      </c>
      <c r="AM80">
        <v>17</v>
      </c>
      <c r="AN80">
        <v>3</v>
      </c>
      <c r="AO80">
        <v>0.85</v>
      </c>
      <c r="AP80">
        <v>1</v>
      </c>
      <c r="AQ80">
        <v>0.83333333333333337</v>
      </c>
      <c r="AR80">
        <v>0.75</v>
      </c>
      <c r="AS80" t="s">
        <v>1758</v>
      </c>
      <c r="AT80" t="s">
        <v>1759</v>
      </c>
      <c r="AU80">
        <v>95</v>
      </c>
      <c r="AV80" t="s">
        <v>1760</v>
      </c>
      <c r="AW80" t="s">
        <v>107</v>
      </c>
      <c r="AX80" t="s">
        <v>106</v>
      </c>
      <c r="AY80" t="s">
        <v>106</v>
      </c>
      <c r="AZ80" t="s">
        <v>1573</v>
      </c>
      <c r="BA80" t="s">
        <v>1573</v>
      </c>
      <c r="BB80" t="s">
        <v>1762</v>
      </c>
    </row>
    <row r="81" spans="1:54" x14ac:dyDescent="0.25">
      <c r="A81" t="s">
        <v>927</v>
      </c>
      <c r="B81" t="s">
        <v>1755</v>
      </c>
      <c r="C81" t="str">
        <f>CONCATENATE(Export_Documentation_Database[[#This Row],[Exp. '#]],"-",Export_Documentation_Database[[#This Row],[Batch '#]])</f>
        <v>2391st--</v>
      </c>
      <c r="D81" t="s">
        <v>23</v>
      </c>
      <c r="E81" t="s">
        <v>710</v>
      </c>
      <c r="F81" t="s">
        <v>288</v>
      </c>
      <c r="G81" t="s">
        <v>631</v>
      </c>
      <c r="H81" t="s">
        <v>1755</v>
      </c>
      <c r="I81" s="19" t="s">
        <v>1755</v>
      </c>
      <c r="J81" s="19" t="s">
        <v>1755</v>
      </c>
      <c r="K81" s="19">
        <v>46114</v>
      </c>
      <c r="L81" t="s">
        <v>34</v>
      </c>
      <c r="M81" t="s">
        <v>277</v>
      </c>
      <c r="N81" t="s">
        <v>133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1756</v>
      </c>
      <c r="V81" t="s">
        <v>24</v>
      </c>
      <c r="W81" t="s">
        <v>24</v>
      </c>
      <c r="X81" t="s">
        <v>1757</v>
      </c>
      <c r="Y81" t="s">
        <v>24</v>
      </c>
      <c r="Z81" t="s">
        <v>24</v>
      </c>
      <c r="AA81" t="s">
        <v>24</v>
      </c>
      <c r="AC81" t="s">
        <v>24</v>
      </c>
      <c r="AD81" t="s">
        <v>24</v>
      </c>
      <c r="AE81" t="s">
        <v>24</v>
      </c>
      <c r="AF81" t="s">
        <v>24</v>
      </c>
      <c r="AG81" t="s">
        <v>24</v>
      </c>
      <c r="AH81" t="s">
        <v>24</v>
      </c>
      <c r="AI81" t="s">
        <v>1755</v>
      </c>
      <c r="AJ81" t="s">
        <v>1755</v>
      </c>
      <c r="AK81" t="s">
        <v>24</v>
      </c>
      <c r="AL81">
        <v>20</v>
      </c>
      <c r="AM81">
        <v>17</v>
      </c>
      <c r="AN81">
        <v>3</v>
      </c>
      <c r="AO81">
        <v>0.85</v>
      </c>
      <c r="AP81">
        <v>1</v>
      </c>
      <c r="AQ81">
        <v>0.83333333333333337</v>
      </c>
      <c r="AR81">
        <v>0.75</v>
      </c>
      <c r="AS81" t="s">
        <v>1758</v>
      </c>
      <c r="AT81" t="s">
        <v>1759</v>
      </c>
      <c r="AU81">
        <v>91</v>
      </c>
      <c r="AV81" t="s">
        <v>1760</v>
      </c>
      <c r="AW81" t="s">
        <v>107</v>
      </c>
      <c r="AX81" t="s">
        <v>106</v>
      </c>
      <c r="AY81" t="s">
        <v>106</v>
      </c>
      <c r="AZ81" t="s">
        <v>1573</v>
      </c>
      <c r="BA81" t="s">
        <v>1573</v>
      </c>
      <c r="BB81" t="s">
        <v>1762</v>
      </c>
    </row>
    <row r="82" spans="1:54" x14ac:dyDescent="0.25">
      <c r="A82" t="s">
        <v>795</v>
      </c>
      <c r="B82" t="s">
        <v>165</v>
      </c>
      <c r="C82" t="str">
        <f>CONCATENATE(Export_Documentation_Database[[#This Row],[Exp. '#]],"-",Export_Documentation_Database[[#This Row],[Batch '#]])</f>
        <v>2364th-2nd B</v>
      </c>
      <c r="D82" t="s">
        <v>23</v>
      </c>
      <c r="E82" t="s">
        <v>710</v>
      </c>
      <c r="F82" t="s">
        <v>128</v>
      </c>
      <c r="G82" t="s">
        <v>631</v>
      </c>
      <c r="H82" t="s">
        <v>1755</v>
      </c>
      <c r="I82" s="19" t="s">
        <v>1755</v>
      </c>
      <c r="J82" s="19" t="s">
        <v>1755</v>
      </c>
      <c r="K82" s="19">
        <v>46108</v>
      </c>
      <c r="L82" t="s">
        <v>30</v>
      </c>
      <c r="M82" t="s">
        <v>277</v>
      </c>
      <c r="N82" t="s">
        <v>133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1756</v>
      </c>
      <c r="V82" t="s">
        <v>24</v>
      </c>
      <c r="W82" t="s">
        <v>24</v>
      </c>
      <c r="X82" t="s">
        <v>1757</v>
      </c>
      <c r="Y82" t="s">
        <v>24</v>
      </c>
      <c r="Z82" t="s">
        <v>24</v>
      </c>
      <c r="AA82" t="s">
        <v>24</v>
      </c>
      <c r="AC82" t="s">
        <v>24</v>
      </c>
      <c r="AD82" t="s">
        <v>24</v>
      </c>
      <c r="AE82" t="s">
        <v>24</v>
      </c>
      <c r="AF82" t="s">
        <v>24</v>
      </c>
      <c r="AG82" t="s">
        <v>24</v>
      </c>
      <c r="AH82" t="s">
        <v>24</v>
      </c>
      <c r="AI82" t="s">
        <v>1755</v>
      </c>
      <c r="AJ82" t="s">
        <v>1755</v>
      </c>
      <c r="AK82" t="s">
        <v>24</v>
      </c>
      <c r="AL82">
        <v>20</v>
      </c>
      <c r="AM82">
        <v>17</v>
      </c>
      <c r="AN82">
        <v>3</v>
      </c>
      <c r="AO82">
        <v>0.85</v>
      </c>
      <c r="AP82">
        <v>1</v>
      </c>
      <c r="AQ82">
        <v>0.83333333333333337</v>
      </c>
      <c r="AR82">
        <v>0.75</v>
      </c>
      <c r="AS82" t="s">
        <v>1758</v>
      </c>
      <c r="AT82" t="s">
        <v>1759</v>
      </c>
      <c r="AU82">
        <v>97</v>
      </c>
      <c r="AV82" t="s">
        <v>1760</v>
      </c>
      <c r="AW82" t="s">
        <v>107</v>
      </c>
      <c r="AX82" t="s">
        <v>106</v>
      </c>
      <c r="AY82" t="s">
        <v>106</v>
      </c>
      <c r="AZ82" t="s">
        <v>1573</v>
      </c>
      <c r="BA82" t="s">
        <v>1573</v>
      </c>
      <c r="BB82" t="s">
        <v>1762</v>
      </c>
    </row>
    <row r="83" spans="1:54" x14ac:dyDescent="0.25">
      <c r="A83" t="s">
        <v>742</v>
      </c>
      <c r="B83" t="s">
        <v>1755</v>
      </c>
      <c r="C83" t="str">
        <f>CONCATENATE(Export_Documentation_Database[[#This Row],[Exp. '#]],"-",Export_Documentation_Database[[#This Row],[Batch '#]])</f>
        <v>2356th--</v>
      </c>
      <c r="D83" t="s">
        <v>743</v>
      </c>
      <c r="E83" t="s">
        <v>181</v>
      </c>
      <c r="F83" t="s">
        <v>128</v>
      </c>
      <c r="G83" t="s">
        <v>1755</v>
      </c>
      <c r="H83" t="s">
        <v>1755</v>
      </c>
      <c r="I83" s="19" t="s">
        <v>1755</v>
      </c>
      <c r="J83" s="19" t="s">
        <v>1755</v>
      </c>
      <c r="K83" s="19">
        <v>46089</v>
      </c>
      <c r="L83" t="s">
        <v>30</v>
      </c>
      <c r="M83" t="s">
        <v>132</v>
      </c>
      <c r="N83" t="s">
        <v>133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1764</v>
      </c>
      <c r="V83" t="s">
        <v>24</v>
      </c>
      <c r="W83" t="s">
        <v>24</v>
      </c>
      <c r="X83" t="s">
        <v>1765</v>
      </c>
      <c r="Y83" t="s">
        <v>24</v>
      </c>
      <c r="Z83" t="s">
        <v>24</v>
      </c>
      <c r="AA83" t="s">
        <v>24</v>
      </c>
      <c r="AB83" t="s">
        <v>24</v>
      </c>
      <c r="AC83" t="s">
        <v>24</v>
      </c>
      <c r="AD83" t="s">
        <v>24</v>
      </c>
      <c r="AE83" t="s">
        <v>24</v>
      </c>
      <c r="AF83" t="s">
        <v>24</v>
      </c>
      <c r="AG83" t="s">
        <v>24</v>
      </c>
      <c r="AH83" t="s">
        <v>24</v>
      </c>
      <c r="AI83" t="s">
        <v>1755</v>
      </c>
      <c r="AJ83" t="s">
        <v>24</v>
      </c>
      <c r="AK83" t="s">
        <v>24</v>
      </c>
      <c r="AL83">
        <v>20</v>
      </c>
      <c r="AM83">
        <v>19</v>
      </c>
      <c r="AN83">
        <v>1</v>
      </c>
      <c r="AO83">
        <v>0.95</v>
      </c>
      <c r="AP83">
        <v>1</v>
      </c>
      <c r="AQ83">
        <v>1</v>
      </c>
      <c r="AR83">
        <v>0.875</v>
      </c>
      <c r="AS83" t="s">
        <v>1758</v>
      </c>
      <c r="AT83" t="s">
        <v>1759</v>
      </c>
      <c r="AU83">
        <v>116</v>
      </c>
      <c r="AV83" t="s">
        <v>1760</v>
      </c>
      <c r="AW83" t="s">
        <v>107</v>
      </c>
      <c r="AX83" t="s">
        <v>107</v>
      </c>
      <c r="AY83" t="s">
        <v>106</v>
      </c>
      <c r="AZ83" t="s">
        <v>1573</v>
      </c>
      <c r="BA83" t="s">
        <v>1573</v>
      </c>
      <c r="BB83" t="s">
        <v>1761</v>
      </c>
    </row>
    <row r="84" spans="1:54" x14ac:dyDescent="0.25">
      <c r="A84" t="s">
        <v>589</v>
      </c>
      <c r="B84" t="s">
        <v>1755</v>
      </c>
      <c r="C84" t="str">
        <f>CONCATENATE(Export_Documentation_Database[[#This Row],[Exp. '#]],"-",Export_Documentation_Database[[#This Row],[Batch '#]])</f>
        <v>2325th--</v>
      </c>
      <c r="D84" t="s">
        <v>590</v>
      </c>
      <c r="E84" t="s">
        <v>157</v>
      </c>
      <c r="F84" t="s">
        <v>182</v>
      </c>
      <c r="G84" t="s">
        <v>503</v>
      </c>
      <c r="H84">
        <v>1</v>
      </c>
      <c r="I84" s="19" t="s">
        <v>1755</v>
      </c>
      <c r="J84" s="19" t="s">
        <v>1755</v>
      </c>
      <c r="K84" s="19">
        <v>46097</v>
      </c>
      <c r="L84" t="s">
        <v>30</v>
      </c>
      <c r="M84" t="s">
        <v>277</v>
      </c>
      <c r="N84" t="s">
        <v>133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1764</v>
      </c>
      <c r="V84" t="s">
        <v>24</v>
      </c>
      <c r="W84" t="s">
        <v>24</v>
      </c>
      <c r="X84" t="s">
        <v>1757</v>
      </c>
      <c r="Y84" t="s">
        <v>24</v>
      </c>
      <c r="Z84" t="s">
        <v>24</v>
      </c>
      <c r="AA84" t="s">
        <v>24</v>
      </c>
      <c r="AC84" t="s">
        <v>24</v>
      </c>
      <c r="AD84" t="s">
        <v>24</v>
      </c>
      <c r="AE84" t="s">
        <v>24</v>
      </c>
      <c r="AF84" t="s">
        <v>24</v>
      </c>
      <c r="AG84" t="s">
        <v>24</v>
      </c>
      <c r="AH84" t="s">
        <v>24</v>
      </c>
      <c r="AI84" t="s">
        <v>24</v>
      </c>
      <c r="AJ84" t="s">
        <v>1755</v>
      </c>
      <c r="AK84" t="s">
        <v>24</v>
      </c>
      <c r="AL84">
        <v>20</v>
      </c>
      <c r="AM84">
        <v>18</v>
      </c>
      <c r="AN84">
        <v>2</v>
      </c>
      <c r="AO84">
        <v>0.9</v>
      </c>
      <c r="AP84">
        <v>1</v>
      </c>
      <c r="AQ84">
        <v>0.83333333333333337</v>
      </c>
      <c r="AR84">
        <v>0.875</v>
      </c>
      <c r="AS84" t="s">
        <v>1758</v>
      </c>
      <c r="AT84" t="s">
        <v>1759</v>
      </c>
      <c r="AU84">
        <v>108</v>
      </c>
      <c r="AV84" t="s">
        <v>1760</v>
      </c>
      <c r="AW84" t="s">
        <v>107</v>
      </c>
      <c r="AX84" t="s">
        <v>106</v>
      </c>
      <c r="AY84" t="s">
        <v>106</v>
      </c>
      <c r="AZ84" t="s">
        <v>1573</v>
      </c>
      <c r="BA84" t="s">
        <v>1573</v>
      </c>
      <c r="BB84" t="s">
        <v>1766</v>
      </c>
    </row>
    <row r="85" spans="1:54" x14ac:dyDescent="0.25">
      <c r="A85" t="s">
        <v>486</v>
      </c>
      <c r="B85" t="s">
        <v>1755</v>
      </c>
      <c r="C85" t="str">
        <f>CONCATENATE(Export_Documentation_Database[[#This Row],[Exp. '#]],"-",Export_Documentation_Database[[#This Row],[Batch '#]])</f>
        <v>2306th--</v>
      </c>
      <c r="D85" t="s">
        <v>487</v>
      </c>
      <c r="E85" t="s">
        <v>125</v>
      </c>
      <c r="F85" t="s">
        <v>128</v>
      </c>
      <c r="G85" t="s">
        <v>1755</v>
      </c>
      <c r="H85" t="s">
        <v>1755</v>
      </c>
      <c r="I85" s="19" t="s">
        <v>1755</v>
      </c>
      <c r="J85" s="19" t="s">
        <v>1755</v>
      </c>
      <c r="K85" s="19">
        <v>46097</v>
      </c>
      <c r="L85" t="s">
        <v>30</v>
      </c>
      <c r="M85" t="s">
        <v>132</v>
      </c>
      <c r="N85" t="s">
        <v>133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1756</v>
      </c>
      <c r="V85" t="s">
        <v>24</v>
      </c>
      <c r="W85" t="s">
        <v>24</v>
      </c>
      <c r="X85" t="s">
        <v>1765</v>
      </c>
      <c r="Y85" t="s">
        <v>24</v>
      </c>
      <c r="Z85" t="s">
        <v>24</v>
      </c>
      <c r="AA85" t="s">
        <v>24</v>
      </c>
      <c r="AC85" t="s">
        <v>24</v>
      </c>
      <c r="AD85" t="s">
        <v>24</v>
      </c>
      <c r="AE85" t="s">
        <v>24</v>
      </c>
      <c r="AF85" t="s">
        <v>24</v>
      </c>
      <c r="AG85" t="s">
        <v>24</v>
      </c>
      <c r="AH85" t="s">
        <v>24</v>
      </c>
      <c r="AI85" t="s">
        <v>1755</v>
      </c>
      <c r="AJ85" t="s">
        <v>1755</v>
      </c>
      <c r="AK85" t="s">
        <v>24</v>
      </c>
      <c r="AL85">
        <v>20</v>
      </c>
      <c r="AM85">
        <v>17</v>
      </c>
      <c r="AN85">
        <v>3</v>
      </c>
      <c r="AO85">
        <v>0.85</v>
      </c>
      <c r="AP85">
        <v>1</v>
      </c>
      <c r="AQ85">
        <v>0.83333333333333337</v>
      </c>
      <c r="AR85">
        <v>0.75</v>
      </c>
      <c r="AS85" t="s">
        <v>1758</v>
      </c>
      <c r="AT85" t="s">
        <v>1759</v>
      </c>
      <c r="AU85">
        <v>108</v>
      </c>
      <c r="AV85" t="s">
        <v>1760</v>
      </c>
      <c r="AW85" t="s">
        <v>107</v>
      </c>
      <c r="AX85" t="s">
        <v>106</v>
      </c>
      <c r="AY85" t="s">
        <v>106</v>
      </c>
      <c r="AZ85" t="s">
        <v>1573</v>
      </c>
      <c r="BA85" t="s">
        <v>1573</v>
      </c>
      <c r="BB85" t="s">
        <v>1762</v>
      </c>
    </row>
    <row r="86" spans="1:54" x14ac:dyDescent="0.25">
      <c r="A86" t="s">
        <v>733</v>
      </c>
      <c r="B86" t="s">
        <v>1755</v>
      </c>
      <c r="C86" t="str">
        <f>CONCATENATE(Export_Documentation_Database[[#This Row],[Exp. '#]],"-",Export_Documentation_Database[[#This Row],[Batch '#]])</f>
        <v>2355th--</v>
      </c>
      <c r="D86" t="s">
        <v>734</v>
      </c>
      <c r="E86" t="s">
        <v>181</v>
      </c>
      <c r="F86" t="s">
        <v>128</v>
      </c>
      <c r="G86" t="s">
        <v>1755</v>
      </c>
      <c r="H86" t="s">
        <v>1755</v>
      </c>
      <c r="I86" s="19" t="s">
        <v>1755</v>
      </c>
      <c r="J86" s="19" t="s">
        <v>1755</v>
      </c>
      <c r="K86" s="19">
        <v>46096</v>
      </c>
      <c r="L86" t="s">
        <v>30</v>
      </c>
      <c r="M86" t="s">
        <v>132</v>
      </c>
      <c r="N86" t="s">
        <v>133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1756</v>
      </c>
      <c r="V86" t="s">
        <v>24</v>
      </c>
      <c r="W86" t="s">
        <v>24</v>
      </c>
      <c r="X86" t="s">
        <v>1765</v>
      </c>
      <c r="Y86" t="s">
        <v>24</v>
      </c>
      <c r="Z86" t="s">
        <v>24</v>
      </c>
      <c r="AA86" t="s">
        <v>24</v>
      </c>
      <c r="AB86" t="s">
        <v>24</v>
      </c>
      <c r="AC86" t="s">
        <v>24</v>
      </c>
      <c r="AD86" t="s">
        <v>24</v>
      </c>
      <c r="AE86" t="s">
        <v>24</v>
      </c>
      <c r="AF86" t="s">
        <v>24</v>
      </c>
      <c r="AG86" t="s">
        <v>24</v>
      </c>
      <c r="AH86" t="s">
        <v>24</v>
      </c>
      <c r="AI86" t="s">
        <v>24</v>
      </c>
      <c r="AJ86" t="s">
        <v>24</v>
      </c>
      <c r="AK86" t="s">
        <v>24</v>
      </c>
      <c r="AL86">
        <v>20</v>
      </c>
      <c r="AM86">
        <v>20</v>
      </c>
      <c r="AN86">
        <v>0</v>
      </c>
      <c r="AO86">
        <v>1</v>
      </c>
      <c r="AP86">
        <v>1</v>
      </c>
      <c r="AQ86">
        <v>1</v>
      </c>
      <c r="AR86">
        <v>1</v>
      </c>
      <c r="AS86" t="s">
        <v>1769</v>
      </c>
      <c r="AT86" t="s">
        <v>1770</v>
      </c>
      <c r="AU86">
        <v>0</v>
      </c>
      <c r="AV86" t="s">
        <v>1771</v>
      </c>
      <c r="AW86" t="s">
        <v>107</v>
      </c>
      <c r="AX86" t="s">
        <v>107</v>
      </c>
      <c r="AY86" t="s">
        <v>107</v>
      </c>
      <c r="AZ86" t="s">
        <v>1573</v>
      </c>
      <c r="BA86" t="s">
        <v>1573</v>
      </c>
      <c r="BB86" t="s">
        <v>1573</v>
      </c>
    </row>
    <row r="87" spans="1:54" x14ac:dyDescent="0.25">
      <c r="A87" t="s">
        <v>890</v>
      </c>
      <c r="B87" t="s">
        <v>1755</v>
      </c>
      <c r="C87" t="str">
        <f>CONCATENATE(Export_Documentation_Database[[#This Row],[Exp. '#]],"-",Export_Documentation_Database[[#This Row],[Batch '#]])</f>
        <v>2384th--</v>
      </c>
      <c r="D87" t="s">
        <v>23</v>
      </c>
      <c r="E87" t="s">
        <v>710</v>
      </c>
      <c r="F87" t="s">
        <v>128</v>
      </c>
      <c r="G87" t="s">
        <v>631</v>
      </c>
      <c r="H87" t="s">
        <v>1755</v>
      </c>
      <c r="I87" s="19" t="s">
        <v>1755</v>
      </c>
      <c r="J87" s="19" t="s">
        <v>1755</v>
      </c>
      <c r="K87" s="19">
        <v>46098</v>
      </c>
      <c r="L87" t="s">
        <v>30</v>
      </c>
      <c r="M87" t="s">
        <v>277</v>
      </c>
      <c r="N87" t="s">
        <v>133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1756</v>
      </c>
      <c r="V87" t="s">
        <v>24</v>
      </c>
      <c r="W87" t="s">
        <v>24</v>
      </c>
      <c r="X87" t="s">
        <v>1757</v>
      </c>
      <c r="Y87" t="s">
        <v>24</v>
      </c>
      <c r="Z87" t="s">
        <v>24</v>
      </c>
      <c r="AA87" t="s">
        <v>24</v>
      </c>
      <c r="AC87" t="s">
        <v>24</v>
      </c>
      <c r="AD87" t="s">
        <v>24</v>
      </c>
      <c r="AE87" t="s">
        <v>24</v>
      </c>
      <c r="AF87" t="s">
        <v>24</v>
      </c>
      <c r="AG87" t="s">
        <v>24</v>
      </c>
      <c r="AH87" t="s">
        <v>24</v>
      </c>
      <c r="AI87" t="s">
        <v>24</v>
      </c>
      <c r="AJ87" t="s">
        <v>1755</v>
      </c>
      <c r="AK87" t="s">
        <v>24</v>
      </c>
      <c r="AL87">
        <v>20</v>
      </c>
      <c r="AM87">
        <v>18</v>
      </c>
      <c r="AN87">
        <v>2</v>
      </c>
      <c r="AO87">
        <v>0.9</v>
      </c>
      <c r="AP87">
        <v>1</v>
      </c>
      <c r="AQ87">
        <v>0.83333333333333337</v>
      </c>
      <c r="AR87">
        <v>0.875</v>
      </c>
      <c r="AS87" t="s">
        <v>1758</v>
      </c>
      <c r="AT87" t="s">
        <v>1759</v>
      </c>
      <c r="AU87">
        <v>107</v>
      </c>
      <c r="AV87" t="s">
        <v>1760</v>
      </c>
      <c r="AW87" t="s">
        <v>107</v>
      </c>
      <c r="AX87" t="s">
        <v>106</v>
      </c>
      <c r="AY87" t="s">
        <v>106</v>
      </c>
      <c r="AZ87" t="s">
        <v>1573</v>
      </c>
      <c r="BA87" t="s">
        <v>1573</v>
      </c>
      <c r="BB87" t="s">
        <v>1766</v>
      </c>
    </row>
    <row r="88" spans="1:54" x14ac:dyDescent="0.25">
      <c r="A88" t="s">
        <v>1358</v>
      </c>
      <c r="B88" t="s">
        <v>1755</v>
      </c>
      <c r="C88" t="str">
        <f>CONCATENATE(Export_Documentation_Database[[#This Row],[Exp. '#]],"-",Export_Documentation_Database[[#This Row],[Batch '#]])</f>
        <v>MO-0134--</v>
      </c>
      <c r="D88" t="s">
        <v>1359</v>
      </c>
      <c r="E88" t="s">
        <v>125</v>
      </c>
      <c r="F88" t="s">
        <v>128</v>
      </c>
      <c r="G88" t="s">
        <v>1755</v>
      </c>
      <c r="H88" t="s">
        <v>1755</v>
      </c>
      <c r="I88" s="19" t="s">
        <v>1755</v>
      </c>
      <c r="J88" s="19" t="s">
        <v>1755</v>
      </c>
      <c r="K88" s="19">
        <v>46103</v>
      </c>
      <c r="L88" t="s">
        <v>30</v>
      </c>
      <c r="M88" t="s">
        <v>277</v>
      </c>
      <c r="N88" t="s">
        <v>133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1756</v>
      </c>
      <c r="V88" t="s">
        <v>24</v>
      </c>
      <c r="W88" t="s">
        <v>24</v>
      </c>
      <c r="X88" t="s">
        <v>1773</v>
      </c>
      <c r="Y88" t="s">
        <v>24</v>
      </c>
      <c r="Z88" t="s">
        <v>24</v>
      </c>
      <c r="AA88" t="s">
        <v>24</v>
      </c>
      <c r="AC88" t="s">
        <v>24</v>
      </c>
      <c r="AD88" t="s">
        <v>24</v>
      </c>
      <c r="AE88" t="s">
        <v>24</v>
      </c>
      <c r="AF88" t="s">
        <v>24</v>
      </c>
      <c r="AG88" t="s">
        <v>24</v>
      </c>
      <c r="AH88" t="s">
        <v>24</v>
      </c>
      <c r="AI88" t="s">
        <v>1755</v>
      </c>
      <c r="AJ88" t="s">
        <v>1755</v>
      </c>
      <c r="AK88" t="s">
        <v>24</v>
      </c>
      <c r="AL88">
        <v>20</v>
      </c>
      <c r="AM88">
        <v>17</v>
      </c>
      <c r="AN88">
        <v>3</v>
      </c>
      <c r="AO88">
        <v>0.85</v>
      </c>
      <c r="AP88">
        <v>1</v>
      </c>
      <c r="AQ88">
        <v>0.83333333333333337</v>
      </c>
      <c r="AR88">
        <v>0.75</v>
      </c>
      <c r="AS88" t="s">
        <v>1758</v>
      </c>
      <c r="AT88" t="s">
        <v>1759</v>
      </c>
      <c r="AU88">
        <v>102</v>
      </c>
      <c r="AV88" t="s">
        <v>1760</v>
      </c>
      <c r="AW88" t="s">
        <v>107</v>
      </c>
      <c r="AX88" t="s">
        <v>106</v>
      </c>
      <c r="AY88" t="s">
        <v>106</v>
      </c>
      <c r="AZ88" t="s">
        <v>1573</v>
      </c>
      <c r="BA88" t="s">
        <v>1774</v>
      </c>
      <c r="BB88" t="s">
        <v>1775</v>
      </c>
    </row>
    <row r="89" spans="1:54" x14ac:dyDescent="0.25">
      <c r="A89" t="s">
        <v>600</v>
      </c>
      <c r="B89" t="s">
        <v>761</v>
      </c>
      <c r="C89" t="str">
        <f>CONCATENATE(Export_Documentation_Database[[#This Row],[Exp. '#]],"-",Export_Documentation_Database[[#This Row],[Batch '#]])</f>
        <v>2327th-1st</v>
      </c>
      <c r="D89" t="s">
        <v>601</v>
      </c>
      <c r="E89" t="s">
        <v>125</v>
      </c>
      <c r="F89" t="s">
        <v>128</v>
      </c>
      <c r="G89" t="s">
        <v>428</v>
      </c>
      <c r="H89">
        <v>2</v>
      </c>
      <c r="I89" s="19" t="s">
        <v>1755</v>
      </c>
      <c r="J89" s="19" t="s">
        <v>1755</v>
      </c>
      <c r="K89" s="19">
        <v>46109</v>
      </c>
      <c r="L89" t="s">
        <v>30</v>
      </c>
      <c r="M89" t="s">
        <v>277</v>
      </c>
      <c r="N89" t="s">
        <v>133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1764</v>
      </c>
      <c r="V89" t="s">
        <v>24</v>
      </c>
      <c r="W89" t="s">
        <v>24</v>
      </c>
      <c r="X89" t="s">
        <v>1757</v>
      </c>
      <c r="Y89" t="s">
        <v>24</v>
      </c>
      <c r="Z89" t="s">
        <v>24</v>
      </c>
      <c r="AA89" t="s">
        <v>24</v>
      </c>
      <c r="AC89" t="s">
        <v>28</v>
      </c>
      <c r="AD89" t="s">
        <v>28</v>
      </c>
      <c r="AE89" t="s">
        <v>24</v>
      </c>
      <c r="AF89" t="s">
        <v>24</v>
      </c>
      <c r="AG89" t="s">
        <v>24</v>
      </c>
      <c r="AH89" t="s">
        <v>24</v>
      </c>
      <c r="AI89" t="s">
        <v>1755</v>
      </c>
      <c r="AJ89" t="s">
        <v>1755</v>
      </c>
      <c r="AK89" t="s">
        <v>28</v>
      </c>
      <c r="AL89">
        <v>20</v>
      </c>
      <c r="AM89">
        <v>15</v>
      </c>
      <c r="AN89">
        <v>5</v>
      </c>
      <c r="AO89">
        <v>0.75</v>
      </c>
      <c r="AP89">
        <v>1</v>
      </c>
      <c r="AQ89">
        <v>0.83333333333333337</v>
      </c>
      <c r="AR89">
        <v>0.5</v>
      </c>
      <c r="AS89" t="s">
        <v>1758</v>
      </c>
      <c r="AT89" t="s">
        <v>1759</v>
      </c>
      <c r="AU89">
        <v>96</v>
      </c>
      <c r="AV89" t="s">
        <v>1760</v>
      </c>
      <c r="AW89" t="s">
        <v>107</v>
      </c>
      <c r="AX89" t="s">
        <v>106</v>
      </c>
      <c r="AY89" t="s">
        <v>106</v>
      </c>
      <c r="AZ89" t="s">
        <v>1573</v>
      </c>
      <c r="BA89" t="s">
        <v>1774</v>
      </c>
      <c r="BB89" t="s">
        <v>1775</v>
      </c>
    </row>
    <row r="90" spans="1:54" x14ac:dyDescent="0.25">
      <c r="A90" t="s">
        <v>659</v>
      </c>
      <c r="B90" t="s">
        <v>422</v>
      </c>
      <c r="C90" t="str">
        <f>CONCATENATE(Export_Documentation_Database[[#This Row],[Exp. '#]],"-",Export_Documentation_Database[[#This Row],[Batch '#]])</f>
        <v>2337th-2nd</v>
      </c>
      <c r="D90" t="s">
        <v>143</v>
      </c>
      <c r="E90" t="s">
        <v>125</v>
      </c>
      <c r="F90" t="s">
        <v>128</v>
      </c>
      <c r="G90" t="s">
        <v>1755</v>
      </c>
      <c r="H90" t="s">
        <v>1755</v>
      </c>
      <c r="I90" s="19" t="s">
        <v>1755</v>
      </c>
      <c r="J90" s="19" t="s">
        <v>1755</v>
      </c>
      <c r="K90" s="19">
        <v>46109</v>
      </c>
      <c r="L90" t="s">
        <v>30</v>
      </c>
      <c r="M90" t="s">
        <v>277</v>
      </c>
      <c r="N90" t="s">
        <v>133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1756</v>
      </c>
      <c r="V90" t="s">
        <v>24</v>
      </c>
      <c r="W90" t="s">
        <v>24</v>
      </c>
      <c r="X90" t="s">
        <v>1757</v>
      </c>
      <c r="Y90" t="s">
        <v>24</v>
      </c>
      <c r="Z90" t="s">
        <v>24</v>
      </c>
      <c r="AA90" t="s">
        <v>24</v>
      </c>
      <c r="AC90" t="s">
        <v>24</v>
      </c>
      <c r="AD90" t="s">
        <v>24</v>
      </c>
      <c r="AE90" t="s">
        <v>24</v>
      </c>
      <c r="AF90" t="s">
        <v>24</v>
      </c>
      <c r="AG90" t="s">
        <v>24</v>
      </c>
      <c r="AH90" t="s">
        <v>24</v>
      </c>
      <c r="AI90" t="s">
        <v>1755</v>
      </c>
      <c r="AJ90" t="s">
        <v>1755</v>
      </c>
      <c r="AK90" t="s">
        <v>24</v>
      </c>
      <c r="AL90">
        <v>20</v>
      </c>
      <c r="AM90">
        <v>17</v>
      </c>
      <c r="AN90">
        <v>3</v>
      </c>
      <c r="AO90">
        <v>0.85</v>
      </c>
      <c r="AP90">
        <v>1</v>
      </c>
      <c r="AQ90">
        <v>0.83333333333333337</v>
      </c>
      <c r="AR90">
        <v>0.75</v>
      </c>
      <c r="AS90" t="s">
        <v>1758</v>
      </c>
      <c r="AT90" t="s">
        <v>1759</v>
      </c>
      <c r="AU90">
        <v>96</v>
      </c>
      <c r="AV90" t="s">
        <v>1760</v>
      </c>
      <c r="AW90" t="s">
        <v>107</v>
      </c>
      <c r="AX90" t="s">
        <v>106</v>
      </c>
      <c r="AY90" t="s">
        <v>106</v>
      </c>
      <c r="AZ90" t="s">
        <v>1573</v>
      </c>
      <c r="BA90" t="s">
        <v>1774</v>
      </c>
      <c r="BB90" t="s">
        <v>1775</v>
      </c>
    </row>
    <row r="91" spans="1:54" x14ac:dyDescent="0.25">
      <c r="A91" t="s">
        <v>711</v>
      </c>
      <c r="B91" t="s">
        <v>422</v>
      </c>
      <c r="C91" t="str">
        <f>CONCATENATE(Export_Documentation_Database[[#This Row],[Exp. '#]],"-",Export_Documentation_Database[[#This Row],[Batch '#]])</f>
        <v>2348th-2nd</v>
      </c>
      <c r="D91" t="s">
        <v>458</v>
      </c>
      <c r="E91" t="s">
        <v>125</v>
      </c>
      <c r="F91" t="s">
        <v>128</v>
      </c>
      <c r="G91" t="s">
        <v>1755</v>
      </c>
      <c r="H91" t="s">
        <v>1755</v>
      </c>
      <c r="I91" s="19" t="s">
        <v>1755</v>
      </c>
      <c r="J91" s="19" t="s">
        <v>1755</v>
      </c>
      <c r="K91" s="19">
        <v>46109</v>
      </c>
      <c r="L91" t="s">
        <v>30</v>
      </c>
      <c r="M91" t="s">
        <v>277</v>
      </c>
      <c r="N91" t="s">
        <v>133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1756</v>
      </c>
      <c r="V91" t="s">
        <v>24</v>
      </c>
      <c r="W91" t="s">
        <v>24</v>
      </c>
      <c r="X91" t="s">
        <v>1757</v>
      </c>
      <c r="Y91" t="s">
        <v>24</v>
      </c>
      <c r="Z91" t="s">
        <v>24</v>
      </c>
      <c r="AA91" t="s">
        <v>24</v>
      </c>
      <c r="AC91" t="s">
        <v>24</v>
      </c>
      <c r="AD91" t="s">
        <v>24</v>
      </c>
      <c r="AE91" t="s">
        <v>24</v>
      </c>
      <c r="AF91" t="s">
        <v>24</v>
      </c>
      <c r="AG91" t="s">
        <v>24</v>
      </c>
      <c r="AH91" t="s">
        <v>24</v>
      </c>
      <c r="AI91" t="s">
        <v>1755</v>
      </c>
      <c r="AJ91" t="s">
        <v>1755</v>
      </c>
      <c r="AK91" t="s">
        <v>24</v>
      </c>
      <c r="AL91">
        <v>20</v>
      </c>
      <c r="AM91">
        <v>17</v>
      </c>
      <c r="AN91">
        <v>3</v>
      </c>
      <c r="AO91">
        <v>0.85</v>
      </c>
      <c r="AP91">
        <v>1</v>
      </c>
      <c r="AQ91">
        <v>0.83333333333333337</v>
      </c>
      <c r="AR91">
        <v>0.75</v>
      </c>
      <c r="AS91" t="s">
        <v>1758</v>
      </c>
      <c r="AT91" t="s">
        <v>1759</v>
      </c>
      <c r="AU91">
        <v>96</v>
      </c>
      <c r="AV91" t="s">
        <v>1760</v>
      </c>
      <c r="AW91" t="s">
        <v>107</v>
      </c>
      <c r="AX91" t="s">
        <v>106</v>
      </c>
      <c r="AY91" t="s">
        <v>106</v>
      </c>
      <c r="AZ91" t="s">
        <v>1573</v>
      </c>
      <c r="BA91" t="s">
        <v>1774</v>
      </c>
      <c r="BB91" t="s">
        <v>1762</v>
      </c>
    </row>
    <row r="92" spans="1:54" x14ac:dyDescent="0.25">
      <c r="A92" t="s">
        <v>757</v>
      </c>
      <c r="B92" t="s">
        <v>1755</v>
      </c>
      <c r="C92" t="str">
        <f>CONCATENATE(Export_Documentation_Database[[#This Row],[Exp. '#]],"-",Export_Documentation_Database[[#This Row],[Batch '#]])</f>
        <v>2358th--</v>
      </c>
      <c r="D92" t="s">
        <v>568</v>
      </c>
      <c r="E92" t="s">
        <v>125</v>
      </c>
      <c r="F92" t="s">
        <v>128</v>
      </c>
      <c r="G92" t="s">
        <v>1755</v>
      </c>
      <c r="H92" t="s">
        <v>1755</v>
      </c>
      <c r="I92" s="19" t="s">
        <v>1755</v>
      </c>
      <c r="J92" s="19" t="s">
        <v>1755</v>
      </c>
      <c r="K92" s="19">
        <v>46109</v>
      </c>
      <c r="L92" t="s">
        <v>30</v>
      </c>
      <c r="M92" t="s">
        <v>277</v>
      </c>
      <c r="N92" t="s">
        <v>133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1756</v>
      </c>
      <c r="V92" t="s">
        <v>24</v>
      </c>
      <c r="W92" t="s">
        <v>24</v>
      </c>
      <c r="X92" t="s">
        <v>1757</v>
      </c>
      <c r="Y92" t="s">
        <v>24</v>
      </c>
      <c r="Z92" t="s">
        <v>24</v>
      </c>
      <c r="AA92" t="s">
        <v>24</v>
      </c>
      <c r="AC92" t="s">
        <v>24</v>
      </c>
      <c r="AD92" t="s">
        <v>24</v>
      </c>
      <c r="AE92" t="s">
        <v>24</v>
      </c>
      <c r="AF92" t="s">
        <v>24</v>
      </c>
      <c r="AG92" t="s">
        <v>24</v>
      </c>
      <c r="AH92" t="s">
        <v>24</v>
      </c>
      <c r="AI92" t="s">
        <v>1755</v>
      </c>
      <c r="AJ92" t="s">
        <v>1755</v>
      </c>
      <c r="AK92" t="s">
        <v>24</v>
      </c>
      <c r="AL92">
        <v>20</v>
      </c>
      <c r="AM92">
        <v>17</v>
      </c>
      <c r="AN92">
        <v>3</v>
      </c>
      <c r="AO92">
        <v>0.85</v>
      </c>
      <c r="AP92">
        <v>1</v>
      </c>
      <c r="AQ92">
        <v>0.83333333333333337</v>
      </c>
      <c r="AR92">
        <v>0.75</v>
      </c>
      <c r="AS92" t="s">
        <v>1758</v>
      </c>
      <c r="AT92" t="s">
        <v>1759</v>
      </c>
      <c r="AU92">
        <v>96</v>
      </c>
      <c r="AV92" t="s">
        <v>1760</v>
      </c>
      <c r="AW92" t="s">
        <v>107</v>
      </c>
      <c r="AX92" t="s">
        <v>106</v>
      </c>
      <c r="AY92" t="s">
        <v>106</v>
      </c>
      <c r="AZ92" t="s">
        <v>1573</v>
      </c>
      <c r="BA92" t="s">
        <v>1774</v>
      </c>
      <c r="BB92" t="s">
        <v>1762</v>
      </c>
    </row>
    <row r="93" spans="1:54" x14ac:dyDescent="0.25">
      <c r="A93" t="s">
        <v>600</v>
      </c>
      <c r="B93" t="s">
        <v>422</v>
      </c>
      <c r="C93" t="str">
        <f>CONCATENATE(Export_Documentation_Database[[#This Row],[Exp. '#]],"-",Export_Documentation_Database[[#This Row],[Batch '#]])</f>
        <v>2327th-2nd</v>
      </c>
      <c r="D93" t="s">
        <v>601</v>
      </c>
      <c r="E93" t="s">
        <v>125</v>
      </c>
      <c r="F93" t="s">
        <v>128</v>
      </c>
      <c r="G93" t="s">
        <v>604</v>
      </c>
      <c r="H93">
        <v>1</v>
      </c>
      <c r="I93" s="19" t="s">
        <v>1755</v>
      </c>
      <c r="J93" s="19" t="s">
        <v>1755</v>
      </c>
      <c r="K93" s="19">
        <v>46146</v>
      </c>
      <c r="L93" t="s">
        <v>37</v>
      </c>
      <c r="M93" t="s">
        <v>277</v>
      </c>
      <c r="N93" t="s">
        <v>133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1764</v>
      </c>
      <c r="V93" t="s">
        <v>24</v>
      </c>
      <c r="W93" t="s">
        <v>24</v>
      </c>
      <c r="X93" t="s">
        <v>1757</v>
      </c>
      <c r="Y93" t="s">
        <v>24</v>
      </c>
      <c r="Z93" t="s">
        <v>24</v>
      </c>
      <c r="AA93" t="s">
        <v>24</v>
      </c>
      <c r="AC93" t="s">
        <v>28</v>
      </c>
      <c r="AD93" t="s">
        <v>28</v>
      </c>
      <c r="AE93" t="s">
        <v>24</v>
      </c>
      <c r="AF93" t="s">
        <v>24</v>
      </c>
      <c r="AG93" t="s">
        <v>24</v>
      </c>
      <c r="AH93" t="s">
        <v>24</v>
      </c>
      <c r="AI93" t="s">
        <v>1755</v>
      </c>
      <c r="AJ93" t="s">
        <v>1755</v>
      </c>
      <c r="AL93">
        <v>20</v>
      </c>
      <c r="AM93">
        <v>15</v>
      </c>
      <c r="AN93">
        <v>5</v>
      </c>
      <c r="AO93">
        <v>0.75</v>
      </c>
      <c r="AP93">
        <v>1</v>
      </c>
      <c r="AQ93">
        <v>0.83333333333333337</v>
      </c>
      <c r="AR93">
        <v>0.5</v>
      </c>
      <c r="AS93" t="s">
        <v>1758</v>
      </c>
      <c r="AT93" t="s">
        <v>1759</v>
      </c>
      <c r="AU93">
        <v>59</v>
      </c>
      <c r="AV93" t="s">
        <v>1760</v>
      </c>
      <c r="AW93" t="s">
        <v>107</v>
      </c>
      <c r="AX93" t="s">
        <v>106</v>
      </c>
      <c r="AY93" t="s">
        <v>106</v>
      </c>
      <c r="AZ93" t="s">
        <v>1573</v>
      </c>
      <c r="BA93" t="s">
        <v>1776</v>
      </c>
      <c r="BB93" t="s">
        <v>1777</v>
      </c>
    </row>
    <row r="94" spans="1:54" x14ac:dyDescent="0.25">
      <c r="A94" t="s">
        <v>698</v>
      </c>
      <c r="B94" t="s">
        <v>1755</v>
      </c>
      <c r="C94" t="str">
        <f>CONCATENATE(Export_Documentation_Database[[#This Row],[Exp. '#]],"-",Export_Documentation_Database[[#This Row],[Batch '#]])</f>
        <v>2343rd--</v>
      </c>
      <c r="D94" t="s">
        <v>464</v>
      </c>
      <c r="E94" t="s">
        <v>125</v>
      </c>
      <c r="F94" t="s">
        <v>128</v>
      </c>
      <c r="G94" t="s">
        <v>1755</v>
      </c>
      <c r="H94" t="s">
        <v>1755</v>
      </c>
      <c r="I94" s="19" t="s">
        <v>1755</v>
      </c>
      <c r="J94" s="19" t="s">
        <v>1755</v>
      </c>
      <c r="K94" s="19">
        <v>46146</v>
      </c>
      <c r="L94" t="s">
        <v>37</v>
      </c>
      <c r="M94" t="s">
        <v>277</v>
      </c>
      <c r="N94" t="s">
        <v>133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1756</v>
      </c>
      <c r="V94" t="s">
        <v>24</v>
      </c>
      <c r="W94" t="s">
        <v>24</v>
      </c>
      <c r="X94" t="s">
        <v>1757</v>
      </c>
      <c r="Y94" t="s">
        <v>24</v>
      </c>
      <c r="Z94" t="s">
        <v>24</v>
      </c>
      <c r="AA94" t="s">
        <v>24</v>
      </c>
      <c r="AC94" t="s">
        <v>24</v>
      </c>
      <c r="AD94" t="s">
        <v>24</v>
      </c>
      <c r="AE94" t="s">
        <v>24</v>
      </c>
      <c r="AF94" t="s">
        <v>24</v>
      </c>
      <c r="AG94" t="s">
        <v>24</v>
      </c>
      <c r="AH94" t="s">
        <v>24</v>
      </c>
      <c r="AI94" t="s">
        <v>1755</v>
      </c>
      <c r="AJ94" t="s">
        <v>1755</v>
      </c>
      <c r="AK94" t="s">
        <v>24</v>
      </c>
      <c r="AL94">
        <v>20</v>
      </c>
      <c r="AM94">
        <v>17</v>
      </c>
      <c r="AN94">
        <v>3</v>
      </c>
      <c r="AO94">
        <v>0.85</v>
      </c>
      <c r="AP94">
        <v>1</v>
      </c>
      <c r="AQ94">
        <v>0.83333333333333337</v>
      </c>
      <c r="AR94">
        <v>0.75</v>
      </c>
      <c r="AS94" t="s">
        <v>1758</v>
      </c>
      <c r="AT94" t="s">
        <v>1759</v>
      </c>
      <c r="AU94">
        <v>59</v>
      </c>
      <c r="AV94" t="s">
        <v>1760</v>
      </c>
      <c r="AW94" t="s">
        <v>107</v>
      </c>
      <c r="AX94" t="s">
        <v>106</v>
      </c>
      <c r="AY94" t="s">
        <v>106</v>
      </c>
      <c r="AZ94" t="s">
        <v>1573</v>
      </c>
      <c r="BA94" t="s">
        <v>1776</v>
      </c>
      <c r="BB94" t="s">
        <v>1778</v>
      </c>
    </row>
    <row r="95" spans="1:54" x14ac:dyDescent="0.25">
      <c r="A95" t="s">
        <v>121</v>
      </c>
      <c r="B95" t="s">
        <v>1755</v>
      </c>
      <c r="C95" t="str">
        <f>CONCATENATE(Export_Documentation_Database[[#This Row],[Exp. '#]],"-",Export_Documentation_Database[[#This Row],[Batch '#]])</f>
        <v>2161st--</v>
      </c>
      <c r="D95" t="s">
        <v>122</v>
      </c>
      <c r="E95" t="s">
        <v>125</v>
      </c>
      <c r="F95" t="s">
        <v>128</v>
      </c>
      <c r="G95" t="s">
        <v>1755</v>
      </c>
      <c r="H95" t="s">
        <v>1755</v>
      </c>
      <c r="I95" s="19" t="s">
        <v>1755</v>
      </c>
      <c r="J95" s="19" t="s">
        <v>1755</v>
      </c>
      <c r="K95" s="19">
        <v>46121</v>
      </c>
      <c r="L95" t="s">
        <v>34</v>
      </c>
      <c r="M95" t="s">
        <v>132</v>
      </c>
      <c r="N95" t="s">
        <v>133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1764</v>
      </c>
      <c r="V95" t="s">
        <v>24</v>
      </c>
      <c r="W95" t="s">
        <v>24</v>
      </c>
      <c r="X95" t="s">
        <v>1765</v>
      </c>
      <c r="Y95" t="s">
        <v>24</v>
      </c>
      <c r="Z95" t="s">
        <v>24</v>
      </c>
      <c r="AA95" t="s">
        <v>24</v>
      </c>
      <c r="AC95" t="s">
        <v>24</v>
      </c>
      <c r="AD95" t="s">
        <v>24</v>
      </c>
      <c r="AE95" t="s">
        <v>24</v>
      </c>
      <c r="AF95" t="s">
        <v>24</v>
      </c>
      <c r="AG95" t="s">
        <v>24</v>
      </c>
      <c r="AH95" t="s">
        <v>24</v>
      </c>
      <c r="AI95" t="s">
        <v>24</v>
      </c>
      <c r="AJ95" t="s">
        <v>1755</v>
      </c>
      <c r="AK95" t="s">
        <v>24</v>
      </c>
      <c r="AL95">
        <v>20</v>
      </c>
      <c r="AM95">
        <v>18</v>
      </c>
      <c r="AN95">
        <v>2</v>
      </c>
      <c r="AO95">
        <v>0.9</v>
      </c>
      <c r="AP95">
        <v>1</v>
      </c>
      <c r="AQ95">
        <v>0.83333333333333337</v>
      </c>
      <c r="AR95">
        <v>0.875</v>
      </c>
      <c r="AS95" t="s">
        <v>1758</v>
      </c>
      <c r="AT95" t="s">
        <v>1759</v>
      </c>
      <c r="AU95">
        <v>84</v>
      </c>
      <c r="AV95" t="s">
        <v>1760</v>
      </c>
      <c r="AW95" t="s">
        <v>107</v>
      </c>
      <c r="AX95" t="s">
        <v>106</v>
      </c>
      <c r="AY95" t="s">
        <v>106</v>
      </c>
      <c r="AZ95" t="s">
        <v>1573</v>
      </c>
      <c r="BA95" t="s">
        <v>1776</v>
      </c>
      <c r="BB95" t="s">
        <v>1777</v>
      </c>
    </row>
    <row r="96" spans="1:54" x14ac:dyDescent="0.25">
      <c r="A96" t="s">
        <v>177</v>
      </c>
      <c r="B96" t="s">
        <v>1755</v>
      </c>
      <c r="C96" t="str">
        <f>CONCATENATE(Export_Documentation_Database[[#This Row],[Exp. '#]],"-",Export_Documentation_Database[[#This Row],[Batch '#]])</f>
        <v>2230th--</v>
      </c>
      <c r="D96" t="s">
        <v>178</v>
      </c>
      <c r="E96" t="s">
        <v>181</v>
      </c>
      <c r="F96" t="s">
        <v>128</v>
      </c>
      <c r="G96" t="s">
        <v>1755</v>
      </c>
      <c r="H96" t="s">
        <v>1755</v>
      </c>
      <c r="I96" s="19" t="s">
        <v>1755</v>
      </c>
      <c r="J96" s="19" t="s">
        <v>1755</v>
      </c>
      <c r="K96" s="19">
        <v>46144</v>
      </c>
      <c r="L96" t="s">
        <v>37</v>
      </c>
      <c r="M96" t="s">
        <v>132</v>
      </c>
      <c r="N96" t="s">
        <v>133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1764</v>
      </c>
      <c r="V96" t="s">
        <v>24</v>
      </c>
      <c r="W96" t="s">
        <v>24</v>
      </c>
      <c r="X96" t="s">
        <v>1757</v>
      </c>
      <c r="Y96" t="s">
        <v>24</v>
      </c>
      <c r="Z96" t="s">
        <v>24</v>
      </c>
      <c r="AA96" t="s">
        <v>24</v>
      </c>
      <c r="AB96" t="s">
        <v>24</v>
      </c>
      <c r="AC96" t="s">
        <v>24</v>
      </c>
      <c r="AD96" t="s">
        <v>24</v>
      </c>
      <c r="AE96" t="s">
        <v>24</v>
      </c>
      <c r="AF96" t="s">
        <v>24</v>
      </c>
      <c r="AG96" t="s">
        <v>24</v>
      </c>
      <c r="AH96" t="s">
        <v>24</v>
      </c>
      <c r="AI96" t="s">
        <v>1755</v>
      </c>
      <c r="AJ96" t="s">
        <v>24</v>
      </c>
      <c r="AK96" t="s">
        <v>24</v>
      </c>
      <c r="AL96">
        <v>20</v>
      </c>
      <c r="AM96">
        <v>19</v>
      </c>
      <c r="AN96">
        <v>1</v>
      </c>
      <c r="AO96">
        <v>0.95</v>
      </c>
      <c r="AP96">
        <v>1</v>
      </c>
      <c r="AQ96">
        <v>1</v>
      </c>
      <c r="AR96">
        <v>0.875</v>
      </c>
      <c r="AS96" t="s">
        <v>1758</v>
      </c>
      <c r="AT96" t="s">
        <v>1759</v>
      </c>
      <c r="AU96">
        <v>61</v>
      </c>
      <c r="AV96" t="s">
        <v>1760</v>
      </c>
      <c r="AW96" t="s">
        <v>107</v>
      </c>
      <c r="AX96" t="s">
        <v>107</v>
      </c>
      <c r="AY96" t="s">
        <v>106</v>
      </c>
      <c r="AZ96" t="s">
        <v>1573</v>
      </c>
      <c r="BA96" t="s">
        <v>1776</v>
      </c>
      <c r="BB96" t="s">
        <v>1777</v>
      </c>
    </row>
    <row r="97" spans="1:54" x14ac:dyDescent="0.25">
      <c r="A97" t="s">
        <v>815</v>
      </c>
      <c r="B97" t="s">
        <v>1755</v>
      </c>
      <c r="C97" t="str">
        <f>CONCATENATE(Export_Documentation_Database[[#This Row],[Exp. '#]],"-",Export_Documentation_Database[[#This Row],[Batch '#]])</f>
        <v>2368th--</v>
      </c>
      <c r="D97" t="s">
        <v>816</v>
      </c>
      <c r="E97" t="s">
        <v>125</v>
      </c>
      <c r="F97" t="s">
        <v>638</v>
      </c>
      <c r="G97" t="s">
        <v>473</v>
      </c>
      <c r="H97">
        <v>1</v>
      </c>
      <c r="I97" s="19" t="s">
        <v>1755</v>
      </c>
      <c r="J97" s="19" t="s">
        <v>1755</v>
      </c>
      <c r="K97" s="19">
        <v>46129</v>
      </c>
      <c r="L97" t="s">
        <v>34</v>
      </c>
      <c r="M97" t="s">
        <v>132</v>
      </c>
      <c r="N97" t="s">
        <v>133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1756</v>
      </c>
      <c r="V97" t="s">
        <v>24</v>
      </c>
      <c r="W97" t="s">
        <v>24</v>
      </c>
      <c r="X97" t="s">
        <v>1757</v>
      </c>
      <c r="Y97" t="s">
        <v>24</v>
      </c>
      <c r="Z97" t="s">
        <v>24</v>
      </c>
      <c r="AA97" t="s">
        <v>24</v>
      </c>
      <c r="AB97" t="s">
        <v>1755</v>
      </c>
      <c r="AC97" t="s">
        <v>28</v>
      </c>
      <c r="AD97" t="s">
        <v>28</v>
      </c>
      <c r="AE97" t="s">
        <v>24</v>
      </c>
      <c r="AF97" t="s">
        <v>24</v>
      </c>
      <c r="AG97" t="s">
        <v>24</v>
      </c>
      <c r="AH97" t="s">
        <v>24</v>
      </c>
      <c r="AI97" t="s">
        <v>1755</v>
      </c>
      <c r="AJ97" t="s">
        <v>1755</v>
      </c>
      <c r="AL97">
        <v>20</v>
      </c>
      <c r="AM97">
        <v>15</v>
      </c>
      <c r="AN97">
        <v>5</v>
      </c>
      <c r="AO97">
        <v>0.75</v>
      </c>
      <c r="AP97">
        <v>1</v>
      </c>
      <c r="AQ97">
        <v>0.83333333333333337</v>
      </c>
      <c r="AR97">
        <v>0.5</v>
      </c>
      <c r="AS97" t="s">
        <v>1758</v>
      </c>
      <c r="AT97" t="s">
        <v>1759</v>
      </c>
      <c r="AU97">
        <v>76</v>
      </c>
      <c r="AV97" t="s">
        <v>1760</v>
      </c>
      <c r="AW97" t="s">
        <v>107</v>
      </c>
      <c r="AX97" t="s">
        <v>106</v>
      </c>
      <c r="AY97" t="s">
        <v>106</v>
      </c>
      <c r="AZ97" t="s">
        <v>1573</v>
      </c>
      <c r="BA97" t="s">
        <v>1774</v>
      </c>
      <c r="BB97" t="s">
        <v>1775</v>
      </c>
    </row>
    <row r="98" spans="1:54" x14ac:dyDescent="0.25">
      <c r="A98" t="s">
        <v>335</v>
      </c>
      <c r="B98" t="s">
        <v>1755</v>
      </c>
      <c r="C98" t="str">
        <f>CONCATENATE(Export_Documentation_Database[[#This Row],[Exp. '#]],"-",Export_Documentation_Database[[#This Row],[Batch '#]])</f>
        <v>2274th--</v>
      </c>
      <c r="D98" t="s">
        <v>336</v>
      </c>
      <c r="E98" t="s">
        <v>181</v>
      </c>
      <c r="F98" t="s">
        <v>128</v>
      </c>
      <c r="G98" t="s">
        <v>340</v>
      </c>
      <c r="H98">
        <v>1</v>
      </c>
      <c r="I98" s="19" t="s">
        <v>1755</v>
      </c>
      <c r="J98" s="19" t="s">
        <v>1755</v>
      </c>
      <c r="K98" s="19">
        <v>46137</v>
      </c>
      <c r="L98" t="s">
        <v>34</v>
      </c>
      <c r="M98" t="s">
        <v>277</v>
      </c>
      <c r="N98" t="s">
        <v>133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1756</v>
      </c>
      <c r="V98" t="s">
        <v>24</v>
      </c>
      <c r="W98" t="s">
        <v>24</v>
      </c>
      <c r="X98" t="s">
        <v>1765</v>
      </c>
      <c r="Y98" t="s">
        <v>24</v>
      </c>
      <c r="Z98" t="s">
        <v>24</v>
      </c>
      <c r="AA98" t="s">
        <v>24</v>
      </c>
      <c r="AB98" t="s">
        <v>24</v>
      </c>
      <c r="AC98" t="s">
        <v>24</v>
      </c>
      <c r="AD98" t="s">
        <v>24</v>
      </c>
      <c r="AE98" t="s">
        <v>24</v>
      </c>
      <c r="AF98" t="s">
        <v>24</v>
      </c>
      <c r="AG98" t="s">
        <v>24</v>
      </c>
      <c r="AH98" t="s">
        <v>24</v>
      </c>
      <c r="AI98" t="s">
        <v>24</v>
      </c>
      <c r="AJ98" t="s">
        <v>24</v>
      </c>
      <c r="AK98" t="s">
        <v>24</v>
      </c>
      <c r="AL98">
        <v>20</v>
      </c>
      <c r="AM98">
        <v>20</v>
      </c>
      <c r="AN98">
        <v>0</v>
      </c>
      <c r="AO98">
        <v>1</v>
      </c>
      <c r="AP98">
        <v>1</v>
      </c>
      <c r="AQ98">
        <v>1</v>
      </c>
      <c r="AR98">
        <v>1</v>
      </c>
      <c r="AS98" t="s">
        <v>1769</v>
      </c>
      <c r="AT98" t="s">
        <v>1770</v>
      </c>
      <c r="AU98">
        <v>0</v>
      </c>
      <c r="AV98" t="s">
        <v>1771</v>
      </c>
      <c r="AW98" t="s">
        <v>107</v>
      </c>
      <c r="AX98" t="s">
        <v>107</v>
      </c>
      <c r="AY98" t="s">
        <v>107</v>
      </c>
      <c r="AZ98" t="s">
        <v>1573</v>
      </c>
      <c r="BA98" t="s">
        <v>1776</v>
      </c>
      <c r="BB98" t="s">
        <v>1777</v>
      </c>
    </row>
    <row r="99" spans="1:54" x14ac:dyDescent="0.25">
      <c r="A99" t="s">
        <v>345</v>
      </c>
      <c r="B99" t="s">
        <v>1755</v>
      </c>
      <c r="C99" t="str">
        <f>CONCATENATE(Export_Documentation_Database[[#This Row],[Exp. '#]],"-",Export_Documentation_Database[[#This Row],[Batch '#]])</f>
        <v>2275th--</v>
      </c>
      <c r="D99" t="s">
        <v>336</v>
      </c>
      <c r="E99" t="s">
        <v>181</v>
      </c>
      <c r="F99" t="s">
        <v>128</v>
      </c>
      <c r="G99" t="s">
        <v>1755</v>
      </c>
      <c r="H99" t="s">
        <v>1755</v>
      </c>
      <c r="I99" s="19" t="s">
        <v>1755</v>
      </c>
      <c r="J99" s="19" t="s">
        <v>1755</v>
      </c>
      <c r="K99" s="19">
        <v>46137</v>
      </c>
      <c r="L99" t="s">
        <v>34</v>
      </c>
      <c r="M99" t="s">
        <v>277</v>
      </c>
      <c r="N99" t="s">
        <v>133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1756</v>
      </c>
      <c r="V99" t="s">
        <v>24</v>
      </c>
      <c r="W99" t="s">
        <v>24</v>
      </c>
      <c r="X99" t="s">
        <v>1765</v>
      </c>
      <c r="Y99" t="s">
        <v>24</v>
      </c>
      <c r="Z99" t="s">
        <v>24</v>
      </c>
      <c r="AA99" t="s">
        <v>24</v>
      </c>
      <c r="AB99" t="s">
        <v>24</v>
      </c>
      <c r="AC99" t="s">
        <v>24</v>
      </c>
      <c r="AD99" t="s">
        <v>24</v>
      </c>
      <c r="AE99" t="s">
        <v>24</v>
      </c>
      <c r="AF99" t="s">
        <v>24</v>
      </c>
      <c r="AG99" t="s">
        <v>24</v>
      </c>
      <c r="AH99" t="s">
        <v>24</v>
      </c>
      <c r="AI99" t="s">
        <v>24</v>
      </c>
      <c r="AJ99" t="s">
        <v>24</v>
      </c>
      <c r="AK99" t="s">
        <v>24</v>
      </c>
      <c r="AL99">
        <v>20</v>
      </c>
      <c r="AM99">
        <v>20</v>
      </c>
      <c r="AN99">
        <v>0</v>
      </c>
      <c r="AO99">
        <v>1</v>
      </c>
      <c r="AP99">
        <v>1</v>
      </c>
      <c r="AQ99">
        <v>1</v>
      </c>
      <c r="AR99">
        <v>1</v>
      </c>
      <c r="AS99" t="s">
        <v>1769</v>
      </c>
      <c r="AT99" t="s">
        <v>1770</v>
      </c>
      <c r="AU99">
        <v>0</v>
      </c>
      <c r="AV99" t="s">
        <v>1771</v>
      </c>
      <c r="AW99" t="s">
        <v>107</v>
      </c>
      <c r="AX99" t="s">
        <v>107</v>
      </c>
      <c r="AY99" t="s">
        <v>107</v>
      </c>
      <c r="AZ99" t="s">
        <v>1573</v>
      </c>
      <c r="BA99" t="s">
        <v>1776</v>
      </c>
      <c r="BB99" t="s">
        <v>1777</v>
      </c>
    </row>
    <row r="100" spans="1:54" x14ac:dyDescent="0.25">
      <c r="A100" t="s">
        <v>349</v>
      </c>
      <c r="B100" t="s">
        <v>1755</v>
      </c>
      <c r="C100" t="str">
        <f>CONCATENATE(Export_Documentation_Database[[#This Row],[Exp. '#]],"-",Export_Documentation_Database[[#This Row],[Batch '#]])</f>
        <v>2277th--</v>
      </c>
      <c r="D100" t="s">
        <v>336</v>
      </c>
      <c r="E100" t="s">
        <v>181</v>
      </c>
      <c r="F100" t="s">
        <v>128</v>
      </c>
      <c r="G100" t="s">
        <v>1755</v>
      </c>
      <c r="H100" t="s">
        <v>1755</v>
      </c>
      <c r="I100" s="19" t="s">
        <v>1755</v>
      </c>
      <c r="J100" s="19" t="s">
        <v>1755</v>
      </c>
      <c r="K100" s="19">
        <v>46137</v>
      </c>
      <c r="L100" t="s">
        <v>34</v>
      </c>
      <c r="M100" t="s">
        <v>277</v>
      </c>
      <c r="N100" t="s">
        <v>133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1756</v>
      </c>
      <c r="V100" t="s">
        <v>24</v>
      </c>
      <c r="W100" t="s">
        <v>24</v>
      </c>
      <c r="X100" t="s">
        <v>1765</v>
      </c>
      <c r="Y100" t="s">
        <v>24</v>
      </c>
      <c r="Z100" t="s">
        <v>24</v>
      </c>
      <c r="AA100" t="s">
        <v>24</v>
      </c>
      <c r="AB100" t="s">
        <v>24</v>
      </c>
      <c r="AC100" t="s">
        <v>24</v>
      </c>
      <c r="AD100" t="s">
        <v>24</v>
      </c>
      <c r="AE100" t="s">
        <v>24</v>
      </c>
      <c r="AF100" t="s">
        <v>24</v>
      </c>
      <c r="AG100" t="s">
        <v>24</v>
      </c>
      <c r="AH100" t="s">
        <v>24</v>
      </c>
      <c r="AI100" t="s">
        <v>24</v>
      </c>
      <c r="AJ100" t="s">
        <v>24</v>
      </c>
      <c r="AK100" t="s">
        <v>24</v>
      </c>
      <c r="AL100">
        <v>20</v>
      </c>
      <c r="AM100">
        <v>20</v>
      </c>
      <c r="AN100">
        <v>0</v>
      </c>
      <c r="AO100">
        <v>1</v>
      </c>
      <c r="AP100">
        <v>1</v>
      </c>
      <c r="AQ100">
        <v>1</v>
      </c>
      <c r="AR100">
        <v>1</v>
      </c>
      <c r="AS100" t="s">
        <v>1769</v>
      </c>
      <c r="AT100" t="s">
        <v>1770</v>
      </c>
      <c r="AU100">
        <v>0</v>
      </c>
      <c r="AV100" t="s">
        <v>1771</v>
      </c>
      <c r="AW100" t="s">
        <v>107</v>
      </c>
      <c r="AX100" t="s">
        <v>107</v>
      </c>
      <c r="AY100" t="s">
        <v>107</v>
      </c>
      <c r="AZ100" t="s">
        <v>1573</v>
      </c>
      <c r="BA100" t="s">
        <v>1776</v>
      </c>
      <c r="BB100" t="s">
        <v>1777</v>
      </c>
    </row>
    <row r="101" spans="1:54" x14ac:dyDescent="0.25">
      <c r="A101" t="s">
        <v>412</v>
      </c>
      <c r="B101" t="s">
        <v>1755</v>
      </c>
      <c r="C101" t="str">
        <f>CONCATENATE(Export_Documentation_Database[[#This Row],[Exp. '#]],"-",Export_Documentation_Database[[#This Row],[Batch '#]])</f>
        <v>2289th--</v>
      </c>
      <c r="D101" t="s">
        <v>336</v>
      </c>
      <c r="E101" t="s">
        <v>181</v>
      </c>
      <c r="F101" t="s">
        <v>128</v>
      </c>
      <c r="G101" t="s">
        <v>1755</v>
      </c>
      <c r="H101" t="s">
        <v>1755</v>
      </c>
      <c r="I101" s="19" t="s">
        <v>1755</v>
      </c>
      <c r="J101" s="19" t="s">
        <v>1755</v>
      </c>
      <c r="K101" s="19">
        <v>46137</v>
      </c>
      <c r="L101" t="s">
        <v>34</v>
      </c>
      <c r="M101" t="s">
        <v>277</v>
      </c>
      <c r="N101" t="s">
        <v>133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1756</v>
      </c>
      <c r="V101" t="s">
        <v>24</v>
      </c>
      <c r="W101" t="s">
        <v>24</v>
      </c>
      <c r="X101" t="s">
        <v>1765</v>
      </c>
      <c r="Y101" t="s">
        <v>24</v>
      </c>
      <c r="Z101" t="s">
        <v>24</v>
      </c>
      <c r="AA101" t="s">
        <v>24</v>
      </c>
      <c r="AB101" t="s">
        <v>24</v>
      </c>
      <c r="AC101" t="s">
        <v>24</v>
      </c>
      <c r="AD101" t="s">
        <v>24</v>
      </c>
      <c r="AE101" t="s">
        <v>24</v>
      </c>
      <c r="AF101" t="s">
        <v>24</v>
      </c>
      <c r="AG101" t="s">
        <v>24</v>
      </c>
      <c r="AH101" t="s">
        <v>24</v>
      </c>
      <c r="AI101" t="s">
        <v>24</v>
      </c>
      <c r="AJ101" t="s">
        <v>24</v>
      </c>
      <c r="AK101" t="s">
        <v>24</v>
      </c>
      <c r="AL101">
        <v>20</v>
      </c>
      <c r="AM101">
        <v>20</v>
      </c>
      <c r="AN101">
        <v>0</v>
      </c>
      <c r="AO101">
        <v>1</v>
      </c>
      <c r="AP101">
        <v>1</v>
      </c>
      <c r="AQ101">
        <v>1</v>
      </c>
      <c r="AR101">
        <v>1</v>
      </c>
      <c r="AS101" t="s">
        <v>1769</v>
      </c>
      <c r="AT101" t="s">
        <v>1770</v>
      </c>
      <c r="AU101">
        <v>0</v>
      </c>
      <c r="AV101" t="s">
        <v>1771</v>
      </c>
      <c r="AW101" t="s">
        <v>107</v>
      </c>
      <c r="AX101" t="s">
        <v>107</v>
      </c>
      <c r="AY101" t="s">
        <v>107</v>
      </c>
      <c r="AZ101" t="s">
        <v>1573</v>
      </c>
      <c r="BA101" t="s">
        <v>1776</v>
      </c>
      <c r="BB101" t="s">
        <v>1777</v>
      </c>
    </row>
    <row r="102" spans="1:54" x14ac:dyDescent="0.25">
      <c r="A102" t="s">
        <v>760</v>
      </c>
      <c r="B102" t="s">
        <v>761</v>
      </c>
      <c r="C102" t="str">
        <f>CONCATENATE(Export_Documentation_Database[[#This Row],[Exp. '#]],"-",Export_Documentation_Database[[#This Row],[Batch '#]])</f>
        <v>2359th-1st</v>
      </c>
      <c r="D102" t="s">
        <v>1779</v>
      </c>
      <c r="E102" t="s">
        <v>710</v>
      </c>
      <c r="F102" t="s">
        <v>128</v>
      </c>
      <c r="G102" t="s">
        <v>631</v>
      </c>
      <c r="H102" t="s">
        <v>1755</v>
      </c>
      <c r="I102" s="19" t="s">
        <v>1755</v>
      </c>
      <c r="J102" s="19" t="s">
        <v>1755</v>
      </c>
      <c r="K102" s="19">
        <v>46130</v>
      </c>
      <c r="L102" t="s">
        <v>34</v>
      </c>
      <c r="M102" t="s">
        <v>132</v>
      </c>
      <c r="N102" t="s">
        <v>133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1756</v>
      </c>
      <c r="V102" t="s">
        <v>24</v>
      </c>
      <c r="W102" t="s">
        <v>24</v>
      </c>
      <c r="X102" t="s">
        <v>1780</v>
      </c>
      <c r="Y102" t="s">
        <v>24</v>
      </c>
      <c r="Z102" t="s">
        <v>24</v>
      </c>
      <c r="AA102" t="s">
        <v>24</v>
      </c>
      <c r="AB102" t="s">
        <v>1755</v>
      </c>
      <c r="AC102" t="s">
        <v>28</v>
      </c>
      <c r="AD102" t="s">
        <v>28</v>
      </c>
      <c r="AE102" t="s">
        <v>24</v>
      </c>
      <c r="AF102" t="s">
        <v>24</v>
      </c>
      <c r="AG102" t="s">
        <v>24</v>
      </c>
      <c r="AH102" t="s">
        <v>24</v>
      </c>
      <c r="AI102" t="s">
        <v>1755</v>
      </c>
      <c r="AJ102" t="s">
        <v>1755</v>
      </c>
      <c r="AL102">
        <v>20</v>
      </c>
      <c r="AM102">
        <v>15</v>
      </c>
      <c r="AN102">
        <v>5</v>
      </c>
      <c r="AO102">
        <v>0.75</v>
      </c>
      <c r="AP102">
        <v>1</v>
      </c>
      <c r="AQ102">
        <v>0.83333333333333337</v>
      </c>
      <c r="AR102">
        <v>0.5</v>
      </c>
      <c r="AS102" t="s">
        <v>1758</v>
      </c>
      <c r="AT102" t="s">
        <v>1759</v>
      </c>
      <c r="AU102">
        <v>75</v>
      </c>
      <c r="AV102" t="s">
        <v>1760</v>
      </c>
      <c r="AW102" t="s">
        <v>107</v>
      </c>
      <c r="AX102" t="s">
        <v>106</v>
      </c>
      <c r="AY102" t="s">
        <v>106</v>
      </c>
      <c r="AZ102" t="s">
        <v>1573</v>
      </c>
      <c r="BA102" t="s">
        <v>1774</v>
      </c>
      <c r="BB102" t="s">
        <v>1775</v>
      </c>
    </row>
    <row r="103" spans="1:54" x14ac:dyDescent="0.25">
      <c r="A103" t="s">
        <v>726</v>
      </c>
      <c r="B103" t="s">
        <v>761</v>
      </c>
      <c r="C103" t="str">
        <f>CONCATENATE(Export_Documentation_Database[[#This Row],[Exp. '#]],"-",Export_Documentation_Database[[#This Row],[Batch '#]])</f>
        <v>2353rd-1st</v>
      </c>
      <c r="D103" t="s">
        <v>727</v>
      </c>
      <c r="E103" t="s">
        <v>181</v>
      </c>
      <c r="F103" t="s">
        <v>128</v>
      </c>
      <c r="G103" t="s">
        <v>1781</v>
      </c>
      <c r="H103">
        <v>3</v>
      </c>
      <c r="I103" s="19" t="s">
        <v>1755</v>
      </c>
      <c r="J103" s="19" t="s">
        <v>1755</v>
      </c>
      <c r="K103" s="19">
        <v>46131</v>
      </c>
      <c r="L103" t="s">
        <v>34</v>
      </c>
      <c r="M103" t="s">
        <v>132</v>
      </c>
      <c r="N103" t="s">
        <v>478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1764</v>
      </c>
      <c r="V103" t="s">
        <v>24</v>
      </c>
      <c r="W103" t="s">
        <v>24</v>
      </c>
      <c r="X103" t="s">
        <v>1765</v>
      </c>
      <c r="Y103" t="s">
        <v>24</v>
      </c>
      <c r="Z103" t="s">
        <v>24</v>
      </c>
      <c r="AA103" t="s">
        <v>24</v>
      </c>
      <c r="AB103" t="s">
        <v>24</v>
      </c>
      <c r="AC103" t="s">
        <v>24</v>
      </c>
      <c r="AD103" t="s">
        <v>24</v>
      </c>
      <c r="AE103" t="s">
        <v>24</v>
      </c>
      <c r="AF103" t="s">
        <v>24</v>
      </c>
      <c r="AG103" t="s">
        <v>24</v>
      </c>
      <c r="AH103" t="s">
        <v>24</v>
      </c>
      <c r="AI103" t="s">
        <v>24</v>
      </c>
      <c r="AJ103" t="s">
        <v>24</v>
      </c>
      <c r="AK103" t="s">
        <v>24</v>
      </c>
      <c r="AL103">
        <v>20</v>
      </c>
      <c r="AM103">
        <v>20</v>
      </c>
      <c r="AN103">
        <v>0</v>
      </c>
      <c r="AO103">
        <v>1</v>
      </c>
      <c r="AP103">
        <v>1</v>
      </c>
      <c r="AQ103">
        <v>1</v>
      </c>
      <c r="AR103">
        <v>1</v>
      </c>
      <c r="AS103" t="s">
        <v>1769</v>
      </c>
      <c r="AT103" t="s">
        <v>1770</v>
      </c>
      <c r="AU103">
        <v>0</v>
      </c>
      <c r="AV103" t="s">
        <v>1771</v>
      </c>
      <c r="AW103" t="s">
        <v>107</v>
      </c>
      <c r="AX103" t="s">
        <v>107</v>
      </c>
      <c r="AY103" t="s">
        <v>107</v>
      </c>
      <c r="AZ103" t="s">
        <v>1573</v>
      </c>
      <c r="BA103" t="s">
        <v>1782</v>
      </c>
      <c r="BB103" t="s">
        <v>1777</v>
      </c>
    </row>
    <row r="104" spans="1:54" x14ac:dyDescent="0.25">
      <c r="A104" t="s">
        <v>531</v>
      </c>
      <c r="B104" t="s">
        <v>1755</v>
      </c>
      <c r="C104" t="str">
        <f>CONCATENATE(Export_Documentation_Database[[#This Row],[Exp. '#]],"-",Export_Documentation_Database[[#This Row],[Batch '#]])</f>
        <v>2314th--</v>
      </c>
      <c r="D104" t="s">
        <v>532</v>
      </c>
      <c r="E104" t="s">
        <v>181</v>
      </c>
      <c r="F104" t="s">
        <v>128</v>
      </c>
      <c r="G104" t="s">
        <v>340</v>
      </c>
      <c r="H104">
        <v>1</v>
      </c>
      <c r="I104" s="19" t="s">
        <v>1755</v>
      </c>
      <c r="J104" s="19" t="s">
        <v>1755</v>
      </c>
      <c r="K104" s="19">
        <v>46137</v>
      </c>
      <c r="L104" t="s">
        <v>34</v>
      </c>
      <c r="M104" t="s">
        <v>132</v>
      </c>
      <c r="N104" t="s">
        <v>133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1764</v>
      </c>
      <c r="V104" t="s">
        <v>24</v>
      </c>
      <c r="W104" t="s">
        <v>24</v>
      </c>
      <c r="X104" t="s">
        <v>1765</v>
      </c>
      <c r="Y104" t="s">
        <v>24</v>
      </c>
      <c r="Z104" t="s">
        <v>24</v>
      </c>
      <c r="AA104" t="s">
        <v>24</v>
      </c>
      <c r="AB104" t="s">
        <v>24</v>
      </c>
      <c r="AC104" t="s">
        <v>28</v>
      </c>
      <c r="AD104" t="s">
        <v>28</v>
      </c>
      <c r="AE104" t="s">
        <v>24</v>
      </c>
      <c r="AF104" t="s">
        <v>24</v>
      </c>
      <c r="AG104" t="s">
        <v>24</v>
      </c>
      <c r="AH104" t="s">
        <v>24</v>
      </c>
      <c r="AI104" t="s">
        <v>24</v>
      </c>
      <c r="AJ104" t="s">
        <v>24</v>
      </c>
      <c r="AL104">
        <v>20</v>
      </c>
      <c r="AM104">
        <v>18</v>
      </c>
      <c r="AN104">
        <v>2</v>
      </c>
      <c r="AO104">
        <v>0.9</v>
      </c>
      <c r="AP104">
        <v>1</v>
      </c>
      <c r="AQ104">
        <v>1</v>
      </c>
      <c r="AR104">
        <v>0.75</v>
      </c>
      <c r="AS104" t="s">
        <v>1758</v>
      </c>
      <c r="AT104" t="s">
        <v>1759</v>
      </c>
      <c r="AU104">
        <v>68</v>
      </c>
      <c r="AV104" t="s">
        <v>1760</v>
      </c>
      <c r="AW104" t="s">
        <v>107</v>
      </c>
      <c r="AX104" t="s">
        <v>107</v>
      </c>
      <c r="AY104" t="s">
        <v>106</v>
      </c>
      <c r="AZ104" t="s">
        <v>1573</v>
      </c>
      <c r="BA104" t="s">
        <v>1776</v>
      </c>
      <c r="BB104" t="s">
        <v>1777</v>
      </c>
    </row>
    <row r="105" spans="1:54" x14ac:dyDescent="0.25">
      <c r="A105" t="s">
        <v>751</v>
      </c>
      <c r="B105" t="s">
        <v>1755</v>
      </c>
      <c r="C105" t="str">
        <f>CONCATENATE(Export_Documentation_Database[[#This Row],[Exp. '#]],"-",Export_Documentation_Database[[#This Row],[Batch '#]])</f>
        <v>2357th--</v>
      </c>
      <c r="D105" t="s">
        <v>532</v>
      </c>
      <c r="E105" t="s">
        <v>181</v>
      </c>
      <c r="F105" t="s">
        <v>128</v>
      </c>
      <c r="G105" t="s">
        <v>755</v>
      </c>
      <c r="H105">
        <v>1</v>
      </c>
      <c r="I105" s="19" t="s">
        <v>1755</v>
      </c>
      <c r="J105" s="19" t="s">
        <v>1755</v>
      </c>
      <c r="K105" s="19">
        <v>46137</v>
      </c>
      <c r="L105" t="s">
        <v>34</v>
      </c>
      <c r="M105" t="s">
        <v>132</v>
      </c>
      <c r="N105" t="s">
        <v>133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1764</v>
      </c>
      <c r="V105" t="s">
        <v>24</v>
      </c>
      <c r="W105" t="s">
        <v>24</v>
      </c>
      <c r="X105" t="s">
        <v>1765</v>
      </c>
      <c r="Y105" t="s">
        <v>24</v>
      </c>
      <c r="Z105" t="s">
        <v>24</v>
      </c>
      <c r="AA105" t="s">
        <v>24</v>
      </c>
      <c r="AB105" t="s">
        <v>24</v>
      </c>
      <c r="AC105" t="s">
        <v>24</v>
      </c>
      <c r="AD105" t="s">
        <v>24</v>
      </c>
      <c r="AE105" t="s">
        <v>24</v>
      </c>
      <c r="AF105" t="s">
        <v>24</v>
      </c>
      <c r="AG105" t="s">
        <v>24</v>
      </c>
      <c r="AH105" t="s">
        <v>24</v>
      </c>
      <c r="AI105" t="s">
        <v>24</v>
      </c>
      <c r="AJ105" t="s">
        <v>24</v>
      </c>
      <c r="AK105" t="s">
        <v>24</v>
      </c>
      <c r="AL105">
        <v>20</v>
      </c>
      <c r="AM105">
        <v>20</v>
      </c>
      <c r="AN105">
        <v>0</v>
      </c>
      <c r="AO105">
        <v>1</v>
      </c>
      <c r="AP105">
        <v>1</v>
      </c>
      <c r="AQ105">
        <v>1</v>
      </c>
      <c r="AR105">
        <v>1</v>
      </c>
      <c r="AS105" t="s">
        <v>1769</v>
      </c>
      <c r="AT105" t="s">
        <v>1770</v>
      </c>
      <c r="AU105">
        <v>0</v>
      </c>
      <c r="AV105" t="s">
        <v>1771</v>
      </c>
      <c r="AW105" t="s">
        <v>107</v>
      </c>
      <c r="AX105" t="s">
        <v>107</v>
      </c>
      <c r="AY105" t="s">
        <v>107</v>
      </c>
      <c r="AZ105" t="s">
        <v>1573</v>
      </c>
      <c r="BA105" t="s">
        <v>1776</v>
      </c>
      <c r="BB105" t="s">
        <v>1777</v>
      </c>
    </row>
    <row r="106" spans="1:54" x14ac:dyDescent="0.25">
      <c r="A106" t="s">
        <v>564</v>
      </c>
      <c r="B106" t="s">
        <v>1755</v>
      </c>
      <c r="C106" t="str">
        <f>CONCATENATE(Export_Documentation_Database[[#This Row],[Exp. '#]],"-",Export_Documentation_Database[[#This Row],[Batch '#]])</f>
        <v>2320th--</v>
      </c>
      <c r="D106" t="s">
        <v>560</v>
      </c>
      <c r="E106" t="s">
        <v>181</v>
      </c>
      <c r="F106" t="s">
        <v>128</v>
      </c>
      <c r="G106" t="s">
        <v>565</v>
      </c>
      <c r="H106">
        <v>1</v>
      </c>
      <c r="I106" s="19" t="s">
        <v>1755</v>
      </c>
      <c r="J106" s="19" t="s">
        <v>1755</v>
      </c>
      <c r="K106" s="19">
        <v>46133</v>
      </c>
      <c r="L106" t="s">
        <v>34</v>
      </c>
      <c r="M106" t="s">
        <v>132</v>
      </c>
      <c r="N106" t="s">
        <v>133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1764</v>
      </c>
      <c r="V106" t="s">
        <v>24</v>
      </c>
      <c r="W106" t="s">
        <v>24</v>
      </c>
      <c r="X106" t="s">
        <v>1765</v>
      </c>
      <c r="Y106" t="s">
        <v>24</v>
      </c>
      <c r="Z106" t="s">
        <v>24</v>
      </c>
      <c r="AA106" t="s">
        <v>24</v>
      </c>
      <c r="AB106" t="s">
        <v>24</v>
      </c>
      <c r="AC106" t="s">
        <v>24</v>
      </c>
      <c r="AD106" t="s">
        <v>24</v>
      </c>
      <c r="AE106" t="s">
        <v>24</v>
      </c>
      <c r="AF106" t="s">
        <v>24</v>
      </c>
      <c r="AG106" t="s">
        <v>24</v>
      </c>
      <c r="AH106" t="s">
        <v>24</v>
      </c>
      <c r="AI106" t="s">
        <v>24</v>
      </c>
      <c r="AJ106" t="s">
        <v>24</v>
      </c>
      <c r="AK106" t="s">
        <v>24</v>
      </c>
      <c r="AL106">
        <v>20</v>
      </c>
      <c r="AM106">
        <v>20</v>
      </c>
      <c r="AN106">
        <v>0</v>
      </c>
      <c r="AO106">
        <v>1</v>
      </c>
      <c r="AP106">
        <v>1</v>
      </c>
      <c r="AQ106">
        <v>1</v>
      </c>
      <c r="AR106">
        <v>1</v>
      </c>
      <c r="AS106" t="s">
        <v>1769</v>
      </c>
      <c r="AT106" t="s">
        <v>1770</v>
      </c>
      <c r="AU106">
        <v>0</v>
      </c>
      <c r="AV106" t="s">
        <v>1771</v>
      </c>
      <c r="AW106" t="s">
        <v>107</v>
      </c>
      <c r="AX106" t="s">
        <v>107</v>
      </c>
      <c r="AY106" t="s">
        <v>107</v>
      </c>
      <c r="AZ106" t="s">
        <v>1573</v>
      </c>
      <c r="BA106" t="s">
        <v>1573</v>
      </c>
      <c r="BB106" t="s">
        <v>1775</v>
      </c>
    </row>
    <row r="107" spans="1:54" x14ac:dyDescent="0.25">
      <c r="A107" t="s">
        <v>609</v>
      </c>
      <c r="B107" t="s">
        <v>1755</v>
      </c>
      <c r="C107" t="str">
        <f>CONCATENATE(Export_Documentation_Database[[#This Row],[Exp. '#]],"-",Export_Documentation_Database[[#This Row],[Batch '#]])</f>
        <v>2328th--</v>
      </c>
      <c r="D107" t="s">
        <v>35</v>
      </c>
      <c r="E107" t="s">
        <v>157</v>
      </c>
      <c r="F107" t="s">
        <v>613</v>
      </c>
      <c r="G107" t="s">
        <v>189</v>
      </c>
      <c r="H107" t="s">
        <v>1755</v>
      </c>
      <c r="I107" s="19" t="s">
        <v>1755</v>
      </c>
      <c r="J107" s="19" t="s">
        <v>1755</v>
      </c>
      <c r="K107" s="19">
        <v>46136</v>
      </c>
      <c r="L107" t="s">
        <v>34</v>
      </c>
      <c r="M107" t="s">
        <v>132</v>
      </c>
      <c r="N107" t="s">
        <v>133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1756</v>
      </c>
      <c r="V107" t="s">
        <v>24</v>
      </c>
      <c r="W107" t="s">
        <v>24</v>
      </c>
      <c r="X107" t="s">
        <v>1773</v>
      </c>
      <c r="Y107" t="s">
        <v>24</v>
      </c>
      <c r="Z107" t="s">
        <v>24</v>
      </c>
      <c r="AA107" t="s">
        <v>24</v>
      </c>
      <c r="AB107" t="s">
        <v>1755</v>
      </c>
      <c r="AC107" t="s">
        <v>24</v>
      </c>
      <c r="AD107" t="s">
        <v>24</v>
      </c>
      <c r="AE107" t="s">
        <v>24</v>
      </c>
      <c r="AF107" t="s">
        <v>24</v>
      </c>
      <c r="AG107" t="s">
        <v>24</v>
      </c>
      <c r="AH107" t="s">
        <v>24</v>
      </c>
      <c r="AI107" t="s">
        <v>1755</v>
      </c>
      <c r="AJ107" t="s">
        <v>1755</v>
      </c>
      <c r="AK107" t="s">
        <v>24</v>
      </c>
      <c r="AL107">
        <v>20</v>
      </c>
      <c r="AM107">
        <v>17</v>
      </c>
      <c r="AN107">
        <v>3</v>
      </c>
      <c r="AO107">
        <v>0.85</v>
      </c>
      <c r="AP107">
        <v>1</v>
      </c>
      <c r="AQ107">
        <v>0.83333333333333337</v>
      </c>
      <c r="AR107">
        <v>0.75</v>
      </c>
      <c r="AS107" t="s">
        <v>1758</v>
      </c>
      <c r="AT107" t="s">
        <v>1759</v>
      </c>
      <c r="AU107">
        <v>69</v>
      </c>
      <c r="AV107" t="s">
        <v>1760</v>
      </c>
      <c r="AW107" t="s">
        <v>107</v>
      </c>
      <c r="AX107" t="s">
        <v>106</v>
      </c>
      <c r="AY107" t="s">
        <v>106</v>
      </c>
      <c r="AZ107" t="s">
        <v>1573</v>
      </c>
      <c r="BA107" t="s">
        <v>1783</v>
      </c>
      <c r="BB107" t="s">
        <v>1777</v>
      </c>
    </row>
    <row r="108" spans="1:54" x14ac:dyDescent="0.25">
      <c r="A108" t="s">
        <v>526</v>
      </c>
      <c r="B108" t="s">
        <v>1755</v>
      </c>
      <c r="C108" t="str">
        <f>CONCATENATE(Export_Documentation_Database[[#This Row],[Exp. '#]],"-",Export_Documentation_Database[[#This Row],[Batch '#]])</f>
        <v>2313rd--</v>
      </c>
      <c r="D108" t="s">
        <v>38</v>
      </c>
      <c r="E108" t="s">
        <v>181</v>
      </c>
      <c r="F108" t="s">
        <v>128</v>
      </c>
      <c r="G108" t="s">
        <v>473</v>
      </c>
      <c r="H108">
        <v>1</v>
      </c>
      <c r="I108" s="19" t="s">
        <v>1755</v>
      </c>
      <c r="J108" s="19" t="s">
        <v>1755</v>
      </c>
      <c r="K108" s="19">
        <v>46143</v>
      </c>
      <c r="L108" t="s">
        <v>37</v>
      </c>
      <c r="M108" t="s">
        <v>132</v>
      </c>
      <c r="N108" t="s">
        <v>133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1764</v>
      </c>
      <c r="V108" t="s">
        <v>24</v>
      </c>
      <c r="W108" t="s">
        <v>24</v>
      </c>
      <c r="X108" t="s">
        <v>1757</v>
      </c>
      <c r="Y108" t="s">
        <v>24</v>
      </c>
      <c r="Z108" t="s">
        <v>24</v>
      </c>
      <c r="AA108" t="s">
        <v>24</v>
      </c>
      <c r="AB108" t="s">
        <v>24</v>
      </c>
      <c r="AC108" t="s">
        <v>24</v>
      </c>
      <c r="AD108" t="s">
        <v>24</v>
      </c>
      <c r="AE108" t="s">
        <v>24</v>
      </c>
      <c r="AF108" t="s">
        <v>24</v>
      </c>
      <c r="AG108" t="s">
        <v>24</v>
      </c>
      <c r="AH108" t="s">
        <v>24</v>
      </c>
      <c r="AI108" t="s">
        <v>1755</v>
      </c>
      <c r="AJ108" t="s">
        <v>24</v>
      </c>
      <c r="AK108" t="s">
        <v>24</v>
      </c>
      <c r="AL108">
        <v>20</v>
      </c>
      <c r="AM108">
        <v>19</v>
      </c>
      <c r="AN108">
        <v>1</v>
      </c>
      <c r="AO108">
        <v>0.95</v>
      </c>
      <c r="AP108">
        <v>1</v>
      </c>
      <c r="AQ108">
        <v>1</v>
      </c>
      <c r="AR108">
        <v>0.875</v>
      </c>
      <c r="AS108" t="s">
        <v>1758</v>
      </c>
      <c r="AT108" t="s">
        <v>1759</v>
      </c>
      <c r="AU108">
        <v>62</v>
      </c>
      <c r="AV108" t="s">
        <v>1760</v>
      </c>
      <c r="AW108" t="s">
        <v>107</v>
      </c>
      <c r="AX108" t="s">
        <v>107</v>
      </c>
      <c r="AY108" t="s">
        <v>106</v>
      </c>
      <c r="AZ108" t="s">
        <v>1573</v>
      </c>
      <c r="BA108" t="s">
        <v>1783</v>
      </c>
      <c r="BB108" t="s">
        <v>1777</v>
      </c>
    </row>
    <row r="109" spans="1:54" x14ac:dyDescent="0.25">
      <c r="A109" t="s">
        <v>556</v>
      </c>
      <c r="B109" t="s">
        <v>1755</v>
      </c>
      <c r="C109" t="str">
        <f>CONCATENATE(Export_Documentation_Database[[#This Row],[Exp. '#]],"-",Export_Documentation_Database[[#This Row],[Batch '#]])</f>
        <v>2319th--</v>
      </c>
      <c r="D109" t="s">
        <v>38</v>
      </c>
      <c r="E109" t="s">
        <v>181</v>
      </c>
      <c r="F109" t="s">
        <v>128</v>
      </c>
      <c r="G109" t="s">
        <v>340</v>
      </c>
      <c r="H109">
        <v>1</v>
      </c>
      <c r="I109" s="19" t="s">
        <v>1755</v>
      </c>
      <c r="J109" s="19" t="s">
        <v>1755</v>
      </c>
      <c r="K109" s="19">
        <v>46143</v>
      </c>
      <c r="L109" t="s">
        <v>37</v>
      </c>
      <c r="M109" t="s">
        <v>132</v>
      </c>
      <c r="N109" t="s">
        <v>133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1764</v>
      </c>
      <c r="V109" t="s">
        <v>24</v>
      </c>
      <c r="W109" t="s">
        <v>24</v>
      </c>
      <c r="X109" t="s">
        <v>1757</v>
      </c>
      <c r="Y109" t="s">
        <v>24</v>
      </c>
      <c r="Z109" t="s">
        <v>24</v>
      </c>
      <c r="AA109" t="s">
        <v>24</v>
      </c>
      <c r="AB109" t="s">
        <v>24</v>
      </c>
      <c r="AC109" t="s">
        <v>24</v>
      </c>
      <c r="AD109" t="s">
        <v>24</v>
      </c>
      <c r="AE109" t="s">
        <v>24</v>
      </c>
      <c r="AF109" t="s">
        <v>24</v>
      </c>
      <c r="AG109" t="s">
        <v>24</v>
      </c>
      <c r="AH109" t="s">
        <v>24</v>
      </c>
      <c r="AI109" t="s">
        <v>1755</v>
      </c>
      <c r="AJ109" t="s">
        <v>24</v>
      </c>
      <c r="AK109" t="s">
        <v>24</v>
      </c>
      <c r="AL109">
        <v>20</v>
      </c>
      <c r="AM109">
        <v>19</v>
      </c>
      <c r="AN109">
        <v>1</v>
      </c>
      <c r="AO109">
        <v>0.95</v>
      </c>
      <c r="AP109">
        <v>1</v>
      </c>
      <c r="AQ109">
        <v>1</v>
      </c>
      <c r="AR109">
        <v>0.875</v>
      </c>
      <c r="AS109" t="s">
        <v>1758</v>
      </c>
      <c r="AT109" t="s">
        <v>1759</v>
      </c>
      <c r="AU109">
        <v>62</v>
      </c>
      <c r="AV109" t="s">
        <v>1760</v>
      </c>
      <c r="AW109" t="s">
        <v>107</v>
      </c>
      <c r="AX109" t="s">
        <v>107</v>
      </c>
      <c r="AY109" t="s">
        <v>106</v>
      </c>
      <c r="AZ109" t="s">
        <v>1573</v>
      </c>
      <c r="BA109" t="s">
        <v>1783</v>
      </c>
      <c r="BB109" t="s">
        <v>1777</v>
      </c>
    </row>
    <row r="110" spans="1:54" x14ac:dyDescent="0.25">
      <c r="A110" t="s">
        <v>868</v>
      </c>
      <c r="B110" t="s">
        <v>1755</v>
      </c>
      <c r="C110" t="str">
        <f>CONCATENATE(Export_Documentation_Database[[#This Row],[Exp. '#]],"-",Export_Documentation_Database[[#This Row],[Batch '#]])</f>
        <v>2381st--</v>
      </c>
      <c r="D110" t="s">
        <v>664</v>
      </c>
      <c r="E110" t="s">
        <v>125</v>
      </c>
      <c r="F110" t="s">
        <v>128</v>
      </c>
      <c r="G110" t="s">
        <v>473</v>
      </c>
      <c r="H110">
        <v>1</v>
      </c>
      <c r="I110" s="19" t="s">
        <v>1755</v>
      </c>
      <c r="J110" s="19" t="s">
        <v>1755</v>
      </c>
      <c r="K110" s="19">
        <v>46138</v>
      </c>
      <c r="L110" t="s">
        <v>34</v>
      </c>
      <c r="M110" t="s">
        <v>277</v>
      </c>
      <c r="N110" t="s">
        <v>133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1764</v>
      </c>
      <c r="V110" t="s">
        <v>24</v>
      </c>
      <c r="W110" t="s">
        <v>24</v>
      </c>
      <c r="X110" t="s">
        <v>1757</v>
      </c>
      <c r="Y110" t="s">
        <v>24</v>
      </c>
      <c r="Z110" t="s">
        <v>24</v>
      </c>
      <c r="AA110" t="s">
        <v>24</v>
      </c>
      <c r="AB110" t="s">
        <v>1755</v>
      </c>
      <c r="AC110" t="s">
        <v>24</v>
      </c>
      <c r="AD110" t="s">
        <v>24</v>
      </c>
      <c r="AE110" t="s">
        <v>24</v>
      </c>
      <c r="AF110" t="s">
        <v>24</v>
      </c>
      <c r="AG110" t="s">
        <v>24</v>
      </c>
      <c r="AH110" t="s">
        <v>24</v>
      </c>
      <c r="AI110" t="s">
        <v>1755</v>
      </c>
      <c r="AJ110" t="s">
        <v>1755</v>
      </c>
      <c r="AK110" t="s">
        <v>24</v>
      </c>
      <c r="AL110">
        <v>20</v>
      </c>
      <c r="AM110">
        <v>17</v>
      </c>
      <c r="AN110">
        <v>3</v>
      </c>
      <c r="AO110">
        <v>0.85</v>
      </c>
      <c r="AP110">
        <v>1</v>
      </c>
      <c r="AQ110">
        <v>0.83333333333333337</v>
      </c>
      <c r="AR110">
        <v>0.75</v>
      </c>
      <c r="AS110" t="s">
        <v>1758</v>
      </c>
      <c r="AT110" t="s">
        <v>1759</v>
      </c>
      <c r="AU110">
        <v>67</v>
      </c>
      <c r="AV110" t="s">
        <v>1760</v>
      </c>
      <c r="AW110" t="s">
        <v>107</v>
      </c>
      <c r="AX110" t="s">
        <v>106</v>
      </c>
      <c r="AY110" t="s">
        <v>106</v>
      </c>
      <c r="AZ110" t="s">
        <v>1573</v>
      </c>
      <c r="BA110" t="s">
        <v>1784</v>
      </c>
      <c r="BB110" t="s">
        <v>1775</v>
      </c>
    </row>
    <row r="111" spans="1:54" x14ac:dyDescent="0.25">
      <c r="A111" t="s">
        <v>796</v>
      </c>
      <c r="B111" t="s">
        <v>1755</v>
      </c>
      <c r="C111" t="str">
        <f>CONCATENATE(Export_Documentation_Database[[#This Row],[Exp. '#]],"-",Export_Documentation_Database[[#This Row],[Batch '#]])</f>
        <v>2365th--</v>
      </c>
      <c r="D111" t="s">
        <v>590</v>
      </c>
      <c r="E111" t="s">
        <v>157</v>
      </c>
      <c r="F111" t="s">
        <v>182</v>
      </c>
      <c r="G111" t="s">
        <v>473</v>
      </c>
      <c r="H111">
        <v>1</v>
      </c>
      <c r="I111" s="19" t="s">
        <v>1755</v>
      </c>
      <c r="J111" s="19" t="s">
        <v>1755</v>
      </c>
      <c r="K111" s="19">
        <v>46143</v>
      </c>
      <c r="L111" t="s">
        <v>37</v>
      </c>
      <c r="M111" t="s">
        <v>277</v>
      </c>
      <c r="N111" t="s">
        <v>133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1756</v>
      </c>
      <c r="V111" t="s">
        <v>24</v>
      </c>
      <c r="W111" t="s">
        <v>24</v>
      </c>
      <c r="X111" t="s">
        <v>1757</v>
      </c>
      <c r="Y111" t="s">
        <v>24</v>
      </c>
      <c r="Z111" t="s">
        <v>24</v>
      </c>
      <c r="AA111" t="s">
        <v>24</v>
      </c>
      <c r="AB111" t="s">
        <v>1755</v>
      </c>
      <c r="AC111" t="s">
        <v>24</v>
      </c>
      <c r="AD111" t="s">
        <v>24</v>
      </c>
      <c r="AE111" t="s">
        <v>24</v>
      </c>
      <c r="AF111" t="s">
        <v>24</v>
      </c>
      <c r="AG111" t="s">
        <v>24</v>
      </c>
      <c r="AH111" t="s">
        <v>24</v>
      </c>
      <c r="AI111" t="s">
        <v>1755</v>
      </c>
      <c r="AJ111" t="s">
        <v>1755</v>
      </c>
      <c r="AL111">
        <v>20</v>
      </c>
      <c r="AM111">
        <v>17</v>
      </c>
      <c r="AN111">
        <v>3</v>
      </c>
      <c r="AO111">
        <v>0.85</v>
      </c>
      <c r="AP111">
        <v>1</v>
      </c>
      <c r="AQ111">
        <v>0.83333333333333337</v>
      </c>
      <c r="AR111">
        <v>0.75</v>
      </c>
      <c r="AS111" t="s">
        <v>1758</v>
      </c>
      <c r="AT111" t="s">
        <v>1759</v>
      </c>
      <c r="AU111">
        <v>62</v>
      </c>
      <c r="AV111" t="s">
        <v>1760</v>
      </c>
      <c r="AW111" t="s">
        <v>107</v>
      </c>
      <c r="AX111" t="s">
        <v>106</v>
      </c>
      <c r="AY111" t="s">
        <v>106</v>
      </c>
      <c r="AZ111" t="s">
        <v>1573</v>
      </c>
      <c r="BA111" t="s">
        <v>1783</v>
      </c>
      <c r="BB111" t="s">
        <v>1777</v>
      </c>
    </row>
    <row r="112" spans="1:54" x14ac:dyDescent="0.25">
      <c r="A112" t="s">
        <v>212</v>
      </c>
      <c r="B112" t="s">
        <v>1755</v>
      </c>
      <c r="C112" t="str">
        <f>CONCATENATE(Export_Documentation_Database[[#This Row],[Exp. '#]],"-",Export_Documentation_Database[[#This Row],[Batch '#]])</f>
        <v>2243rd--</v>
      </c>
      <c r="D112" t="s">
        <v>35</v>
      </c>
      <c r="E112" t="s">
        <v>157</v>
      </c>
      <c r="F112" t="s">
        <v>216</v>
      </c>
      <c r="G112" t="s">
        <v>189</v>
      </c>
      <c r="H112" t="s">
        <v>1755</v>
      </c>
      <c r="I112" s="19">
        <v>46132</v>
      </c>
      <c r="J112" s="19">
        <v>46139</v>
      </c>
      <c r="K112" s="19">
        <v>46149</v>
      </c>
      <c r="L112" t="s">
        <v>37</v>
      </c>
      <c r="M112" t="s">
        <v>132</v>
      </c>
      <c r="N112" t="s">
        <v>133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1756</v>
      </c>
      <c r="V112" t="s">
        <v>24</v>
      </c>
      <c r="W112" t="s">
        <v>24</v>
      </c>
      <c r="X112" t="s">
        <v>1773</v>
      </c>
      <c r="Y112" t="s">
        <v>24</v>
      </c>
      <c r="Z112" t="s">
        <v>24</v>
      </c>
      <c r="AA112" t="s">
        <v>24</v>
      </c>
      <c r="AB112" t="s">
        <v>1755</v>
      </c>
      <c r="AC112" t="s">
        <v>32</v>
      </c>
      <c r="AD112" t="s">
        <v>32</v>
      </c>
      <c r="AE112" t="s">
        <v>24</v>
      </c>
      <c r="AF112" t="s">
        <v>24</v>
      </c>
      <c r="AG112" t="s">
        <v>24</v>
      </c>
      <c r="AH112" t="s">
        <v>24</v>
      </c>
      <c r="AI112" t="s">
        <v>1755</v>
      </c>
      <c r="AJ112" t="s">
        <v>1755</v>
      </c>
      <c r="AL112">
        <v>20</v>
      </c>
      <c r="AM112">
        <v>15</v>
      </c>
      <c r="AN112">
        <v>5</v>
      </c>
      <c r="AO112">
        <v>0.75</v>
      </c>
      <c r="AP112">
        <v>1</v>
      </c>
      <c r="AQ112">
        <v>0.83333333333333337</v>
      </c>
      <c r="AR112">
        <v>0.5</v>
      </c>
      <c r="AS112" t="s">
        <v>1758</v>
      </c>
      <c r="AT112" t="s">
        <v>1759</v>
      </c>
      <c r="AU112">
        <v>56</v>
      </c>
      <c r="AV112" t="s">
        <v>1760</v>
      </c>
      <c r="AW112" t="s">
        <v>107</v>
      </c>
      <c r="AX112" t="s">
        <v>106</v>
      </c>
      <c r="AY112" t="s">
        <v>106</v>
      </c>
      <c r="AZ112" t="s">
        <v>1573</v>
      </c>
      <c r="BA112" t="s">
        <v>1785</v>
      </c>
      <c r="BB112" t="s">
        <v>1786</v>
      </c>
    </row>
    <row r="113" spans="1:54" x14ac:dyDescent="0.25">
      <c r="A113" t="s">
        <v>946</v>
      </c>
      <c r="B113" t="s">
        <v>1755</v>
      </c>
      <c r="C113" t="str">
        <f>CONCATENATE(Export_Documentation_Database[[#This Row],[Exp. '#]],"-",Export_Documentation_Database[[#This Row],[Batch '#]])</f>
        <v>2398th--</v>
      </c>
      <c r="D113" t="s">
        <v>23</v>
      </c>
      <c r="E113" t="s">
        <v>710</v>
      </c>
      <c r="F113" t="s">
        <v>880</v>
      </c>
      <c r="G113" t="s">
        <v>631</v>
      </c>
      <c r="H113" t="s">
        <v>1755</v>
      </c>
      <c r="I113" s="19">
        <v>46141</v>
      </c>
      <c r="J113" s="19">
        <v>46142</v>
      </c>
      <c r="K113" s="19">
        <v>46146</v>
      </c>
      <c r="L113" t="s">
        <v>37</v>
      </c>
      <c r="M113" t="s">
        <v>277</v>
      </c>
      <c r="N113" t="s">
        <v>133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1756</v>
      </c>
      <c r="V113" t="s">
        <v>24</v>
      </c>
      <c r="W113" t="s">
        <v>24</v>
      </c>
      <c r="X113" t="s">
        <v>1780</v>
      </c>
      <c r="Y113" t="s">
        <v>24</v>
      </c>
      <c r="Z113" t="s">
        <v>24</v>
      </c>
      <c r="AA113" t="s">
        <v>24</v>
      </c>
      <c r="AB113" t="s">
        <v>1755</v>
      </c>
      <c r="AC113" t="s">
        <v>32</v>
      </c>
      <c r="AD113" t="s">
        <v>32</v>
      </c>
      <c r="AE113" t="s">
        <v>24</v>
      </c>
      <c r="AF113" t="s">
        <v>24</v>
      </c>
      <c r="AG113" t="s">
        <v>24</v>
      </c>
      <c r="AH113" t="s">
        <v>24</v>
      </c>
      <c r="AI113" t="s">
        <v>1755</v>
      </c>
      <c r="AJ113" t="s">
        <v>1755</v>
      </c>
      <c r="AL113">
        <v>20</v>
      </c>
      <c r="AM113">
        <v>15</v>
      </c>
      <c r="AN113">
        <v>5</v>
      </c>
      <c r="AO113">
        <v>0.75</v>
      </c>
      <c r="AP113">
        <v>1</v>
      </c>
      <c r="AQ113">
        <v>0.83333333333333337</v>
      </c>
      <c r="AR113">
        <v>0.5</v>
      </c>
      <c r="AS113" t="s">
        <v>1758</v>
      </c>
      <c r="AT113" t="s">
        <v>1759</v>
      </c>
      <c r="AU113">
        <v>59</v>
      </c>
      <c r="AV113" t="s">
        <v>1760</v>
      </c>
      <c r="AW113" t="s">
        <v>107</v>
      </c>
      <c r="AX113" t="s">
        <v>106</v>
      </c>
      <c r="AY113" t="s">
        <v>106</v>
      </c>
      <c r="AZ113" t="s">
        <v>1787</v>
      </c>
      <c r="BA113" t="s">
        <v>1785</v>
      </c>
      <c r="BB113" t="s">
        <v>1788</v>
      </c>
    </row>
    <row r="114" spans="1:54" x14ac:dyDescent="0.25">
      <c r="A114" t="s">
        <v>957</v>
      </c>
      <c r="B114" t="s">
        <v>1755</v>
      </c>
      <c r="C114" t="str">
        <f>CONCATENATE(Export_Documentation_Database[[#This Row],[Exp. '#]],"-",Export_Documentation_Database[[#This Row],[Batch '#]])</f>
        <v>2400th--</v>
      </c>
      <c r="D114" t="s">
        <v>23</v>
      </c>
      <c r="E114" t="s">
        <v>710</v>
      </c>
      <c r="F114" t="s">
        <v>880</v>
      </c>
      <c r="G114" t="s">
        <v>631</v>
      </c>
      <c r="H114" t="s">
        <v>1755</v>
      </c>
      <c r="I114" s="19">
        <v>46141</v>
      </c>
      <c r="J114" s="19">
        <v>46142</v>
      </c>
      <c r="K114" s="19">
        <v>46146</v>
      </c>
      <c r="L114" t="s">
        <v>37</v>
      </c>
      <c r="M114" t="s">
        <v>277</v>
      </c>
      <c r="N114" t="s">
        <v>133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1756</v>
      </c>
      <c r="V114" t="s">
        <v>24</v>
      </c>
      <c r="W114" t="s">
        <v>24</v>
      </c>
      <c r="X114" t="s">
        <v>1780</v>
      </c>
      <c r="Y114" t="s">
        <v>24</v>
      </c>
      <c r="Z114" t="s">
        <v>24</v>
      </c>
      <c r="AA114" t="s">
        <v>24</v>
      </c>
      <c r="AB114" t="s">
        <v>1755</v>
      </c>
      <c r="AC114" t="s">
        <v>24</v>
      </c>
      <c r="AD114" t="s">
        <v>24</v>
      </c>
      <c r="AE114" t="s">
        <v>24</v>
      </c>
      <c r="AF114" t="s">
        <v>24</v>
      </c>
      <c r="AG114" t="s">
        <v>24</v>
      </c>
      <c r="AH114" t="s">
        <v>24</v>
      </c>
      <c r="AI114" t="s">
        <v>1755</v>
      </c>
      <c r="AJ114" t="s">
        <v>1755</v>
      </c>
      <c r="AL114">
        <v>20</v>
      </c>
      <c r="AM114">
        <v>17</v>
      </c>
      <c r="AN114">
        <v>3</v>
      </c>
      <c r="AO114">
        <v>0.85</v>
      </c>
      <c r="AP114">
        <v>1</v>
      </c>
      <c r="AQ114">
        <v>0.83333333333333337</v>
      </c>
      <c r="AR114">
        <v>0.75</v>
      </c>
      <c r="AS114" t="s">
        <v>1758</v>
      </c>
      <c r="AT114" t="s">
        <v>1759</v>
      </c>
      <c r="AU114">
        <v>59</v>
      </c>
      <c r="AV114" t="s">
        <v>1760</v>
      </c>
      <c r="AW114" t="s">
        <v>107</v>
      </c>
      <c r="AX114" t="s">
        <v>106</v>
      </c>
      <c r="AY114" t="s">
        <v>106</v>
      </c>
      <c r="AZ114" t="s">
        <v>1789</v>
      </c>
      <c r="BA114" t="s">
        <v>1785</v>
      </c>
      <c r="BB114" t="s">
        <v>1790</v>
      </c>
    </row>
    <row r="115" spans="1:54" x14ac:dyDescent="0.25">
      <c r="A115" t="s">
        <v>730</v>
      </c>
      <c r="B115" t="s">
        <v>1755</v>
      </c>
      <c r="C115" t="str">
        <f>CONCATENATE(Export_Documentation_Database[[#This Row],[Exp. '#]],"-",Export_Documentation_Database[[#This Row],[Batch '#]])</f>
        <v>2354th--</v>
      </c>
      <c r="D115" t="s">
        <v>731</v>
      </c>
      <c r="E115" t="s">
        <v>181</v>
      </c>
      <c r="F115" t="s">
        <v>288</v>
      </c>
      <c r="G115" t="s">
        <v>340</v>
      </c>
      <c r="H115">
        <v>3</v>
      </c>
      <c r="I115" s="19">
        <v>46137</v>
      </c>
      <c r="J115" s="19">
        <v>46142</v>
      </c>
      <c r="K115" s="19">
        <v>46145</v>
      </c>
      <c r="L115" t="s">
        <v>37</v>
      </c>
      <c r="M115" t="s">
        <v>132</v>
      </c>
      <c r="N115" t="s">
        <v>478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1764</v>
      </c>
      <c r="V115" t="s">
        <v>24</v>
      </c>
      <c r="W115" t="s">
        <v>24</v>
      </c>
      <c r="X115" t="s">
        <v>1765</v>
      </c>
      <c r="Y115" t="s">
        <v>24</v>
      </c>
      <c r="Z115" t="s">
        <v>24</v>
      </c>
      <c r="AA115" t="s">
        <v>24</v>
      </c>
      <c r="AB115" t="s">
        <v>24</v>
      </c>
      <c r="AC115" t="s">
        <v>24</v>
      </c>
      <c r="AD115" t="s">
        <v>24</v>
      </c>
      <c r="AE115" t="s">
        <v>24</v>
      </c>
      <c r="AF115" t="s">
        <v>24</v>
      </c>
      <c r="AG115" t="s">
        <v>24</v>
      </c>
      <c r="AH115" t="s">
        <v>24</v>
      </c>
      <c r="AI115" t="s">
        <v>1755</v>
      </c>
      <c r="AJ115" t="s">
        <v>1755</v>
      </c>
      <c r="AK115" t="s">
        <v>24</v>
      </c>
    </row>
    <row r="116" spans="1:54" x14ac:dyDescent="0.25">
      <c r="A116" t="s">
        <v>1402</v>
      </c>
      <c r="B116" t="s">
        <v>1755</v>
      </c>
      <c r="C116" t="str">
        <f>CONCATENATE(Export_Documentation_Database[[#This Row],[Exp. '#]],"-",Export_Documentation_Database[[#This Row],[Batch '#]])</f>
        <v>MO-0141--</v>
      </c>
      <c r="D116" t="s">
        <v>1791</v>
      </c>
      <c r="E116" t="s">
        <v>157</v>
      </c>
      <c r="F116" t="s">
        <v>1170</v>
      </c>
      <c r="G116" t="s">
        <v>189</v>
      </c>
      <c r="H116" t="s">
        <v>1755</v>
      </c>
      <c r="I116" s="19">
        <v>46136</v>
      </c>
      <c r="J116" s="19">
        <v>46146</v>
      </c>
      <c r="K116" s="19">
        <v>46162</v>
      </c>
      <c r="L116" t="s">
        <v>37</v>
      </c>
      <c r="M116" t="s">
        <v>277</v>
      </c>
      <c r="N116" t="s">
        <v>1407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1756</v>
      </c>
      <c r="V116" t="s">
        <v>24</v>
      </c>
      <c r="W116" t="s">
        <v>24</v>
      </c>
      <c r="X116" t="s">
        <v>1773</v>
      </c>
      <c r="Y116" t="s">
        <v>24</v>
      </c>
      <c r="Z116" t="s">
        <v>24</v>
      </c>
      <c r="AA116" t="s">
        <v>24</v>
      </c>
      <c r="AB116" t="s">
        <v>1755</v>
      </c>
      <c r="AC116" t="s">
        <v>24</v>
      </c>
      <c r="AD116" t="s">
        <v>24</v>
      </c>
      <c r="AE116" t="s">
        <v>24</v>
      </c>
      <c r="AF116" t="s">
        <v>24</v>
      </c>
      <c r="AG116" t="s">
        <v>24</v>
      </c>
      <c r="AH116" t="s">
        <v>24</v>
      </c>
      <c r="AI116" t="s">
        <v>1755</v>
      </c>
      <c r="AJ116" t="s">
        <v>1755</v>
      </c>
      <c r="AK116" t="s">
        <v>24</v>
      </c>
    </row>
    <row r="117" spans="1:54" x14ac:dyDescent="0.25">
      <c r="A117" t="s">
        <v>843</v>
      </c>
      <c r="B117" t="s">
        <v>1755</v>
      </c>
      <c r="C117" t="str">
        <f>CONCATENATE(Export_Documentation_Database[[#This Row],[Exp. '#]],"-",Export_Documentation_Database[[#This Row],[Batch '#]])</f>
        <v>2375th--</v>
      </c>
      <c r="D117" t="s">
        <v>844</v>
      </c>
      <c r="E117" t="s">
        <v>125</v>
      </c>
      <c r="F117" t="s">
        <v>128</v>
      </c>
      <c r="G117" t="s">
        <v>428</v>
      </c>
      <c r="H117">
        <v>1</v>
      </c>
      <c r="I117" s="19">
        <v>46143</v>
      </c>
      <c r="J117" s="19">
        <v>46147</v>
      </c>
      <c r="K117" s="19">
        <v>46162</v>
      </c>
      <c r="L117" t="s">
        <v>37</v>
      </c>
      <c r="M117" t="s">
        <v>277</v>
      </c>
      <c r="N117" t="s">
        <v>133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1764</v>
      </c>
      <c r="V117" t="s">
        <v>24</v>
      </c>
      <c r="W117" t="s">
        <v>24</v>
      </c>
      <c r="X117" t="s">
        <v>1757</v>
      </c>
      <c r="Y117" t="s">
        <v>24</v>
      </c>
      <c r="Z117" t="s">
        <v>24</v>
      </c>
      <c r="AA117" t="s">
        <v>24</v>
      </c>
      <c r="AB117" t="s">
        <v>1755</v>
      </c>
      <c r="AC117" t="s">
        <v>32</v>
      </c>
      <c r="AD117" t="s">
        <v>32</v>
      </c>
      <c r="AE117" t="s">
        <v>24</v>
      </c>
      <c r="AF117" t="s">
        <v>24</v>
      </c>
      <c r="AG117" t="s">
        <v>24</v>
      </c>
      <c r="AH117" t="s">
        <v>24</v>
      </c>
      <c r="AI117" t="s">
        <v>1755</v>
      </c>
      <c r="AJ117" t="s">
        <v>1755</v>
      </c>
    </row>
    <row r="118" spans="1:54" x14ac:dyDescent="0.25">
      <c r="A118" t="s">
        <v>863</v>
      </c>
      <c r="B118" t="s">
        <v>1755</v>
      </c>
      <c r="C118" t="str">
        <f>CONCATENATE(Export_Documentation_Database[[#This Row],[Exp. '#]],"-",Export_Documentation_Database[[#This Row],[Batch '#]])</f>
        <v>2380th--</v>
      </c>
      <c r="D118" t="s">
        <v>553</v>
      </c>
      <c r="E118" t="s">
        <v>125</v>
      </c>
      <c r="F118" t="s">
        <v>128</v>
      </c>
      <c r="I118" s="19">
        <v>46132</v>
      </c>
      <c r="J118" s="19">
        <v>46147</v>
      </c>
      <c r="K118" s="19">
        <v>46162</v>
      </c>
      <c r="L118" t="s">
        <v>37</v>
      </c>
      <c r="M118" t="s">
        <v>277</v>
      </c>
      <c r="N118" t="s">
        <v>133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1756</v>
      </c>
      <c r="V118" t="s">
        <v>24</v>
      </c>
      <c r="W118" t="s">
        <v>24</v>
      </c>
      <c r="X118" t="s">
        <v>1757</v>
      </c>
      <c r="Y118" t="s">
        <v>24</v>
      </c>
      <c r="Z118" t="s">
        <v>24</v>
      </c>
      <c r="AA118" t="s">
        <v>24</v>
      </c>
      <c r="AB118" t="s">
        <v>1755</v>
      </c>
      <c r="AC118" t="s">
        <v>32</v>
      </c>
      <c r="AD118" t="s">
        <v>32</v>
      </c>
      <c r="AE118" t="s">
        <v>24</v>
      </c>
      <c r="AF118" t="s">
        <v>24</v>
      </c>
      <c r="AG118" t="s">
        <v>24</v>
      </c>
      <c r="AH118" t="s">
        <v>24</v>
      </c>
      <c r="AI118" t="s">
        <v>1755</v>
      </c>
      <c r="AJ118" t="s">
        <v>1755</v>
      </c>
    </row>
    <row r="119" spans="1:54" x14ac:dyDescent="0.25">
      <c r="A119" t="s">
        <v>921</v>
      </c>
      <c r="B119" t="s">
        <v>1755</v>
      </c>
      <c r="C119" t="str">
        <f>CONCATENATE(Export_Documentation_Database[[#This Row],[Exp. '#]],"-",Export_Documentation_Database[[#This Row],[Batch '#]])</f>
        <v>2389th + 2327th--</v>
      </c>
      <c r="D119" t="s">
        <v>922</v>
      </c>
      <c r="E119" t="s">
        <v>125</v>
      </c>
      <c r="F119" t="s">
        <v>128</v>
      </c>
      <c r="I119" s="19">
        <v>46143</v>
      </c>
      <c r="J119" s="19">
        <v>46147</v>
      </c>
      <c r="K119" s="19">
        <v>46162</v>
      </c>
      <c r="L119" t="s">
        <v>37</v>
      </c>
      <c r="M119" t="s">
        <v>277</v>
      </c>
      <c r="N119" t="s">
        <v>133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1756</v>
      </c>
      <c r="V119" t="s">
        <v>24</v>
      </c>
      <c r="W119" t="s">
        <v>24</v>
      </c>
      <c r="X119" t="s">
        <v>1757</v>
      </c>
      <c r="Y119" t="s">
        <v>24</v>
      </c>
      <c r="Z119" t="s">
        <v>24</v>
      </c>
      <c r="AA119" t="s">
        <v>24</v>
      </c>
      <c r="AB119" t="s">
        <v>1755</v>
      </c>
      <c r="AC119" t="s">
        <v>32</v>
      </c>
      <c r="AD119" t="s">
        <v>32</v>
      </c>
      <c r="AE119" t="s">
        <v>24</v>
      </c>
      <c r="AF119" t="s">
        <v>24</v>
      </c>
      <c r="AG119" t="s">
        <v>24</v>
      </c>
      <c r="AH119" t="s">
        <v>24</v>
      </c>
      <c r="AI119" t="s">
        <v>1755</v>
      </c>
      <c r="AJ119" t="s">
        <v>1755</v>
      </c>
    </row>
    <row r="120" spans="1:54" x14ac:dyDescent="0.25">
      <c r="A120" t="s">
        <v>923</v>
      </c>
      <c r="B120" t="s">
        <v>1755</v>
      </c>
      <c r="C120" t="str">
        <f>CONCATENATE(Export_Documentation_Database[[#This Row],[Exp. '#]],"-",Export_Documentation_Database[[#This Row],[Batch '#]])</f>
        <v>2390th--</v>
      </c>
      <c r="D120" t="s">
        <v>844</v>
      </c>
      <c r="E120" t="s">
        <v>125</v>
      </c>
      <c r="F120" t="s">
        <v>128</v>
      </c>
      <c r="I120" s="19">
        <v>46143</v>
      </c>
      <c r="J120" s="19">
        <v>46147</v>
      </c>
      <c r="K120" s="19">
        <v>46162</v>
      </c>
      <c r="L120" t="s">
        <v>37</v>
      </c>
      <c r="M120" t="s">
        <v>277</v>
      </c>
      <c r="N120" t="s">
        <v>133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1756</v>
      </c>
      <c r="V120" t="s">
        <v>24</v>
      </c>
      <c r="W120" t="s">
        <v>24</v>
      </c>
      <c r="X120" t="s">
        <v>1757</v>
      </c>
      <c r="Y120" t="s">
        <v>24</v>
      </c>
      <c r="Z120" t="s">
        <v>24</v>
      </c>
      <c r="AA120" t="s">
        <v>24</v>
      </c>
      <c r="AB120" t="s">
        <v>1755</v>
      </c>
      <c r="AC120" t="s">
        <v>32</v>
      </c>
      <c r="AD120" t="s">
        <v>32</v>
      </c>
      <c r="AE120" t="s">
        <v>24</v>
      </c>
      <c r="AF120" t="s">
        <v>24</v>
      </c>
      <c r="AG120" t="s">
        <v>24</v>
      </c>
      <c r="AH120" t="s">
        <v>24</v>
      </c>
      <c r="AI120" t="s">
        <v>1755</v>
      </c>
      <c r="AJ120" t="s">
        <v>1755</v>
      </c>
    </row>
    <row r="121" spans="1:54" x14ac:dyDescent="0.25">
      <c r="A121" t="s">
        <v>928</v>
      </c>
      <c r="B121" t="s">
        <v>1755</v>
      </c>
      <c r="C121" t="str">
        <f>CONCATENATE(Export_Documentation_Database[[#This Row],[Exp. '#]],"-",Export_Documentation_Database[[#This Row],[Batch '#]])</f>
        <v>2392nd--</v>
      </c>
      <c r="D121" t="s">
        <v>23</v>
      </c>
      <c r="E121" t="s">
        <v>125</v>
      </c>
      <c r="F121" t="s">
        <v>128</v>
      </c>
      <c r="I121" s="19">
        <v>46132</v>
      </c>
      <c r="J121" s="19">
        <v>46147</v>
      </c>
      <c r="K121" s="19">
        <v>46162</v>
      </c>
      <c r="L121" t="s">
        <v>37</v>
      </c>
      <c r="M121" t="s">
        <v>277</v>
      </c>
      <c r="N121" t="s">
        <v>133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1756</v>
      </c>
      <c r="V121" t="s">
        <v>24</v>
      </c>
      <c r="W121" t="s">
        <v>24</v>
      </c>
      <c r="X121" t="s">
        <v>1757</v>
      </c>
      <c r="Y121" t="s">
        <v>24</v>
      </c>
      <c r="Z121" t="s">
        <v>24</v>
      </c>
      <c r="AA121" t="s">
        <v>24</v>
      </c>
      <c r="AB121" t="s">
        <v>1755</v>
      </c>
      <c r="AC121" t="s">
        <v>32</v>
      </c>
      <c r="AD121" t="s">
        <v>32</v>
      </c>
      <c r="AE121" t="s">
        <v>24</v>
      </c>
      <c r="AF121" t="s">
        <v>24</v>
      </c>
      <c r="AG121" t="s">
        <v>24</v>
      </c>
      <c r="AH121" t="s">
        <v>24</v>
      </c>
      <c r="AI121" t="s">
        <v>1755</v>
      </c>
      <c r="AJ121" t="s">
        <v>1755</v>
      </c>
    </row>
    <row r="122" spans="1:54" x14ac:dyDescent="0.25">
      <c r="A122" t="s">
        <v>936</v>
      </c>
      <c r="B122" t="s">
        <v>1755</v>
      </c>
      <c r="C122" t="str">
        <f>CONCATENATE(Export_Documentation_Database[[#This Row],[Exp. '#]],"-",Export_Documentation_Database[[#This Row],[Batch '#]])</f>
        <v>2395th--</v>
      </c>
      <c r="D122" t="s">
        <v>844</v>
      </c>
      <c r="E122" t="s">
        <v>125</v>
      </c>
      <c r="F122" t="s">
        <v>128</v>
      </c>
      <c r="I122" s="19">
        <v>46143</v>
      </c>
      <c r="J122" s="19">
        <v>46147</v>
      </c>
      <c r="K122" s="19">
        <v>46162</v>
      </c>
      <c r="L122" t="s">
        <v>37</v>
      </c>
      <c r="M122" t="s">
        <v>277</v>
      </c>
      <c r="N122" t="s">
        <v>133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1756</v>
      </c>
      <c r="V122" t="s">
        <v>24</v>
      </c>
      <c r="W122" t="s">
        <v>24</v>
      </c>
      <c r="X122" t="s">
        <v>1757</v>
      </c>
      <c r="Y122" t="s">
        <v>24</v>
      </c>
      <c r="Z122" t="s">
        <v>24</v>
      </c>
      <c r="AA122" t="s">
        <v>24</v>
      </c>
      <c r="AB122" t="s">
        <v>1755</v>
      </c>
      <c r="AC122" t="s">
        <v>32</v>
      </c>
      <c r="AD122" t="s">
        <v>32</v>
      </c>
      <c r="AE122" t="s">
        <v>24</v>
      </c>
      <c r="AF122" t="s">
        <v>24</v>
      </c>
      <c r="AG122" t="s">
        <v>24</v>
      </c>
      <c r="AH122" t="s">
        <v>24</v>
      </c>
      <c r="AI122" t="s">
        <v>1755</v>
      </c>
      <c r="AJ122" t="s">
        <v>1755</v>
      </c>
    </row>
    <row r="123" spans="1:54" x14ac:dyDescent="0.25">
      <c r="A123" t="s">
        <v>962</v>
      </c>
      <c r="B123" t="s">
        <v>1755</v>
      </c>
      <c r="C123" t="str">
        <f>CONCATENATE(Export_Documentation_Database[[#This Row],[Exp. '#]],"-",Export_Documentation_Database[[#This Row],[Batch '#]])</f>
        <v>2402nd--</v>
      </c>
      <c r="D123" t="s">
        <v>844</v>
      </c>
      <c r="E123" t="s">
        <v>125</v>
      </c>
      <c r="F123" t="s">
        <v>128</v>
      </c>
      <c r="I123" s="19">
        <v>46132</v>
      </c>
      <c r="J123" s="19">
        <v>46147</v>
      </c>
      <c r="K123" s="19">
        <v>46162</v>
      </c>
      <c r="L123" t="s">
        <v>37</v>
      </c>
      <c r="M123" t="s">
        <v>277</v>
      </c>
      <c r="N123" t="s">
        <v>133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1756</v>
      </c>
      <c r="V123" t="s">
        <v>24</v>
      </c>
      <c r="W123" t="s">
        <v>24</v>
      </c>
      <c r="X123" t="s">
        <v>1757</v>
      </c>
      <c r="Y123" t="s">
        <v>24</v>
      </c>
      <c r="Z123" t="s">
        <v>24</v>
      </c>
      <c r="AA123" t="s">
        <v>24</v>
      </c>
      <c r="AB123" t="s">
        <v>1755</v>
      </c>
      <c r="AC123" t="s">
        <v>32</v>
      </c>
      <c r="AD123" t="s">
        <v>32</v>
      </c>
      <c r="AE123" t="s">
        <v>24</v>
      </c>
      <c r="AF123" t="s">
        <v>24</v>
      </c>
      <c r="AG123" t="s">
        <v>24</v>
      </c>
      <c r="AH123" t="s">
        <v>24</v>
      </c>
      <c r="AI123" t="s">
        <v>1755</v>
      </c>
      <c r="AJ123" t="s">
        <v>1755</v>
      </c>
    </row>
    <row r="124" spans="1:54" x14ac:dyDescent="0.25">
      <c r="A124" t="s">
        <v>1003</v>
      </c>
      <c r="B124" t="s">
        <v>761</v>
      </c>
      <c r="C124" t="str">
        <f>CONCATENATE(Export_Documentation_Database[[#This Row],[Exp. '#]],"-",Export_Documentation_Database[[#This Row],[Batch '#]])</f>
        <v>2412nd-1st</v>
      </c>
      <c r="D124" t="s">
        <v>23</v>
      </c>
      <c r="E124" t="s">
        <v>125</v>
      </c>
      <c r="F124" t="s">
        <v>128</v>
      </c>
      <c r="I124" s="19">
        <v>46132</v>
      </c>
      <c r="J124" s="19">
        <v>46147</v>
      </c>
      <c r="K124" s="19">
        <v>46162</v>
      </c>
      <c r="L124" t="s">
        <v>37</v>
      </c>
      <c r="M124" t="s">
        <v>277</v>
      </c>
      <c r="N124" t="s">
        <v>133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1756</v>
      </c>
      <c r="V124" t="s">
        <v>24</v>
      </c>
      <c r="W124" t="s">
        <v>24</v>
      </c>
      <c r="X124" t="s">
        <v>1757</v>
      </c>
      <c r="Y124" t="s">
        <v>24</v>
      </c>
      <c r="Z124" t="s">
        <v>24</v>
      </c>
      <c r="AA124" t="s">
        <v>24</v>
      </c>
      <c r="AB124" t="s">
        <v>1755</v>
      </c>
      <c r="AC124" t="s">
        <v>32</v>
      </c>
      <c r="AD124" t="s">
        <v>32</v>
      </c>
      <c r="AE124" t="s">
        <v>24</v>
      </c>
      <c r="AF124" t="s">
        <v>24</v>
      </c>
      <c r="AG124" t="s">
        <v>24</v>
      </c>
      <c r="AH124" t="s">
        <v>24</v>
      </c>
      <c r="AI124" t="s">
        <v>1755</v>
      </c>
      <c r="AJ124" t="s">
        <v>1755</v>
      </c>
    </row>
    <row r="125" spans="1:54" x14ac:dyDescent="0.25">
      <c r="A125" t="s">
        <v>1411</v>
      </c>
      <c r="B125" t="s">
        <v>1755</v>
      </c>
      <c r="C125" t="str">
        <f>CONCATENATE(Export_Documentation_Database[[#This Row],[Exp. '#]],"-",Export_Documentation_Database[[#This Row],[Batch '#]])</f>
        <v>MO-0143--</v>
      </c>
      <c r="D125" t="s">
        <v>49</v>
      </c>
      <c r="E125" t="s">
        <v>630</v>
      </c>
      <c r="F125" t="s">
        <v>632</v>
      </c>
      <c r="G125" t="s">
        <v>631</v>
      </c>
      <c r="H125" t="s">
        <v>1755</v>
      </c>
      <c r="I125" s="19">
        <v>46148</v>
      </c>
      <c r="J125" s="19">
        <v>46150</v>
      </c>
      <c r="K125" s="19">
        <v>46150</v>
      </c>
      <c r="L125" t="s">
        <v>37</v>
      </c>
      <c r="M125" t="s">
        <v>277</v>
      </c>
      <c r="N125" t="s">
        <v>1407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1756</v>
      </c>
      <c r="V125" t="s">
        <v>24</v>
      </c>
      <c r="W125" t="s">
        <v>24</v>
      </c>
      <c r="X125" t="s">
        <v>1780</v>
      </c>
      <c r="Y125" t="s">
        <v>24</v>
      </c>
      <c r="Z125" t="s">
        <v>24</v>
      </c>
      <c r="AA125" t="s">
        <v>24</v>
      </c>
      <c r="AB125" t="s">
        <v>1755</v>
      </c>
      <c r="AC125" t="s">
        <v>24</v>
      </c>
      <c r="AD125" t="s">
        <v>24</v>
      </c>
      <c r="AE125" t="s">
        <v>24</v>
      </c>
      <c r="AF125" t="s">
        <v>24</v>
      </c>
      <c r="AG125" t="s">
        <v>24</v>
      </c>
      <c r="AH125" t="s">
        <v>24</v>
      </c>
      <c r="AI125" t="s">
        <v>1755</v>
      </c>
      <c r="AJ125" t="s">
        <v>1755</v>
      </c>
      <c r="AK125" t="s">
        <v>24</v>
      </c>
    </row>
    <row r="126" spans="1:54" x14ac:dyDescent="0.25">
      <c r="A126" t="s">
        <v>686</v>
      </c>
      <c r="B126" t="s">
        <v>1755</v>
      </c>
      <c r="C126" t="str">
        <f>CONCATENATE(Export_Documentation_Database[[#This Row],[Exp. '#]],"-",Export_Documentation_Database[[#This Row],[Batch '#]])</f>
        <v>2341st--</v>
      </c>
      <c r="D126" t="s">
        <v>49</v>
      </c>
      <c r="E126" t="s">
        <v>157</v>
      </c>
      <c r="F126" t="s">
        <v>216</v>
      </c>
      <c r="G126" t="s">
        <v>189</v>
      </c>
      <c r="H126" t="s">
        <v>1755</v>
      </c>
      <c r="I126" s="19">
        <v>46136</v>
      </c>
      <c r="J126" s="19">
        <v>46151</v>
      </c>
      <c r="K126" s="19">
        <v>46156</v>
      </c>
      <c r="L126" t="s">
        <v>37</v>
      </c>
      <c r="M126" t="s">
        <v>132</v>
      </c>
      <c r="N126" t="s">
        <v>133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1756</v>
      </c>
      <c r="V126" t="s">
        <v>24</v>
      </c>
      <c r="W126" t="s">
        <v>24</v>
      </c>
      <c r="X126" t="s">
        <v>1773</v>
      </c>
      <c r="Y126" t="s">
        <v>24</v>
      </c>
      <c r="Z126" t="s">
        <v>24</v>
      </c>
      <c r="AA126" t="s">
        <v>24</v>
      </c>
      <c r="AB126" t="s">
        <v>1755</v>
      </c>
      <c r="AC126" t="s">
        <v>32</v>
      </c>
      <c r="AD126" t="s">
        <v>32</v>
      </c>
      <c r="AE126" t="s">
        <v>24</v>
      </c>
      <c r="AF126" t="s">
        <v>24</v>
      </c>
      <c r="AG126" t="s">
        <v>24</v>
      </c>
      <c r="AH126" t="s">
        <v>24</v>
      </c>
      <c r="AI126" t="s">
        <v>1755</v>
      </c>
      <c r="AJ126" t="s">
        <v>1755</v>
      </c>
    </row>
    <row r="127" spans="1:54" x14ac:dyDescent="0.25">
      <c r="A127" t="s">
        <v>1239</v>
      </c>
      <c r="B127" t="s">
        <v>1792</v>
      </c>
      <c r="C127" t="str">
        <f>CONCATENATE(Export_Documentation_Database[[#This Row],[Exp. '#]],"-",Export_Documentation_Database[[#This Row],[Batch '#]])</f>
        <v xml:space="preserve">25-041-1st </v>
      </c>
      <c r="D127" t="s">
        <v>1205</v>
      </c>
      <c r="E127" t="s">
        <v>157</v>
      </c>
      <c r="F127" t="s">
        <v>128</v>
      </c>
      <c r="G127" t="s">
        <v>705</v>
      </c>
      <c r="H127">
        <v>1</v>
      </c>
      <c r="I127" s="19">
        <v>46149</v>
      </c>
      <c r="J127" s="19">
        <v>46154</v>
      </c>
      <c r="K127" s="19">
        <v>46168</v>
      </c>
      <c r="L127" t="s">
        <v>37</v>
      </c>
      <c r="M127" t="s">
        <v>277</v>
      </c>
      <c r="N127" t="s">
        <v>133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1756</v>
      </c>
      <c r="V127" t="s">
        <v>24</v>
      </c>
      <c r="W127" t="s">
        <v>24</v>
      </c>
      <c r="X127" t="s">
        <v>1757</v>
      </c>
      <c r="Y127" t="s">
        <v>24</v>
      </c>
      <c r="Z127" t="s">
        <v>24</v>
      </c>
      <c r="AA127" t="s">
        <v>24</v>
      </c>
      <c r="AB127" t="s">
        <v>1755</v>
      </c>
      <c r="AC127" t="s">
        <v>32</v>
      </c>
      <c r="AD127" t="s">
        <v>32</v>
      </c>
      <c r="AE127" t="s">
        <v>24</v>
      </c>
      <c r="AF127" t="s">
        <v>24</v>
      </c>
      <c r="AG127" t="s">
        <v>24</v>
      </c>
      <c r="AH127" t="s">
        <v>24</v>
      </c>
      <c r="AI127" t="s">
        <v>1755</v>
      </c>
      <c r="AJ127" t="s">
        <v>1755</v>
      </c>
    </row>
    <row r="128" spans="1:54" x14ac:dyDescent="0.25">
      <c r="A128" t="s">
        <v>1244</v>
      </c>
      <c r="B128" t="s">
        <v>1755</v>
      </c>
      <c r="C128" t="str">
        <f>CONCATENATE(Export_Documentation_Database[[#This Row],[Exp. '#]],"-",Export_Documentation_Database[[#This Row],[Batch '#]])</f>
        <v>25-042--</v>
      </c>
      <c r="D128" t="s">
        <v>1205</v>
      </c>
      <c r="E128" t="s">
        <v>157</v>
      </c>
      <c r="F128" t="s">
        <v>128</v>
      </c>
      <c r="I128" s="19">
        <v>46149</v>
      </c>
      <c r="J128" s="19">
        <v>46154</v>
      </c>
      <c r="K128" s="19">
        <v>46168</v>
      </c>
      <c r="L128" t="s">
        <v>37</v>
      </c>
      <c r="M128" t="s">
        <v>277</v>
      </c>
      <c r="N128" t="s">
        <v>133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1756</v>
      </c>
      <c r="V128" t="s">
        <v>24</v>
      </c>
      <c r="W128" t="s">
        <v>24</v>
      </c>
      <c r="X128" t="s">
        <v>1757</v>
      </c>
      <c r="Y128" t="s">
        <v>24</v>
      </c>
      <c r="Z128" t="s">
        <v>24</v>
      </c>
      <c r="AA128" t="s">
        <v>24</v>
      </c>
      <c r="AB128" t="s">
        <v>1755</v>
      </c>
      <c r="AC128" t="s">
        <v>32</v>
      </c>
      <c r="AD128" t="s">
        <v>32</v>
      </c>
      <c r="AE128" t="s">
        <v>24</v>
      </c>
      <c r="AF128" t="s">
        <v>24</v>
      </c>
      <c r="AG128" t="s">
        <v>24</v>
      </c>
      <c r="AH128" t="s">
        <v>24</v>
      </c>
      <c r="AI128" t="s">
        <v>1755</v>
      </c>
      <c r="AJ128" t="s">
        <v>1755</v>
      </c>
    </row>
    <row r="129" spans="1:37" x14ac:dyDescent="0.25">
      <c r="A129" t="s">
        <v>421</v>
      </c>
      <c r="B129" t="s">
        <v>1792</v>
      </c>
      <c r="C129" t="str">
        <f>CONCATENATE(Export_Documentation_Database[[#This Row],[Exp. '#]],"-",Export_Documentation_Database[[#This Row],[Batch '#]])</f>
        <v xml:space="preserve">2291st-1st </v>
      </c>
      <c r="D129" t="s">
        <v>423</v>
      </c>
      <c r="E129" t="s">
        <v>181</v>
      </c>
      <c r="F129" t="s">
        <v>128</v>
      </c>
      <c r="G129" t="s">
        <v>1793</v>
      </c>
      <c r="H129">
        <v>3</v>
      </c>
      <c r="I129" s="19">
        <v>46150</v>
      </c>
      <c r="J129" s="19">
        <v>46155</v>
      </c>
      <c r="K129" s="19">
        <v>46166</v>
      </c>
      <c r="L129" t="s">
        <v>37</v>
      </c>
      <c r="M129" t="s">
        <v>132</v>
      </c>
      <c r="N129" t="s">
        <v>133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1756</v>
      </c>
      <c r="V129" t="s">
        <v>24</v>
      </c>
      <c r="W129" t="s">
        <v>24</v>
      </c>
      <c r="X129" t="s">
        <v>1757</v>
      </c>
      <c r="Y129" t="s">
        <v>429</v>
      </c>
      <c r="Z129" t="s">
        <v>24</v>
      </c>
      <c r="AA129" t="s">
        <v>24</v>
      </c>
      <c r="AB129" t="s">
        <v>24</v>
      </c>
      <c r="AC129" t="s">
        <v>32</v>
      </c>
      <c r="AD129" t="s">
        <v>32</v>
      </c>
      <c r="AE129" t="s">
        <v>24</v>
      </c>
      <c r="AF129" t="s">
        <v>24</v>
      </c>
      <c r="AG129" t="s">
        <v>429</v>
      </c>
      <c r="AH129" t="s">
        <v>24</v>
      </c>
      <c r="AI129" t="s">
        <v>1755</v>
      </c>
      <c r="AJ129" t="s">
        <v>24</v>
      </c>
    </row>
    <row r="130" spans="1:37" x14ac:dyDescent="0.25">
      <c r="A130" t="s">
        <v>421</v>
      </c>
      <c r="B130" t="s">
        <v>422</v>
      </c>
      <c r="C130" t="str">
        <f>CONCATENATE(Export_Documentation_Database[[#This Row],[Exp. '#]],"-",Export_Documentation_Database[[#This Row],[Batch '#]])</f>
        <v>2291st-2nd</v>
      </c>
      <c r="D130" t="s">
        <v>423</v>
      </c>
      <c r="E130" t="s">
        <v>181</v>
      </c>
      <c r="F130" t="s">
        <v>128</v>
      </c>
      <c r="G130" t="s">
        <v>428</v>
      </c>
      <c r="H130">
        <v>1</v>
      </c>
      <c r="I130" s="19">
        <v>46150</v>
      </c>
      <c r="J130" s="19">
        <v>46155</v>
      </c>
      <c r="K130" s="19">
        <v>46178</v>
      </c>
      <c r="L130" t="s">
        <v>40</v>
      </c>
      <c r="M130" t="s">
        <v>132</v>
      </c>
      <c r="N130" t="s">
        <v>133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1756</v>
      </c>
      <c r="V130" t="s">
        <v>24</v>
      </c>
      <c r="W130" t="s">
        <v>24</v>
      </c>
      <c r="X130" t="s">
        <v>1757</v>
      </c>
      <c r="Y130" t="s">
        <v>429</v>
      </c>
      <c r="Z130" t="s">
        <v>24</v>
      </c>
      <c r="AA130" t="s">
        <v>24</v>
      </c>
      <c r="AB130" t="s">
        <v>24</v>
      </c>
      <c r="AC130" t="s">
        <v>32</v>
      </c>
      <c r="AD130" t="s">
        <v>32</v>
      </c>
      <c r="AE130" t="s">
        <v>24</v>
      </c>
      <c r="AF130" t="s">
        <v>24</v>
      </c>
      <c r="AG130" t="s">
        <v>429</v>
      </c>
      <c r="AH130" t="s">
        <v>24</v>
      </c>
      <c r="AI130" t="s">
        <v>1755</v>
      </c>
      <c r="AJ130" t="s">
        <v>1755</v>
      </c>
    </row>
    <row r="131" spans="1:37" x14ac:dyDescent="0.25">
      <c r="A131" t="s">
        <v>469</v>
      </c>
      <c r="B131" t="s">
        <v>1755</v>
      </c>
      <c r="C131" t="str">
        <f>CONCATENATE(Export_Documentation_Database[[#This Row],[Exp. '#]],"-",Export_Documentation_Database[[#This Row],[Batch '#]])</f>
        <v>2304th--</v>
      </c>
      <c r="D131" t="s">
        <v>470</v>
      </c>
      <c r="E131" t="s">
        <v>125</v>
      </c>
      <c r="F131" t="s">
        <v>128</v>
      </c>
      <c r="G131" t="s">
        <v>473</v>
      </c>
      <c r="H131">
        <v>11</v>
      </c>
      <c r="I131" s="19">
        <v>46093</v>
      </c>
      <c r="J131" s="19">
        <v>46157</v>
      </c>
      <c r="K131" s="19">
        <v>46177</v>
      </c>
      <c r="L131" t="s">
        <v>40</v>
      </c>
      <c r="M131" t="s">
        <v>132</v>
      </c>
      <c r="N131" t="s">
        <v>478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1764</v>
      </c>
      <c r="V131" t="s">
        <v>24</v>
      </c>
      <c r="W131" t="s">
        <v>24</v>
      </c>
      <c r="X131" t="s">
        <v>1765</v>
      </c>
      <c r="Y131" t="s">
        <v>24</v>
      </c>
      <c r="Z131" t="s">
        <v>24</v>
      </c>
      <c r="AA131" t="s">
        <v>24</v>
      </c>
      <c r="AB131" t="s">
        <v>1755</v>
      </c>
      <c r="AC131" t="s">
        <v>32</v>
      </c>
      <c r="AD131" t="s">
        <v>32</v>
      </c>
      <c r="AE131" t="s">
        <v>24</v>
      </c>
      <c r="AF131" t="s">
        <v>24</v>
      </c>
      <c r="AG131" t="s">
        <v>24</v>
      </c>
      <c r="AH131" t="s">
        <v>24</v>
      </c>
      <c r="AI131" t="s">
        <v>1755</v>
      </c>
      <c r="AJ131" t="s">
        <v>1755</v>
      </c>
      <c r="AK131" t="s">
        <v>24</v>
      </c>
    </row>
    <row r="132" spans="1:37" x14ac:dyDescent="0.25">
      <c r="A132" t="s">
        <v>984</v>
      </c>
      <c r="B132" t="s">
        <v>1755</v>
      </c>
      <c r="C132" t="str">
        <f>CONCATENATE(Export_Documentation_Database[[#This Row],[Exp. '#]],"-",Export_Documentation_Database[[#This Row],[Batch '#]])</f>
        <v>2406th--</v>
      </c>
      <c r="D132" t="s">
        <v>46</v>
      </c>
      <c r="E132" t="s">
        <v>181</v>
      </c>
      <c r="F132" t="s">
        <v>880</v>
      </c>
      <c r="G132" t="s">
        <v>189</v>
      </c>
      <c r="I132" s="19">
        <v>46149</v>
      </c>
      <c r="J132" s="19">
        <v>46158</v>
      </c>
      <c r="K132" s="19">
        <v>46166</v>
      </c>
      <c r="L132" t="s">
        <v>37</v>
      </c>
      <c r="M132" t="s">
        <v>132</v>
      </c>
      <c r="N132" t="s">
        <v>133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1756</v>
      </c>
      <c r="V132" t="s">
        <v>24</v>
      </c>
      <c r="W132" t="s">
        <v>24</v>
      </c>
      <c r="X132" t="s">
        <v>1765</v>
      </c>
      <c r="Y132" t="s">
        <v>24</v>
      </c>
      <c r="Z132" t="s">
        <v>24</v>
      </c>
      <c r="AA132" t="s">
        <v>24</v>
      </c>
      <c r="AB132" t="s">
        <v>24</v>
      </c>
      <c r="AC132" t="s">
        <v>32</v>
      </c>
      <c r="AD132" t="s">
        <v>32</v>
      </c>
      <c r="AE132" t="s">
        <v>24</v>
      </c>
      <c r="AF132" t="s">
        <v>24</v>
      </c>
      <c r="AG132" t="s">
        <v>24</v>
      </c>
      <c r="AH132" t="s">
        <v>24</v>
      </c>
      <c r="AI132" t="s">
        <v>24</v>
      </c>
      <c r="AJ132" t="s">
        <v>24</v>
      </c>
    </row>
    <row r="133" spans="1:37" x14ac:dyDescent="0.25">
      <c r="A133" t="s">
        <v>992</v>
      </c>
      <c r="C133" t="str">
        <f>CONCATENATE(Export_Documentation_Database[[#This Row],[Exp. '#]],"-",Export_Documentation_Database[[#This Row],[Batch '#]])</f>
        <v>2408th-</v>
      </c>
      <c r="D133" t="s">
        <v>46</v>
      </c>
      <c r="E133" t="s">
        <v>181</v>
      </c>
      <c r="F133" t="s">
        <v>880</v>
      </c>
      <c r="G133" t="s">
        <v>189</v>
      </c>
      <c r="I133" s="19">
        <v>46149</v>
      </c>
      <c r="J133" s="19">
        <v>46158</v>
      </c>
      <c r="K133" s="19">
        <v>46166</v>
      </c>
      <c r="L133" t="s">
        <v>37</v>
      </c>
      <c r="M133" t="s">
        <v>132</v>
      </c>
      <c r="N133" t="s">
        <v>133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1756</v>
      </c>
      <c r="V133" t="s">
        <v>24</v>
      </c>
      <c r="W133" t="s">
        <v>24</v>
      </c>
      <c r="X133" t="s">
        <v>1765</v>
      </c>
      <c r="Y133" t="s">
        <v>24</v>
      </c>
      <c r="Z133" t="s">
        <v>24</v>
      </c>
      <c r="AA133" t="s">
        <v>24</v>
      </c>
      <c r="AB133" t="s">
        <v>24</v>
      </c>
      <c r="AC133" t="s">
        <v>32</v>
      </c>
      <c r="AD133" t="s">
        <v>32</v>
      </c>
      <c r="AE133" t="s">
        <v>24</v>
      </c>
      <c r="AF133" t="s">
        <v>24</v>
      </c>
      <c r="AG133" t="s">
        <v>24</v>
      </c>
      <c r="AH133" t="s">
        <v>24</v>
      </c>
      <c r="AI133" t="s">
        <v>24</v>
      </c>
      <c r="AJ133" t="s">
        <v>24</v>
      </c>
    </row>
    <row r="134" spans="1:37" x14ac:dyDescent="0.25">
      <c r="A134" t="s">
        <v>999</v>
      </c>
      <c r="C134" t="str">
        <f>CONCATENATE(Export_Documentation_Database[[#This Row],[Exp. '#]],"-",Export_Documentation_Database[[#This Row],[Batch '#]])</f>
        <v>2411st-</v>
      </c>
      <c r="D134" t="s">
        <v>46</v>
      </c>
      <c r="E134" t="s">
        <v>181</v>
      </c>
      <c r="F134" t="s">
        <v>880</v>
      </c>
      <c r="G134" t="s">
        <v>189</v>
      </c>
      <c r="I134" s="19">
        <v>46149</v>
      </c>
      <c r="J134" s="19">
        <v>46158</v>
      </c>
      <c r="K134" s="19">
        <v>46166</v>
      </c>
      <c r="L134" t="s">
        <v>37</v>
      </c>
      <c r="M134" t="s">
        <v>132</v>
      </c>
      <c r="N134" t="s">
        <v>133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1764</v>
      </c>
      <c r="V134" t="s">
        <v>24</v>
      </c>
      <c r="W134" t="s">
        <v>24</v>
      </c>
      <c r="X134" t="s">
        <v>1765</v>
      </c>
      <c r="Y134" t="s">
        <v>24</v>
      </c>
      <c r="Z134" t="s">
        <v>24</v>
      </c>
      <c r="AA134" t="s">
        <v>24</v>
      </c>
      <c r="AB134" t="s">
        <v>24</v>
      </c>
      <c r="AC134" t="s">
        <v>32</v>
      </c>
      <c r="AD134" t="s">
        <v>32</v>
      </c>
      <c r="AE134" t="s">
        <v>24</v>
      </c>
      <c r="AF134" t="s">
        <v>24</v>
      </c>
      <c r="AG134" t="s">
        <v>24</v>
      </c>
      <c r="AH134" t="s">
        <v>24</v>
      </c>
      <c r="AI134" t="s">
        <v>24</v>
      </c>
      <c r="AJ134" t="s">
        <v>24</v>
      </c>
    </row>
    <row r="135" spans="1:37" x14ac:dyDescent="0.25">
      <c r="A135" t="s">
        <v>874</v>
      </c>
      <c r="C135" t="str">
        <f>CONCATENATE(Export_Documentation_Database[[#This Row],[Exp. '#]],"-",Export_Documentation_Database[[#This Row],[Batch '#]])</f>
        <v>2382nd-</v>
      </c>
      <c r="D135" t="s">
        <v>875</v>
      </c>
      <c r="E135" t="s">
        <v>181</v>
      </c>
      <c r="F135" t="s">
        <v>880</v>
      </c>
      <c r="G135" t="s">
        <v>189</v>
      </c>
      <c r="I135" s="19">
        <v>46149</v>
      </c>
      <c r="J135" s="19">
        <v>46158</v>
      </c>
      <c r="K135" s="19">
        <v>46166</v>
      </c>
      <c r="L135" t="s">
        <v>37</v>
      </c>
      <c r="M135" t="s">
        <v>132</v>
      </c>
      <c r="N135" t="s">
        <v>133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1756</v>
      </c>
      <c r="V135" t="s">
        <v>24</v>
      </c>
      <c r="W135" t="s">
        <v>24</v>
      </c>
      <c r="X135" t="s">
        <v>1765</v>
      </c>
      <c r="Y135" t="s">
        <v>24</v>
      </c>
      <c r="Z135" t="s">
        <v>24</v>
      </c>
      <c r="AA135" t="s">
        <v>24</v>
      </c>
      <c r="AB135" t="s">
        <v>24</v>
      </c>
      <c r="AC135" t="s">
        <v>32</v>
      </c>
      <c r="AD135" t="s">
        <v>32</v>
      </c>
      <c r="AE135" t="s">
        <v>24</v>
      </c>
      <c r="AF135" t="s">
        <v>24</v>
      </c>
      <c r="AG135" t="s">
        <v>24</v>
      </c>
      <c r="AH135" t="s">
        <v>24</v>
      </c>
      <c r="AI135" t="s">
        <v>24</v>
      </c>
      <c r="AJ135" t="s">
        <v>24</v>
      </c>
    </row>
    <row r="136" spans="1:37" x14ac:dyDescent="0.25">
      <c r="A136" t="s">
        <v>615</v>
      </c>
      <c r="B136" t="s">
        <v>1755</v>
      </c>
      <c r="C136" t="str">
        <f>CONCATENATE(Export_Documentation_Database[[#This Row],[Exp. '#]],"-",Export_Documentation_Database[[#This Row],[Batch '#]])</f>
        <v>2329th--</v>
      </c>
      <c r="D136" t="s">
        <v>48</v>
      </c>
      <c r="E136" t="s">
        <v>157</v>
      </c>
      <c r="F136" t="s">
        <v>619</v>
      </c>
      <c r="G136" t="s">
        <v>189</v>
      </c>
      <c r="H136" t="s">
        <v>1755</v>
      </c>
      <c r="I136" s="19">
        <v>46108</v>
      </c>
      <c r="J136" s="19">
        <v>46165</v>
      </c>
      <c r="K136" s="19">
        <v>46178</v>
      </c>
      <c r="L136" t="s">
        <v>40</v>
      </c>
      <c r="M136" t="s">
        <v>132</v>
      </c>
      <c r="N136" t="s">
        <v>133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1764</v>
      </c>
      <c r="V136" t="s">
        <v>24</v>
      </c>
      <c r="W136" t="s">
        <v>24</v>
      </c>
      <c r="X136" t="s">
        <v>1773</v>
      </c>
      <c r="Y136" t="s">
        <v>622</v>
      </c>
      <c r="Z136" t="s">
        <v>24</v>
      </c>
      <c r="AA136" t="s">
        <v>24</v>
      </c>
      <c r="AB136" t="s">
        <v>1755</v>
      </c>
      <c r="AC136" t="s">
        <v>32</v>
      </c>
      <c r="AD136" t="s">
        <v>32</v>
      </c>
      <c r="AE136" t="s">
        <v>24</v>
      </c>
      <c r="AF136" t="s">
        <v>24</v>
      </c>
      <c r="AG136" t="s">
        <v>622</v>
      </c>
      <c r="AH136" t="s">
        <v>24</v>
      </c>
      <c r="AI136" t="s">
        <v>1755</v>
      </c>
      <c r="AJ136" t="s">
        <v>1755</v>
      </c>
    </row>
    <row r="137" spans="1:37" x14ac:dyDescent="0.25">
      <c r="A137" t="s">
        <v>987</v>
      </c>
      <c r="B137" t="s">
        <v>1755</v>
      </c>
      <c r="C137" t="str">
        <f>CONCATENATE(Export_Documentation_Database[[#This Row],[Exp. '#]],"-",Export_Documentation_Database[[#This Row],[Batch '#]])</f>
        <v>2407th--</v>
      </c>
      <c r="D137" t="s">
        <v>510</v>
      </c>
      <c r="E137" t="s">
        <v>125</v>
      </c>
      <c r="F137" t="s">
        <v>638</v>
      </c>
      <c r="G137" t="s">
        <v>705</v>
      </c>
      <c r="H137">
        <v>1</v>
      </c>
      <c r="I137" s="19">
        <v>46154</v>
      </c>
      <c r="J137" s="19">
        <v>46165</v>
      </c>
      <c r="K137" s="19">
        <v>46178</v>
      </c>
      <c r="L137" t="s">
        <v>40</v>
      </c>
      <c r="M137" t="s">
        <v>132</v>
      </c>
      <c r="N137" t="s">
        <v>133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1756</v>
      </c>
      <c r="V137" t="s">
        <v>24</v>
      </c>
      <c r="W137" t="s">
        <v>24</v>
      </c>
      <c r="X137" t="s">
        <v>1757</v>
      </c>
      <c r="Y137" t="s">
        <v>24</v>
      </c>
      <c r="Z137" t="s">
        <v>24</v>
      </c>
      <c r="AA137" t="s">
        <v>24</v>
      </c>
      <c r="AB137" t="s">
        <v>1755</v>
      </c>
      <c r="AC137" t="s">
        <v>32</v>
      </c>
      <c r="AD137" t="s">
        <v>32</v>
      </c>
      <c r="AE137" t="s">
        <v>24</v>
      </c>
      <c r="AF137" t="s">
        <v>24</v>
      </c>
      <c r="AG137" t="s">
        <v>24</v>
      </c>
      <c r="AH137" t="s">
        <v>24</v>
      </c>
      <c r="AI137" t="s">
        <v>1755</v>
      </c>
      <c r="AJ137" t="s">
        <v>1755</v>
      </c>
    </row>
    <row r="138" spans="1:37" x14ac:dyDescent="0.25">
      <c r="A138" t="s">
        <v>726</v>
      </c>
      <c r="B138" t="s">
        <v>422</v>
      </c>
      <c r="C138" t="str">
        <f>CONCATENATE(Export_Documentation_Database[[#This Row],[Exp. '#]],"-",Export_Documentation_Database[[#This Row],[Batch '#]])</f>
        <v>2353rd-2nd</v>
      </c>
      <c r="D138" t="s">
        <v>727</v>
      </c>
      <c r="E138" t="s">
        <v>181</v>
      </c>
      <c r="F138" t="s">
        <v>128</v>
      </c>
      <c r="G138" t="s">
        <v>604</v>
      </c>
      <c r="H138">
        <v>1</v>
      </c>
      <c r="I138" s="19">
        <v>46157</v>
      </c>
      <c r="J138" s="19">
        <v>46168</v>
      </c>
      <c r="K138" s="19">
        <v>46174</v>
      </c>
      <c r="L138" t="s">
        <v>40</v>
      </c>
      <c r="M138" t="s">
        <v>132</v>
      </c>
      <c r="N138" t="s">
        <v>478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1764</v>
      </c>
      <c r="V138" t="s">
        <v>24</v>
      </c>
      <c r="W138" t="s">
        <v>24</v>
      </c>
      <c r="X138" t="s">
        <v>1765</v>
      </c>
      <c r="Y138" t="s">
        <v>24</v>
      </c>
      <c r="Z138" t="s">
        <v>24</v>
      </c>
      <c r="AA138" t="s">
        <v>24</v>
      </c>
      <c r="AB138" t="s">
        <v>24</v>
      </c>
      <c r="AC138" t="s">
        <v>32</v>
      </c>
      <c r="AD138" t="s">
        <v>32</v>
      </c>
      <c r="AE138" t="s">
        <v>24</v>
      </c>
      <c r="AF138" t="s">
        <v>24</v>
      </c>
      <c r="AG138" t="s">
        <v>24</v>
      </c>
      <c r="AH138" t="s">
        <v>24</v>
      </c>
      <c r="AI138" t="s">
        <v>1755</v>
      </c>
      <c r="AJ138" t="s">
        <v>24</v>
      </c>
    </row>
    <row r="139" spans="1:37" x14ac:dyDescent="0.25">
      <c r="A139" t="s">
        <v>703</v>
      </c>
      <c r="B139" t="s">
        <v>1755</v>
      </c>
      <c r="C139" t="str">
        <f>CONCATENATE(Export_Documentation_Database[[#This Row],[Exp. '#]],"-",Export_Documentation_Database[[#This Row],[Batch '#]])</f>
        <v>2346th--</v>
      </c>
      <c r="D139" t="s">
        <v>48</v>
      </c>
      <c r="E139" t="s">
        <v>181</v>
      </c>
      <c r="F139" t="s">
        <v>638</v>
      </c>
      <c r="G139" t="s">
        <v>705</v>
      </c>
      <c r="H139">
        <v>1</v>
      </c>
      <c r="I139" s="19">
        <v>46053</v>
      </c>
      <c r="J139" s="19">
        <v>46167</v>
      </c>
      <c r="K139" s="19">
        <v>46176</v>
      </c>
      <c r="L139" t="s">
        <v>40</v>
      </c>
      <c r="M139" t="s">
        <v>132</v>
      </c>
      <c r="N139" t="s">
        <v>133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1764</v>
      </c>
      <c r="V139" t="s">
        <v>24</v>
      </c>
      <c r="W139" t="s">
        <v>24</v>
      </c>
      <c r="X139" t="s">
        <v>1765</v>
      </c>
      <c r="Y139" t="s">
        <v>24</v>
      </c>
      <c r="Z139" t="s">
        <v>24</v>
      </c>
      <c r="AA139" t="s">
        <v>24</v>
      </c>
      <c r="AB139" t="s">
        <v>24</v>
      </c>
      <c r="AC139" t="s">
        <v>32</v>
      </c>
      <c r="AD139" t="s">
        <v>32</v>
      </c>
      <c r="AE139" t="s">
        <v>24</v>
      </c>
      <c r="AF139" t="s">
        <v>24</v>
      </c>
      <c r="AG139" t="s">
        <v>24</v>
      </c>
      <c r="AH139" t="s">
        <v>24</v>
      </c>
      <c r="AI139" t="s">
        <v>24</v>
      </c>
      <c r="AJ139" t="s">
        <v>24</v>
      </c>
    </row>
    <row r="140" spans="1:37" x14ac:dyDescent="0.25">
      <c r="A140" t="s">
        <v>776</v>
      </c>
      <c r="B140" t="s">
        <v>1755</v>
      </c>
      <c r="C140" t="str">
        <f>CONCATENATE(Export_Documentation_Database[[#This Row],[Exp. '#]],"-",Export_Documentation_Database[[#This Row],[Batch '#]])</f>
        <v>2361st--</v>
      </c>
      <c r="D140" t="s">
        <v>777</v>
      </c>
      <c r="E140" t="s">
        <v>782</v>
      </c>
      <c r="F140" t="s">
        <v>288</v>
      </c>
      <c r="G140" t="s">
        <v>189</v>
      </c>
      <c r="I140" s="19">
        <v>46157</v>
      </c>
      <c r="J140" s="19">
        <v>46178</v>
      </c>
      <c r="K140" s="19">
        <v>46184</v>
      </c>
      <c r="L140" t="s">
        <v>40</v>
      </c>
      <c r="M140" t="s">
        <v>132</v>
      </c>
      <c r="N140" t="s">
        <v>133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1756</v>
      </c>
      <c r="V140" t="s">
        <v>24</v>
      </c>
      <c r="W140" t="s">
        <v>24</v>
      </c>
      <c r="X140" t="s">
        <v>1773</v>
      </c>
      <c r="Y140" t="s">
        <v>24</v>
      </c>
      <c r="Z140" t="s">
        <v>24</v>
      </c>
      <c r="AA140" t="s">
        <v>24</v>
      </c>
      <c r="AB140" t="s">
        <v>1755</v>
      </c>
      <c r="AC140" t="s">
        <v>32</v>
      </c>
      <c r="AD140" t="s">
        <v>32</v>
      </c>
      <c r="AE140" t="s">
        <v>24</v>
      </c>
      <c r="AF140" t="s">
        <v>24</v>
      </c>
      <c r="AG140" t="s">
        <v>24</v>
      </c>
      <c r="AH140" t="s">
        <v>24</v>
      </c>
      <c r="AI140" t="s">
        <v>1755</v>
      </c>
      <c r="AJ140" t="s">
        <v>1755</v>
      </c>
    </row>
    <row r="141" spans="1:37" x14ac:dyDescent="0.25">
      <c r="A141" t="s">
        <v>1414</v>
      </c>
      <c r="B141" t="s">
        <v>1755</v>
      </c>
      <c r="C141" t="str">
        <f>CONCATENATE(Export_Documentation_Database[[#This Row],[Exp. '#]],"-",Export_Documentation_Database[[#This Row],[Batch '#]])</f>
        <v>MO-0144--</v>
      </c>
      <c r="D141" t="s">
        <v>1415</v>
      </c>
      <c r="E141" t="s">
        <v>710</v>
      </c>
      <c r="F141" t="s">
        <v>128</v>
      </c>
      <c r="G141" t="s">
        <v>631</v>
      </c>
      <c r="I141" s="19">
        <v>46177</v>
      </c>
      <c r="J141" s="19">
        <v>46179</v>
      </c>
      <c r="K141" s="19">
        <v>46179</v>
      </c>
      <c r="L141" t="s">
        <v>40</v>
      </c>
      <c r="M141" t="s">
        <v>277</v>
      </c>
      <c r="N141" t="s">
        <v>1416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1756</v>
      </c>
      <c r="V141" t="s">
        <v>24</v>
      </c>
      <c r="W141" t="s">
        <v>24</v>
      </c>
      <c r="X141" t="s">
        <v>1780</v>
      </c>
      <c r="Y141" t="s">
        <v>24</v>
      </c>
      <c r="Z141" t="s">
        <v>24</v>
      </c>
      <c r="AA141" t="s">
        <v>24</v>
      </c>
      <c r="AB141" t="s">
        <v>1755</v>
      </c>
      <c r="AC141" t="s">
        <v>28</v>
      </c>
      <c r="AD141" t="s">
        <v>28</v>
      </c>
      <c r="AE141" t="s">
        <v>24</v>
      </c>
      <c r="AF141" t="s">
        <v>24</v>
      </c>
      <c r="AG141" t="s">
        <v>24</v>
      </c>
      <c r="AH141" t="s">
        <v>24</v>
      </c>
      <c r="AI141" t="s">
        <v>1755</v>
      </c>
      <c r="AJ141" t="s">
        <v>1755</v>
      </c>
    </row>
    <row r="142" spans="1:37" x14ac:dyDescent="0.25">
      <c r="A142" t="s">
        <v>634</v>
      </c>
      <c r="B142" t="s">
        <v>1755</v>
      </c>
      <c r="C142" t="str">
        <f>CONCATENATE(Export_Documentation_Database[[#This Row],[Exp. '#]],"-",Export_Documentation_Database[[#This Row],[Batch '#]])</f>
        <v>2333rd--</v>
      </c>
      <c r="D142" t="s">
        <v>423</v>
      </c>
      <c r="E142" t="s">
        <v>181</v>
      </c>
      <c r="F142" t="s">
        <v>638</v>
      </c>
      <c r="G142" t="s">
        <v>473</v>
      </c>
      <c r="H142">
        <v>1</v>
      </c>
      <c r="I142" s="19">
        <v>46157</v>
      </c>
      <c r="J142" s="19">
        <v>46185</v>
      </c>
      <c r="K142" s="19">
        <v>46195</v>
      </c>
      <c r="L142" t="s">
        <v>40</v>
      </c>
      <c r="M142" t="s">
        <v>132</v>
      </c>
      <c r="N142" t="s">
        <v>133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1764</v>
      </c>
      <c r="V142" t="s">
        <v>24</v>
      </c>
      <c r="W142" t="s">
        <v>24</v>
      </c>
      <c r="X142" t="s">
        <v>1765</v>
      </c>
      <c r="Y142" t="s">
        <v>24</v>
      </c>
      <c r="Z142" t="s">
        <v>24</v>
      </c>
      <c r="AA142" t="s">
        <v>24</v>
      </c>
      <c r="AB142" t="s">
        <v>24</v>
      </c>
      <c r="AC142" t="s">
        <v>32</v>
      </c>
      <c r="AD142" t="s">
        <v>32</v>
      </c>
      <c r="AE142" t="s">
        <v>24</v>
      </c>
      <c r="AF142" t="s">
        <v>24</v>
      </c>
      <c r="AG142" t="s">
        <v>24</v>
      </c>
      <c r="AH142" t="s">
        <v>24</v>
      </c>
      <c r="AI142" t="s">
        <v>32</v>
      </c>
      <c r="AJ142" t="s">
        <v>24</v>
      </c>
    </row>
    <row r="143" spans="1:37" x14ac:dyDescent="0.25">
      <c r="A143" t="s">
        <v>896</v>
      </c>
      <c r="B143" t="s">
        <v>1755</v>
      </c>
      <c r="C143" t="str">
        <f>CONCATENATE(Export_Documentation_Database[[#This Row],[Exp. '#]],"-",Export_Documentation_Database[[#This Row],[Batch '#]])</f>
        <v>2386th--</v>
      </c>
      <c r="D143" t="s">
        <v>897</v>
      </c>
      <c r="E143" t="s">
        <v>181</v>
      </c>
      <c r="F143" t="s">
        <v>128</v>
      </c>
      <c r="G143" t="s">
        <v>340</v>
      </c>
      <c r="H143">
        <v>1</v>
      </c>
      <c r="I143" s="19">
        <v>46176</v>
      </c>
      <c r="J143" s="19">
        <v>46185</v>
      </c>
      <c r="K143" s="19">
        <v>46198</v>
      </c>
      <c r="L143" t="s">
        <v>40</v>
      </c>
      <c r="M143" t="s">
        <v>132</v>
      </c>
      <c r="N143" t="s">
        <v>133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1756</v>
      </c>
      <c r="V143" t="s">
        <v>24</v>
      </c>
      <c r="W143" t="s">
        <v>24</v>
      </c>
      <c r="X143" t="s">
        <v>1765</v>
      </c>
      <c r="Y143" t="s">
        <v>479</v>
      </c>
      <c r="Z143" t="s">
        <v>24</v>
      </c>
      <c r="AA143" t="s">
        <v>24</v>
      </c>
      <c r="AB143" t="s">
        <v>24</v>
      </c>
      <c r="AC143" t="s">
        <v>24</v>
      </c>
      <c r="AD143" t="s">
        <v>24</v>
      </c>
      <c r="AE143" t="s">
        <v>24</v>
      </c>
      <c r="AF143" t="s">
        <v>24</v>
      </c>
      <c r="AG143" t="s">
        <v>479</v>
      </c>
      <c r="AH143" t="s">
        <v>24</v>
      </c>
      <c r="AI143" t="s">
        <v>32</v>
      </c>
      <c r="AJ143" t="s">
        <v>24</v>
      </c>
    </row>
    <row r="144" spans="1:37" x14ac:dyDescent="0.25">
      <c r="A144" t="s">
        <v>809</v>
      </c>
      <c r="B144" t="s">
        <v>1755</v>
      </c>
      <c r="C144" t="str">
        <f>CONCATENATE(Export_Documentation_Database[[#This Row],[Exp. '#]],"-",Export_Documentation_Database[[#This Row],[Batch '#]])</f>
        <v>2367th--</v>
      </c>
      <c r="D144" t="s">
        <v>810</v>
      </c>
      <c r="E144" t="s">
        <v>181</v>
      </c>
      <c r="F144" t="s">
        <v>128</v>
      </c>
      <c r="G144" t="s">
        <v>340</v>
      </c>
      <c r="H144">
        <v>3</v>
      </c>
      <c r="I144" s="19">
        <v>46157</v>
      </c>
      <c r="J144" s="19">
        <v>46189</v>
      </c>
      <c r="K144" s="19">
        <v>46198</v>
      </c>
      <c r="L144" t="s">
        <v>40</v>
      </c>
      <c r="M144" t="s">
        <v>132</v>
      </c>
      <c r="N144" t="s">
        <v>814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1764</v>
      </c>
      <c r="V144" t="s">
        <v>28</v>
      </c>
      <c r="W144" t="s">
        <v>28</v>
      </c>
      <c r="X144" t="s">
        <v>1765</v>
      </c>
      <c r="Y144" t="s">
        <v>479</v>
      </c>
      <c r="Z144" t="s">
        <v>24</v>
      </c>
      <c r="AA144" t="s">
        <v>24</v>
      </c>
      <c r="AB144" t="s">
        <v>24</v>
      </c>
      <c r="AC144" t="s">
        <v>32</v>
      </c>
      <c r="AD144" t="s">
        <v>32</v>
      </c>
      <c r="AE144" t="s">
        <v>24</v>
      </c>
      <c r="AF144" t="s">
        <v>24</v>
      </c>
      <c r="AG144" t="s">
        <v>479</v>
      </c>
      <c r="AH144" t="s">
        <v>24</v>
      </c>
      <c r="AI144" t="s">
        <v>1755</v>
      </c>
      <c r="AJ144" t="s">
        <v>24</v>
      </c>
    </row>
    <row r="145" spans="1:36" x14ac:dyDescent="0.25">
      <c r="A145" t="s">
        <v>850</v>
      </c>
      <c r="B145" t="s">
        <v>1755</v>
      </c>
      <c r="C145" t="str">
        <f>CONCATENATE(Export_Documentation_Database[[#This Row],[Exp. '#]],"-",Export_Documentation_Database[[#This Row],[Batch '#]])</f>
        <v>2376th--</v>
      </c>
      <c r="D145" t="s">
        <v>487</v>
      </c>
      <c r="E145" t="s">
        <v>125</v>
      </c>
      <c r="F145" t="s">
        <v>880</v>
      </c>
      <c r="G145" t="s">
        <v>189</v>
      </c>
      <c r="I145" s="19">
        <v>46176</v>
      </c>
      <c r="J145" s="19">
        <v>46186</v>
      </c>
      <c r="K145" s="19">
        <v>46190</v>
      </c>
      <c r="L145" t="s">
        <v>40</v>
      </c>
      <c r="M145" t="s">
        <v>132</v>
      </c>
      <c r="N145" t="s">
        <v>133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1756</v>
      </c>
      <c r="V145" t="s">
        <v>24</v>
      </c>
      <c r="W145" t="s">
        <v>24</v>
      </c>
      <c r="X145" t="s">
        <v>1765</v>
      </c>
      <c r="Y145" t="s">
        <v>24</v>
      </c>
      <c r="Z145" t="s">
        <v>24</v>
      </c>
      <c r="AA145" t="s">
        <v>24</v>
      </c>
      <c r="AB145" t="s">
        <v>1755</v>
      </c>
      <c r="AC145" t="s">
        <v>32</v>
      </c>
      <c r="AD145" t="s">
        <v>32</v>
      </c>
      <c r="AE145" t="s">
        <v>24</v>
      </c>
      <c r="AF145" t="s">
        <v>24</v>
      </c>
      <c r="AG145" t="s">
        <v>24</v>
      </c>
      <c r="AH145" t="s">
        <v>24</v>
      </c>
      <c r="AI145" t="s">
        <v>24</v>
      </c>
      <c r="AJ145" t="s">
        <v>1755</v>
      </c>
    </row>
    <row r="146" spans="1:36" x14ac:dyDescent="0.25">
      <c r="A146" t="s">
        <v>902</v>
      </c>
      <c r="B146" t="s">
        <v>1755</v>
      </c>
      <c r="C146" t="str">
        <f>CONCATENATE(Export_Documentation_Database[[#This Row],[Exp. '#]],"-",Export_Documentation_Database[[#This Row],[Batch '#]])</f>
        <v>2387th--</v>
      </c>
      <c r="D146" t="s">
        <v>903</v>
      </c>
      <c r="E146" t="s">
        <v>125</v>
      </c>
      <c r="F146" t="s">
        <v>880</v>
      </c>
      <c r="G146" t="s">
        <v>189</v>
      </c>
      <c r="I146" s="19">
        <v>46176</v>
      </c>
      <c r="J146" s="19">
        <v>46186</v>
      </c>
      <c r="K146" s="19">
        <v>46194</v>
      </c>
      <c r="L146" t="s">
        <v>40</v>
      </c>
      <c r="M146" t="s">
        <v>132</v>
      </c>
      <c r="N146" t="s">
        <v>133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1764</v>
      </c>
      <c r="V146" t="s">
        <v>24</v>
      </c>
      <c r="W146" t="s">
        <v>24</v>
      </c>
      <c r="X146" t="s">
        <v>1765</v>
      </c>
      <c r="Y146" t="s">
        <v>24</v>
      </c>
      <c r="Z146" t="s">
        <v>28</v>
      </c>
      <c r="AA146" t="s">
        <v>24</v>
      </c>
      <c r="AB146" t="s">
        <v>1755</v>
      </c>
      <c r="AC146" t="s">
        <v>32</v>
      </c>
      <c r="AD146" t="s">
        <v>32</v>
      </c>
      <c r="AE146" t="s">
        <v>24</v>
      </c>
      <c r="AF146" t="s">
        <v>24</v>
      </c>
      <c r="AG146" t="s">
        <v>24</v>
      </c>
      <c r="AH146" t="s">
        <v>28</v>
      </c>
      <c r="AI146" t="s">
        <v>32</v>
      </c>
      <c r="AJ146" t="s">
        <v>1755</v>
      </c>
    </row>
    <row r="147" spans="1:36" x14ac:dyDescent="0.25">
      <c r="A147" t="s">
        <v>958</v>
      </c>
      <c r="B147" t="s">
        <v>1755</v>
      </c>
      <c r="C147" t="str">
        <f>CONCATENATE(Export_Documentation_Database[[#This Row],[Exp. '#]],"-",Export_Documentation_Database[[#This Row],[Batch '#]])</f>
        <v>2401st--</v>
      </c>
      <c r="D147" t="s">
        <v>702</v>
      </c>
      <c r="E147" t="s">
        <v>125</v>
      </c>
      <c r="F147" t="s">
        <v>880</v>
      </c>
      <c r="G147" t="s">
        <v>473</v>
      </c>
      <c r="H147">
        <v>1</v>
      </c>
      <c r="I147" s="19">
        <v>46183</v>
      </c>
      <c r="J147" s="19">
        <v>46192</v>
      </c>
      <c r="K147" s="19">
        <v>46197</v>
      </c>
      <c r="L147" t="s">
        <v>40</v>
      </c>
      <c r="M147" t="s">
        <v>277</v>
      </c>
      <c r="N147" t="s">
        <v>133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1756</v>
      </c>
      <c r="V147" t="s">
        <v>28</v>
      </c>
      <c r="W147" t="s">
        <v>28</v>
      </c>
      <c r="X147" t="s">
        <v>1757</v>
      </c>
      <c r="Y147" t="s">
        <v>24</v>
      </c>
      <c r="Z147" t="s">
        <v>24</v>
      </c>
      <c r="AA147" t="s">
        <v>24</v>
      </c>
      <c r="AB147" t="s">
        <v>1755</v>
      </c>
      <c r="AC147" t="s">
        <v>32</v>
      </c>
      <c r="AD147" t="s">
        <v>32</v>
      </c>
      <c r="AE147" t="s">
        <v>24</v>
      </c>
      <c r="AF147" t="s">
        <v>24</v>
      </c>
      <c r="AG147" t="s">
        <v>24</v>
      </c>
      <c r="AH147" t="s">
        <v>24</v>
      </c>
      <c r="AI147" t="s">
        <v>1755</v>
      </c>
      <c r="AJ147" t="s">
        <v>1755</v>
      </c>
    </row>
    <row r="148" spans="1:36" x14ac:dyDescent="0.25">
      <c r="A148" t="s">
        <v>973</v>
      </c>
      <c r="B148" t="s">
        <v>1755</v>
      </c>
      <c r="C148" t="str">
        <f>CONCATENATE(Export_Documentation_Database[[#This Row],[Exp. '#]],"-",Export_Documentation_Database[[#This Row],[Batch '#]])</f>
        <v>2404th--</v>
      </c>
      <c r="D148" t="s">
        <v>702</v>
      </c>
      <c r="E148" t="s">
        <v>125</v>
      </c>
      <c r="F148" t="s">
        <v>880</v>
      </c>
      <c r="I148" s="19">
        <v>46183</v>
      </c>
      <c r="J148" s="19">
        <v>46192</v>
      </c>
      <c r="K148" s="19">
        <v>46197</v>
      </c>
      <c r="L148" t="s">
        <v>40</v>
      </c>
      <c r="M148" t="s">
        <v>277</v>
      </c>
      <c r="N148" t="s">
        <v>133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1756</v>
      </c>
      <c r="V148" t="s">
        <v>28</v>
      </c>
      <c r="W148" t="s">
        <v>28</v>
      </c>
      <c r="X148" t="s">
        <v>1757</v>
      </c>
      <c r="Y148" t="s">
        <v>24</v>
      </c>
      <c r="Z148" t="s">
        <v>24</v>
      </c>
      <c r="AA148" t="s">
        <v>24</v>
      </c>
      <c r="AB148" t="s">
        <v>1755</v>
      </c>
      <c r="AC148" t="s">
        <v>32</v>
      </c>
      <c r="AD148" t="s">
        <v>32</v>
      </c>
      <c r="AE148" t="s">
        <v>24</v>
      </c>
      <c r="AF148" t="s">
        <v>24</v>
      </c>
      <c r="AG148" t="s">
        <v>24</v>
      </c>
      <c r="AH148" t="s">
        <v>24</v>
      </c>
      <c r="AI148" t="s">
        <v>1755</v>
      </c>
      <c r="AJ148" t="s">
        <v>1755</v>
      </c>
    </row>
    <row r="149" spans="1:36" x14ac:dyDescent="0.25">
      <c r="A149" t="s">
        <v>1794</v>
      </c>
      <c r="B149" t="s">
        <v>1755</v>
      </c>
      <c r="C149" t="str">
        <f>CONCATENATE(Export_Documentation_Database[[#This Row],[Exp. '#]],"-",Export_Documentation_Database[[#This Row],[Batch '#]])</f>
        <v>2421th--</v>
      </c>
      <c r="D149" t="s">
        <v>702</v>
      </c>
      <c r="E149" t="s">
        <v>125</v>
      </c>
      <c r="F149" t="s">
        <v>880</v>
      </c>
      <c r="I149" s="19">
        <v>46183</v>
      </c>
      <c r="J149" s="19">
        <v>46192</v>
      </c>
      <c r="K149" s="19">
        <v>46197</v>
      </c>
      <c r="L149" t="s">
        <v>40</v>
      </c>
      <c r="M149" t="s">
        <v>277</v>
      </c>
      <c r="N149" t="s">
        <v>133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1764</v>
      </c>
      <c r="V149" t="s">
        <v>28</v>
      </c>
      <c r="W149" t="s">
        <v>28</v>
      </c>
      <c r="X149" t="s">
        <v>1757</v>
      </c>
      <c r="Y149" t="s">
        <v>24</v>
      </c>
      <c r="Z149" t="s">
        <v>24</v>
      </c>
      <c r="AA149" t="s">
        <v>24</v>
      </c>
      <c r="AB149" t="s">
        <v>1755</v>
      </c>
      <c r="AC149" t="s">
        <v>32</v>
      </c>
      <c r="AD149" t="s">
        <v>32</v>
      </c>
      <c r="AE149" t="s">
        <v>24</v>
      </c>
      <c r="AF149" t="s">
        <v>24</v>
      </c>
      <c r="AG149" t="s">
        <v>24</v>
      </c>
      <c r="AH149" t="s">
        <v>24</v>
      </c>
      <c r="AI149" t="s">
        <v>1755</v>
      </c>
      <c r="AJ149" t="s">
        <v>1755</v>
      </c>
    </row>
    <row r="150" spans="1:36" x14ac:dyDescent="0.25">
      <c r="A150" t="s">
        <v>948</v>
      </c>
      <c r="B150" t="s">
        <v>1755</v>
      </c>
      <c r="C150" t="str">
        <f>CONCATENATE(Export_Documentation_Database[[#This Row],[Exp. '#]],"-",Export_Documentation_Database[[#This Row],[Batch '#]])</f>
        <v>2399th--</v>
      </c>
      <c r="D150" t="s">
        <v>922</v>
      </c>
      <c r="E150" t="s">
        <v>125</v>
      </c>
      <c r="F150" t="s">
        <v>880</v>
      </c>
      <c r="I150" s="19">
        <v>46183</v>
      </c>
      <c r="J150" s="19">
        <v>46192</v>
      </c>
      <c r="K150" s="19">
        <v>46197</v>
      </c>
      <c r="L150" t="s">
        <v>40</v>
      </c>
      <c r="M150" t="s">
        <v>277</v>
      </c>
      <c r="N150" t="s">
        <v>133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1756</v>
      </c>
      <c r="V150" t="s">
        <v>28</v>
      </c>
      <c r="W150" t="s">
        <v>28</v>
      </c>
      <c r="X150" t="s">
        <v>1757</v>
      </c>
      <c r="Y150" t="s">
        <v>24</v>
      </c>
      <c r="Z150" t="s">
        <v>24</v>
      </c>
      <c r="AA150" t="s">
        <v>24</v>
      </c>
      <c r="AB150" t="s">
        <v>1755</v>
      </c>
      <c r="AC150" t="s">
        <v>32</v>
      </c>
      <c r="AD150" t="s">
        <v>32</v>
      </c>
      <c r="AE150" t="s">
        <v>24</v>
      </c>
      <c r="AF150" t="s">
        <v>24</v>
      </c>
      <c r="AG150" t="s">
        <v>24</v>
      </c>
      <c r="AH150" t="s">
        <v>24</v>
      </c>
      <c r="AI150" t="s">
        <v>1755</v>
      </c>
      <c r="AJ150" t="s">
        <v>1755</v>
      </c>
    </row>
    <row r="151" spans="1:36" x14ac:dyDescent="0.25">
      <c r="A151" t="s">
        <v>892</v>
      </c>
      <c r="B151" t="s">
        <v>1755</v>
      </c>
      <c r="C151" t="str">
        <f>CONCATENATE(Export_Documentation_Database[[#This Row],[Exp. '#]],"-",Export_Documentation_Database[[#This Row],[Batch '#]])</f>
        <v>2385th--</v>
      </c>
      <c r="D151" t="s">
        <v>38</v>
      </c>
      <c r="E151" t="s">
        <v>181</v>
      </c>
      <c r="F151" t="s">
        <v>128</v>
      </c>
      <c r="G151" t="s">
        <v>473</v>
      </c>
      <c r="H151">
        <v>1</v>
      </c>
      <c r="I151" s="19">
        <v>46176</v>
      </c>
      <c r="J151" s="19">
        <v>46192</v>
      </c>
      <c r="K151" s="19">
        <v>46194</v>
      </c>
      <c r="L151" t="s">
        <v>40</v>
      </c>
      <c r="M151" t="s">
        <v>132</v>
      </c>
      <c r="N151" t="s">
        <v>133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1756</v>
      </c>
      <c r="V151" t="s">
        <v>28</v>
      </c>
      <c r="W151" t="s">
        <v>28</v>
      </c>
      <c r="X151" t="s">
        <v>1765</v>
      </c>
      <c r="Y151" t="s">
        <v>24</v>
      </c>
      <c r="Z151" t="s">
        <v>28</v>
      </c>
      <c r="AA151" t="s">
        <v>32</v>
      </c>
      <c r="AB151" t="s">
        <v>24</v>
      </c>
      <c r="AC151" t="s">
        <v>32</v>
      </c>
      <c r="AD151" t="s">
        <v>32</v>
      </c>
      <c r="AE151" t="s">
        <v>24</v>
      </c>
      <c r="AF151" t="s">
        <v>24</v>
      </c>
      <c r="AG151" t="s">
        <v>24</v>
      </c>
      <c r="AH151" t="s">
        <v>28</v>
      </c>
      <c r="AI151" t="s">
        <v>32</v>
      </c>
      <c r="AJ151" t="s">
        <v>24</v>
      </c>
    </row>
    <row r="152" spans="1:36" x14ac:dyDescent="0.25">
      <c r="A152" t="s">
        <v>1043</v>
      </c>
      <c r="B152" t="s">
        <v>1755</v>
      </c>
      <c r="C152" t="str">
        <f>CONCATENATE(Export_Documentation_Database[[#This Row],[Exp. '#]],"-",Export_Documentation_Database[[#This Row],[Batch '#]])</f>
        <v>2422nd--</v>
      </c>
      <c r="D152" t="s">
        <v>720</v>
      </c>
      <c r="E152" t="s">
        <v>181</v>
      </c>
      <c r="F152" t="s">
        <v>1795</v>
      </c>
      <c r="G152" t="s">
        <v>189</v>
      </c>
      <c r="I152" s="19">
        <v>46188</v>
      </c>
      <c r="J152" s="19">
        <v>46192</v>
      </c>
      <c r="K152" s="19">
        <v>46207</v>
      </c>
      <c r="L152" t="s">
        <v>43</v>
      </c>
      <c r="M152" t="s">
        <v>132</v>
      </c>
      <c r="N152" t="s">
        <v>133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1756</v>
      </c>
      <c r="V152" t="s">
        <v>28</v>
      </c>
      <c r="W152" t="s">
        <v>28</v>
      </c>
      <c r="X152" t="s">
        <v>1765</v>
      </c>
      <c r="Y152" t="s">
        <v>479</v>
      </c>
      <c r="Z152" t="s">
        <v>28</v>
      </c>
      <c r="AA152" t="s">
        <v>32</v>
      </c>
      <c r="AB152" t="s">
        <v>32</v>
      </c>
      <c r="AC152" t="s">
        <v>32</v>
      </c>
      <c r="AD152" t="s">
        <v>32</v>
      </c>
      <c r="AE152" t="s">
        <v>24</v>
      </c>
      <c r="AF152" t="s">
        <v>24</v>
      </c>
      <c r="AG152" t="s">
        <v>479</v>
      </c>
      <c r="AH152" t="s">
        <v>28</v>
      </c>
      <c r="AI152" t="s">
        <v>32</v>
      </c>
      <c r="AJ152" t="s">
        <v>28</v>
      </c>
    </row>
    <row r="153" spans="1:36" x14ac:dyDescent="0.25">
      <c r="A153" t="s">
        <v>822</v>
      </c>
      <c r="B153" t="s">
        <v>1755</v>
      </c>
      <c r="C153" t="str">
        <f>CONCATENATE(Export_Documentation_Database[[#This Row],[Exp. '#]],"-",Export_Documentation_Database[[#This Row],[Batch '#]])</f>
        <v>2370th--</v>
      </c>
      <c r="D153" t="s">
        <v>998</v>
      </c>
      <c r="E153" t="s">
        <v>125</v>
      </c>
      <c r="F153" t="s">
        <v>288</v>
      </c>
      <c r="G153" t="s">
        <v>705</v>
      </c>
      <c r="H153">
        <v>1</v>
      </c>
      <c r="I153" s="19">
        <v>46189</v>
      </c>
      <c r="J153" s="19">
        <v>46192</v>
      </c>
      <c r="K153" s="19">
        <v>46200</v>
      </c>
      <c r="L153" t="s">
        <v>40</v>
      </c>
      <c r="M153" t="s">
        <v>132</v>
      </c>
      <c r="N153" t="s">
        <v>133</v>
      </c>
      <c r="O153" t="s">
        <v>24</v>
      </c>
      <c r="P153" t="s">
        <v>24</v>
      </c>
      <c r="Q153" t="s">
        <v>24</v>
      </c>
      <c r="R153" t="s">
        <v>1796</v>
      </c>
      <c r="S153" t="s">
        <v>24</v>
      </c>
      <c r="T153" t="s">
        <v>24</v>
      </c>
      <c r="U153" t="s">
        <v>1756</v>
      </c>
      <c r="V153" t="s">
        <v>28</v>
      </c>
      <c r="W153" t="s">
        <v>28</v>
      </c>
      <c r="X153" t="s">
        <v>1757</v>
      </c>
      <c r="Y153" t="s">
        <v>622</v>
      </c>
      <c r="Z153" t="s">
        <v>28</v>
      </c>
      <c r="AA153" t="s">
        <v>32</v>
      </c>
      <c r="AC153" t="s">
        <v>32</v>
      </c>
      <c r="AD153" t="s">
        <v>32</v>
      </c>
      <c r="AE153" t="s">
        <v>24</v>
      </c>
      <c r="AF153" t="s">
        <v>24</v>
      </c>
      <c r="AG153" t="s">
        <v>622</v>
      </c>
      <c r="AH153" t="s">
        <v>28</v>
      </c>
      <c r="AI153" t="s">
        <v>1755</v>
      </c>
      <c r="AJ153" t="s">
        <v>1755</v>
      </c>
    </row>
    <row r="154" spans="1:36" x14ac:dyDescent="0.25">
      <c r="A154" t="s">
        <v>832</v>
      </c>
      <c r="B154" t="s">
        <v>761</v>
      </c>
      <c r="C154" t="str">
        <f>CONCATENATE(Export_Documentation_Database[[#This Row],[Exp. '#]],"-",Export_Documentation_Database[[#This Row],[Batch '#]])</f>
        <v>2371st-1st</v>
      </c>
      <c r="D154" t="s">
        <v>998</v>
      </c>
      <c r="E154" t="s">
        <v>125</v>
      </c>
      <c r="F154" t="s">
        <v>288</v>
      </c>
      <c r="I154" s="19">
        <v>46189</v>
      </c>
      <c r="J154" s="19">
        <v>46192</v>
      </c>
      <c r="K154" s="19">
        <v>46200</v>
      </c>
      <c r="L154" t="s">
        <v>40</v>
      </c>
      <c r="M154" t="s">
        <v>132</v>
      </c>
      <c r="N154" t="s">
        <v>133</v>
      </c>
      <c r="O154" t="s">
        <v>24</v>
      </c>
      <c r="P154" t="s">
        <v>24</v>
      </c>
      <c r="Q154" t="s">
        <v>24</v>
      </c>
      <c r="R154" t="s">
        <v>1796</v>
      </c>
      <c r="S154" t="s">
        <v>24</v>
      </c>
      <c r="T154" t="s">
        <v>24</v>
      </c>
      <c r="U154" t="s">
        <v>1764</v>
      </c>
      <c r="V154" t="s">
        <v>28</v>
      </c>
      <c r="W154" t="s">
        <v>28</v>
      </c>
      <c r="X154" t="s">
        <v>1757</v>
      </c>
      <c r="Y154" t="s">
        <v>622</v>
      </c>
      <c r="Z154" t="s">
        <v>28</v>
      </c>
      <c r="AA154" t="s">
        <v>32</v>
      </c>
      <c r="AC154" t="s">
        <v>32</v>
      </c>
      <c r="AD154" t="s">
        <v>32</v>
      </c>
      <c r="AE154" t="s">
        <v>24</v>
      </c>
      <c r="AF154" t="s">
        <v>24</v>
      </c>
      <c r="AG154" t="s">
        <v>622</v>
      </c>
      <c r="AH154" t="s">
        <v>28</v>
      </c>
      <c r="AI154" t="s">
        <v>1755</v>
      </c>
      <c r="AJ154" t="s">
        <v>1755</v>
      </c>
    </row>
    <row r="155" spans="1:36" x14ac:dyDescent="0.25">
      <c r="A155" t="s">
        <v>1089</v>
      </c>
      <c r="B155" t="s">
        <v>1755</v>
      </c>
      <c r="C155" t="str">
        <f>CONCATENATE(Export_Documentation_Database[[#This Row],[Exp. '#]],"-",Export_Documentation_Database[[#This Row],[Batch '#]])</f>
        <v>2437th--</v>
      </c>
      <c r="D155" t="s">
        <v>46</v>
      </c>
      <c r="E155" t="s">
        <v>181</v>
      </c>
      <c r="F155" t="s">
        <v>880</v>
      </c>
      <c r="G155" t="s">
        <v>189</v>
      </c>
      <c r="I155" s="19">
        <v>46188</v>
      </c>
      <c r="J155" s="19">
        <v>46193</v>
      </c>
      <c r="K155" s="19">
        <v>46207</v>
      </c>
      <c r="L155" t="s">
        <v>43</v>
      </c>
      <c r="M155" t="s">
        <v>132</v>
      </c>
      <c r="N155" t="s">
        <v>133</v>
      </c>
      <c r="O155" t="s">
        <v>24</v>
      </c>
      <c r="P155" t="s">
        <v>24</v>
      </c>
      <c r="Q155" t="s">
        <v>24</v>
      </c>
      <c r="R155" t="s">
        <v>1796</v>
      </c>
      <c r="S155" t="s">
        <v>24</v>
      </c>
      <c r="T155" t="s">
        <v>24</v>
      </c>
      <c r="U155" t="s">
        <v>1756</v>
      </c>
      <c r="V155" t="s">
        <v>28</v>
      </c>
      <c r="W155" t="s">
        <v>28</v>
      </c>
      <c r="X155" t="s">
        <v>1765</v>
      </c>
      <c r="Y155" t="s">
        <v>479</v>
      </c>
      <c r="Z155" t="s">
        <v>28</v>
      </c>
      <c r="AA155" t="s">
        <v>32</v>
      </c>
      <c r="AB155" t="s">
        <v>32</v>
      </c>
      <c r="AC155" t="s">
        <v>32</v>
      </c>
      <c r="AD155" t="s">
        <v>32</v>
      </c>
      <c r="AE155" t="s">
        <v>24</v>
      </c>
      <c r="AF155" t="s">
        <v>24</v>
      </c>
      <c r="AG155" t="s">
        <v>479</v>
      </c>
      <c r="AH155" t="s">
        <v>28</v>
      </c>
      <c r="AI155" t="s">
        <v>32</v>
      </c>
      <c r="AJ155" t="s">
        <v>28</v>
      </c>
    </row>
    <row r="156" spans="1:36" x14ac:dyDescent="0.25">
      <c r="A156" t="s">
        <v>1055</v>
      </c>
      <c r="B156" t="s">
        <v>1755</v>
      </c>
      <c r="C156" t="str">
        <f>CONCATENATE(Export_Documentation_Database[[#This Row],[Exp. '#]],"-",Export_Documentation_Database[[#This Row],[Batch '#]])</f>
        <v>2426th--</v>
      </c>
      <c r="D156" t="s">
        <v>1779</v>
      </c>
      <c r="E156" t="s">
        <v>125</v>
      </c>
      <c r="F156" t="s">
        <v>880</v>
      </c>
      <c r="G156" t="s">
        <v>189</v>
      </c>
      <c r="I156" s="19">
        <v>46189</v>
      </c>
      <c r="J156" s="19">
        <v>46200</v>
      </c>
      <c r="K156" s="19">
        <v>46204</v>
      </c>
      <c r="L156" t="s">
        <v>43</v>
      </c>
      <c r="M156" t="s">
        <v>132</v>
      </c>
      <c r="N156" t="s">
        <v>133</v>
      </c>
      <c r="O156" t="s">
        <v>24</v>
      </c>
      <c r="P156" t="s">
        <v>24</v>
      </c>
      <c r="Q156" t="s">
        <v>24</v>
      </c>
      <c r="R156" t="s">
        <v>1796</v>
      </c>
      <c r="S156" t="s">
        <v>24</v>
      </c>
      <c r="T156" t="s">
        <v>24</v>
      </c>
      <c r="U156" t="s">
        <v>1764</v>
      </c>
      <c r="V156" t="s">
        <v>32</v>
      </c>
      <c r="W156" t="s">
        <v>32</v>
      </c>
      <c r="X156" t="s">
        <v>1773</v>
      </c>
      <c r="Y156" t="s">
        <v>429</v>
      </c>
      <c r="Z156" t="s">
        <v>28</v>
      </c>
      <c r="AA156" t="s">
        <v>32</v>
      </c>
      <c r="AB156" t="s">
        <v>1755</v>
      </c>
      <c r="AC156" t="s">
        <v>32</v>
      </c>
      <c r="AD156" t="s">
        <v>32</v>
      </c>
      <c r="AE156" t="s">
        <v>24</v>
      </c>
      <c r="AF156" t="s">
        <v>24</v>
      </c>
      <c r="AG156" t="s">
        <v>429</v>
      </c>
      <c r="AH156" t="s">
        <v>28</v>
      </c>
      <c r="AI156" t="s">
        <v>1755</v>
      </c>
      <c r="AJ156" t="s">
        <v>1755</v>
      </c>
    </row>
    <row r="157" spans="1:36" x14ac:dyDescent="0.25">
      <c r="A157" t="s">
        <v>1437</v>
      </c>
      <c r="B157" t="s">
        <v>1755</v>
      </c>
      <c r="C157" t="str">
        <f>CONCATENATE(Export_Documentation_Database[[#This Row],[Exp. '#]],"-",Export_Documentation_Database[[#This Row],[Batch '#]])</f>
        <v>MO-0149--</v>
      </c>
      <c r="D157" t="s">
        <v>1797</v>
      </c>
      <c r="E157" t="s">
        <v>157</v>
      </c>
      <c r="F157" t="s">
        <v>1798</v>
      </c>
      <c r="G157" t="s">
        <v>473</v>
      </c>
      <c r="H157">
        <v>1</v>
      </c>
      <c r="I157" s="19">
        <v>46189</v>
      </c>
      <c r="J157" s="19">
        <v>46200</v>
      </c>
      <c r="K157" s="19">
        <v>46208</v>
      </c>
      <c r="L157" t="s">
        <v>43</v>
      </c>
      <c r="M157" t="s">
        <v>277</v>
      </c>
      <c r="N157" t="s">
        <v>1407</v>
      </c>
      <c r="O157" t="s">
        <v>24</v>
      </c>
      <c r="P157" t="s">
        <v>24</v>
      </c>
      <c r="Q157" t="s">
        <v>24</v>
      </c>
      <c r="R157" t="s">
        <v>1799</v>
      </c>
      <c r="S157" t="s">
        <v>24</v>
      </c>
      <c r="T157" t="s">
        <v>24</v>
      </c>
      <c r="U157" t="s">
        <v>1756</v>
      </c>
      <c r="V157" t="s">
        <v>32</v>
      </c>
      <c r="W157" t="s">
        <v>32</v>
      </c>
      <c r="X157" t="s">
        <v>1773</v>
      </c>
      <c r="Y157" t="s">
        <v>622</v>
      </c>
      <c r="Z157" t="s">
        <v>28</v>
      </c>
      <c r="AA157" t="s">
        <v>32</v>
      </c>
      <c r="AB157" t="s">
        <v>1755</v>
      </c>
      <c r="AC157" t="s">
        <v>32</v>
      </c>
      <c r="AD157" t="s">
        <v>32</v>
      </c>
      <c r="AE157" t="s">
        <v>24</v>
      </c>
      <c r="AF157" t="s">
        <v>24</v>
      </c>
      <c r="AG157" t="s">
        <v>622</v>
      </c>
      <c r="AH157" t="s">
        <v>28</v>
      </c>
      <c r="AI157" t="s">
        <v>1755</v>
      </c>
      <c r="AJ157" t="s">
        <v>1755</v>
      </c>
    </row>
    <row r="158" spans="1:36" x14ac:dyDescent="0.25">
      <c r="A158" t="s">
        <v>1225</v>
      </c>
      <c r="B158" t="s">
        <v>1755</v>
      </c>
      <c r="C158" t="str">
        <f>CONCATENATE(Export_Documentation_Database[[#This Row],[Exp. '#]],"-",Export_Documentation_Database[[#This Row],[Batch '#]])</f>
        <v>25-039--</v>
      </c>
      <c r="D158" t="s">
        <v>1180</v>
      </c>
      <c r="E158" t="s">
        <v>157</v>
      </c>
      <c r="F158" t="s">
        <v>1170</v>
      </c>
      <c r="G158" t="s">
        <v>189</v>
      </c>
      <c r="I158" s="19">
        <v>46189</v>
      </c>
      <c r="J158" s="19">
        <v>46202</v>
      </c>
      <c r="K158" s="19">
        <v>46209</v>
      </c>
      <c r="L158" t="s">
        <v>43</v>
      </c>
      <c r="M158" t="s">
        <v>277</v>
      </c>
      <c r="N158" t="s">
        <v>133</v>
      </c>
      <c r="O158" t="s">
        <v>24</v>
      </c>
      <c r="P158" t="s">
        <v>24</v>
      </c>
      <c r="Q158" t="s">
        <v>24</v>
      </c>
      <c r="R158" t="s">
        <v>1799</v>
      </c>
      <c r="S158" t="s">
        <v>24</v>
      </c>
      <c r="T158" t="s">
        <v>24</v>
      </c>
      <c r="U158" t="s">
        <v>1756</v>
      </c>
      <c r="V158" t="s">
        <v>32</v>
      </c>
      <c r="W158" t="s">
        <v>32</v>
      </c>
      <c r="X158" t="s">
        <v>1773</v>
      </c>
      <c r="Y158" t="s">
        <v>429</v>
      </c>
      <c r="Z158" t="s">
        <v>28</v>
      </c>
      <c r="AA158" t="s">
        <v>32</v>
      </c>
      <c r="AB158" t="s">
        <v>1755</v>
      </c>
      <c r="AC158" t="s">
        <v>32</v>
      </c>
      <c r="AD158" t="s">
        <v>32</v>
      </c>
      <c r="AE158" t="s">
        <v>24</v>
      </c>
      <c r="AF158" t="s">
        <v>24</v>
      </c>
      <c r="AG158" t="s">
        <v>429</v>
      </c>
      <c r="AH158" t="s">
        <v>28</v>
      </c>
      <c r="AI158" t="s">
        <v>1755</v>
      </c>
      <c r="AJ158" t="s">
        <v>1755</v>
      </c>
    </row>
    <row r="159" spans="1:36" x14ac:dyDescent="0.25">
      <c r="A159" t="s">
        <v>938</v>
      </c>
      <c r="B159" t="s">
        <v>1755</v>
      </c>
      <c r="C159" t="str">
        <f>CONCATENATE(Export_Documentation_Database[[#This Row],[Exp. '#]],"-",Export_Documentation_Database[[#This Row],[Batch '#]])</f>
        <v>2396th--</v>
      </c>
      <c r="D159" t="s">
        <v>311</v>
      </c>
      <c r="E159" t="s">
        <v>125</v>
      </c>
      <c r="F159" t="s">
        <v>880</v>
      </c>
      <c r="G159" t="s">
        <v>189</v>
      </c>
      <c r="I159" s="19">
        <v>46188</v>
      </c>
      <c r="J159" s="19">
        <v>46205</v>
      </c>
      <c r="K159" s="19">
        <v>46210</v>
      </c>
      <c r="L159" t="s">
        <v>43</v>
      </c>
      <c r="M159" t="s">
        <v>277</v>
      </c>
      <c r="N159" t="s">
        <v>133</v>
      </c>
      <c r="O159" t="s">
        <v>28</v>
      </c>
      <c r="P159" t="s">
        <v>28</v>
      </c>
      <c r="Q159" t="s">
        <v>24</v>
      </c>
      <c r="R159" t="s">
        <v>32</v>
      </c>
      <c r="S159" t="s">
        <v>28</v>
      </c>
      <c r="T159" t="s">
        <v>28</v>
      </c>
      <c r="U159" t="s">
        <v>1764</v>
      </c>
      <c r="V159" t="s">
        <v>32</v>
      </c>
      <c r="W159" t="s">
        <v>32</v>
      </c>
      <c r="X159" t="s">
        <v>1773</v>
      </c>
      <c r="Y159" t="s">
        <v>32</v>
      </c>
      <c r="Z159" t="s">
        <v>32</v>
      </c>
      <c r="AA159" t="s">
        <v>32</v>
      </c>
      <c r="AB159" t="s">
        <v>1755</v>
      </c>
      <c r="AC159" t="s">
        <v>32</v>
      </c>
      <c r="AD159" t="s">
        <v>32</v>
      </c>
      <c r="AE159" t="s">
        <v>24</v>
      </c>
      <c r="AF159" t="s">
        <v>28</v>
      </c>
      <c r="AG159" t="s">
        <v>32</v>
      </c>
      <c r="AH159" t="s">
        <v>32</v>
      </c>
      <c r="AI159" t="s">
        <v>1755</v>
      </c>
      <c r="AJ159" t="s">
        <v>1755</v>
      </c>
    </row>
    <row r="160" spans="1:36" x14ac:dyDescent="0.25">
      <c r="A160" t="s">
        <v>967</v>
      </c>
      <c r="B160" t="s">
        <v>1755</v>
      </c>
      <c r="C160" t="str">
        <f>CONCATENATE(Export_Documentation_Database[[#This Row],[Exp. '#]],"-",Export_Documentation_Database[[#This Row],[Batch '#]])</f>
        <v>2403rd--</v>
      </c>
      <c r="D160" t="s">
        <v>1026</v>
      </c>
      <c r="E160" t="s">
        <v>181</v>
      </c>
      <c r="F160" t="s">
        <v>880</v>
      </c>
      <c r="G160" t="s">
        <v>189</v>
      </c>
      <c r="I160" s="19">
        <v>46204</v>
      </c>
      <c r="J160" s="19">
        <v>46206</v>
      </c>
      <c r="K160" s="19">
        <v>46212</v>
      </c>
      <c r="L160" t="s">
        <v>43</v>
      </c>
      <c r="M160" t="s">
        <v>277</v>
      </c>
      <c r="N160" t="s">
        <v>133</v>
      </c>
      <c r="O160" t="s">
        <v>28</v>
      </c>
      <c r="P160" t="s">
        <v>28</v>
      </c>
      <c r="Q160" t="s">
        <v>24</v>
      </c>
      <c r="R160" t="s">
        <v>32</v>
      </c>
      <c r="S160" t="s">
        <v>28</v>
      </c>
      <c r="T160" t="s">
        <v>28</v>
      </c>
      <c r="U160" t="s">
        <v>1756</v>
      </c>
      <c r="V160" t="s">
        <v>32</v>
      </c>
      <c r="W160" t="s">
        <v>32</v>
      </c>
      <c r="X160" t="s">
        <v>1765</v>
      </c>
      <c r="Y160" t="s">
        <v>32</v>
      </c>
      <c r="Z160" t="s">
        <v>32</v>
      </c>
      <c r="AA160" t="s">
        <v>32</v>
      </c>
      <c r="AB160" t="s">
        <v>32</v>
      </c>
      <c r="AC160" t="s">
        <v>32</v>
      </c>
      <c r="AD160" t="s">
        <v>32</v>
      </c>
      <c r="AE160" t="s">
        <v>24</v>
      </c>
      <c r="AF160" t="s">
        <v>28</v>
      </c>
      <c r="AG160" t="s">
        <v>32</v>
      </c>
      <c r="AH160" t="s">
        <v>32</v>
      </c>
      <c r="AI160" t="s">
        <v>1755</v>
      </c>
      <c r="AJ160" t="s">
        <v>28</v>
      </c>
    </row>
    <row r="161" spans="1:36" x14ac:dyDescent="0.25">
      <c r="A161" t="s">
        <v>1440</v>
      </c>
      <c r="B161" t="s">
        <v>1755</v>
      </c>
      <c r="C161" t="str">
        <f>CONCATENATE(Export_Documentation_Database[[#This Row],[Exp. '#]],"-",Export_Documentation_Database[[#This Row],[Batch '#]])</f>
        <v>MO-0150--</v>
      </c>
      <c r="D161" t="s">
        <v>1800</v>
      </c>
      <c r="E161" t="s">
        <v>157</v>
      </c>
      <c r="F161" t="s">
        <v>1170</v>
      </c>
      <c r="G161" t="s">
        <v>189</v>
      </c>
      <c r="I161" s="19">
        <v>46204</v>
      </c>
      <c r="J161" s="19">
        <v>46207</v>
      </c>
      <c r="K161" s="19">
        <v>46212</v>
      </c>
      <c r="L161" t="s">
        <v>43</v>
      </c>
      <c r="M161" t="s">
        <v>277</v>
      </c>
      <c r="N161" t="s">
        <v>1407</v>
      </c>
      <c r="O161" t="s">
        <v>28</v>
      </c>
      <c r="P161" t="s">
        <v>28</v>
      </c>
      <c r="Q161" t="s">
        <v>24</v>
      </c>
      <c r="R161" t="s">
        <v>32</v>
      </c>
      <c r="S161" t="s">
        <v>28</v>
      </c>
      <c r="T161" t="s">
        <v>28</v>
      </c>
      <c r="U161" t="s">
        <v>1756</v>
      </c>
      <c r="V161" t="s">
        <v>32</v>
      </c>
      <c r="W161" t="s">
        <v>32</v>
      </c>
      <c r="X161" t="s">
        <v>1773</v>
      </c>
      <c r="Y161" t="s">
        <v>32</v>
      </c>
      <c r="Z161" t="s">
        <v>32</v>
      </c>
      <c r="AA161" t="s">
        <v>32</v>
      </c>
      <c r="AB161" t="s">
        <v>1755</v>
      </c>
      <c r="AC161" t="s">
        <v>32</v>
      </c>
      <c r="AD161" t="s">
        <v>32</v>
      </c>
      <c r="AE161" t="s">
        <v>24</v>
      </c>
      <c r="AF161" t="s">
        <v>28</v>
      </c>
      <c r="AG161" t="s">
        <v>32</v>
      </c>
      <c r="AH161" t="s">
        <v>32</v>
      </c>
      <c r="AI161" t="s">
        <v>1755</v>
      </c>
      <c r="AJ161" t="s">
        <v>1755</v>
      </c>
    </row>
    <row r="162" spans="1:36" x14ac:dyDescent="0.25">
      <c r="A162" t="s">
        <v>1247</v>
      </c>
      <c r="B162" t="s">
        <v>1755</v>
      </c>
      <c r="C162" t="str">
        <f>CONCATENATE(Export_Documentation_Database[[#This Row],[Exp. '#]],"-",Export_Documentation_Database[[#This Row],[Batch '#]])</f>
        <v>25-043--</v>
      </c>
      <c r="D162" t="s">
        <v>1801</v>
      </c>
      <c r="E162" t="s">
        <v>157</v>
      </c>
      <c r="F162" t="s">
        <v>1802</v>
      </c>
      <c r="I162" s="19">
        <v>46175</v>
      </c>
      <c r="J162" s="19">
        <v>46206</v>
      </c>
      <c r="K162" s="19">
        <v>46211</v>
      </c>
      <c r="L162" t="s">
        <v>43</v>
      </c>
      <c r="M162" t="s">
        <v>277</v>
      </c>
      <c r="N162" t="s">
        <v>1407</v>
      </c>
      <c r="O162" t="s">
        <v>28</v>
      </c>
      <c r="P162" t="s">
        <v>28</v>
      </c>
      <c r="Q162" t="s">
        <v>24</v>
      </c>
      <c r="R162" t="s">
        <v>32</v>
      </c>
      <c r="S162" t="s">
        <v>28</v>
      </c>
      <c r="T162" t="s">
        <v>28</v>
      </c>
      <c r="U162" t="s">
        <v>1756</v>
      </c>
      <c r="V162" t="s">
        <v>32</v>
      </c>
      <c r="W162" t="s">
        <v>32</v>
      </c>
      <c r="X162" t="s">
        <v>1773</v>
      </c>
      <c r="Y162" t="s">
        <v>32</v>
      </c>
      <c r="Z162" t="s">
        <v>32</v>
      </c>
      <c r="AA162" t="s">
        <v>32</v>
      </c>
      <c r="AB162" t="s">
        <v>1755</v>
      </c>
      <c r="AC162" t="s">
        <v>32</v>
      </c>
      <c r="AD162" t="s">
        <v>32</v>
      </c>
      <c r="AE162" t="s">
        <v>24</v>
      </c>
      <c r="AF162" t="s">
        <v>28</v>
      </c>
      <c r="AG162" t="s">
        <v>32</v>
      </c>
      <c r="AH162" t="s">
        <v>32</v>
      </c>
      <c r="AI162" t="s">
        <v>1755</v>
      </c>
      <c r="AJ162" t="s">
        <v>1755</v>
      </c>
    </row>
    <row r="163" spans="1:36" x14ac:dyDescent="0.25">
      <c r="A163" t="s">
        <v>804</v>
      </c>
      <c r="B163" t="s">
        <v>1755</v>
      </c>
      <c r="C163" t="str">
        <f>CONCATENATE(Export_Documentation_Database[[#This Row],[Exp. '#]],"-",Export_Documentation_Database[[#This Row],[Batch '#]])</f>
        <v>2366th--</v>
      </c>
      <c r="D163" t="s">
        <v>590</v>
      </c>
      <c r="E163" t="s">
        <v>157</v>
      </c>
      <c r="F163" t="s">
        <v>182</v>
      </c>
      <c r="G163" t="s">
        <v>705</v>
      </c>
      <c r="H163">
        <v>2</v>
      </c>
      <c r="I163" s="19">
        <v>46136</v>
      </c>
      <c r="J163" s="19">
        <v>46220</v>
      </c>
      <c r="K163" s="19">
        <v>46222</v>
      </c>
      <c r="L163" t="s">
        <v>43</v>
      </c>
      <c r="M163" t="s">
        <v>277</v>
      </c>
      <c r="N163" t="s">
        <v>133</v>
      </c>
      <c r="O163" t="s">
        <v>28</v>
      </c>
      <c r="P163" t="s">
        <v>28</v>
      </c>
      <c r="Q163" t="s">
        <v>24</v>
      </c>
      <c r="R163" t="s">
        <v>24</v>
      </c>
      <c r="S163" t="s">
        <v>28</v>
      </c>
      <c r="T163" t="s">
        <v>28</v>
      </c>
      <c r="U163" t="s">
        <v>1764</v>
      </c>
      <c r="V163" t="s">
        <v>32</v>
      </c>
      <c r="W163" t="s">
        <v>32</v>
      </c>
      <c r="X163" t="s">
        <v>1757</v>
      </c>
      <c r="Y163" t="s">
        <v>32</v>
      </c>
      <c r="Z163" t="s">
        <v>32</v>
      </c>
      <c r="AA163" t="s">
        <v>32</v>
      </c>
      <c r="AB163" t="s">
        <v>1755</v>
      </c>
      <c r="AC163" t="s">
        <v>32</v>
      </c>
      <c r="AD163" t="s">
        <v>32</v>
      </c>
      <c r="AE163" t="s">
        <v>24</v>
      </c>
      <c r="AF163" t="s">
        <v>28</v>
      </c>
      <c r="AG163" t="s">
        <v>32</v>
      </c>
      <c r="AH163" t="s">
        <v>32</v>
      </c>
      <c r="AI163" t="s">
        <v>1755</v>
      </c>
      <c r="AJ163" t="s">
        <v>1755</v>
      </c>
    </row>
    <row r="164" spans="1:36" x14ac:dyDescent="0.25">
      <c r="A164" t="s">
        <v>858</v>
      </c>
      <c r="B164" t="s">
        <v>1755</v>
      </c>
      <c r="C164" t="str">
        <f>CONCATENATE(Export_Documentation_Database[[#This Row],[Exp. '#]],"-",Export_Documentation_Database[[#This Row],[Batch '#]])</f>
        <v>2378th--</v>
      </c>
      <c r="D164" t="s">
        <v>48</v>
      </c>
      <c r="E164" t="s">
        <v>157</v>
      </c>
      <c r="F164" t="s">
        <v>880</v>
      </c>
      <c r="G164" t="s">
        <v>189</v>
      </c>
      <c r="I164" s="19">
        <v>46161</v>
      </c>
      <c r="L164" t="s">
        <v>22</v>
      </c>
      <c r="M164" t="s">
        <v>132</v>
      </c>
      <c r="N164" t="s">
        <v>133</v>
      </c>
      <c r="O164" t="s">
        <v>28</v>
      </c>
      <c r="P164" t="s">
        <v>28</v>
      </c>
      <c r="Q164" t="s">
        <v>24</v>
      </c>
      <c r="R164" t="s">
        <v>32</v>
      </c>
      <c r="S164" t="s">
        <v>28</v>
      </c>
      <c r="T164" t="s">
        <v>28</v>
      </c>
      <c r="U164" t="s">
        <v>1756</v>
      </c>
      <c r="V164" t="s">
        <v>32</v>
      </c>
      <c r="W164" t="s">
        <v>32</v>
      </c>
      <c r="X164" t="s">
        <v>1773</v>
      </c>
      <c r="Y164" t="s">
        <v>32</v>
      </c>
      <c r="Z164" t="s">
        <v>32</v>
      </c>
      <c r="AA164" t="s">
        <v>32</v>
      </c>
      <c r="AB164" t="s">
        <v>1755</v>
      </c>
      <c r="AC164" t="s">
        <v>32</v>
      </c>
      <c r="AD164" t="s">
        <v>32</v>
      </c>
      <c r="AE164" t="s">
        <v>24</v>
      </c>
      <c r="AF164" t="s">
        <v>28</v>
      </c>
      <c r="AG164" t="s">
        <v>32</v>
      </c>
      <c r="AH164" t="s">
        <v>32</v>
      </c>
      <c r="AI164" t="s">
        <v>1755</v>
      </c>
      <c r="AJ164" t="s">
        <v>1755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B7F6-0BBA-4189-BC9B-6C79D8594FD6}">
  <sheetPr codeName="Sheet6"/>
  <dimension ref="A1:BI166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8.42578125" bestFit="1" customWidth="1"/>
    <col min="2" max="2" width="19.140625" bestFit="1" customWidth="1"/>
    <col min="3" max="3" width="15.7109375" bestFit="1" customWidth="1"/>
    <col min="4" max="4" width="26.42578125" bestFit="1" customWidth="1"/>
    <col min="5" max="5" width="20.7109375" bestFit="1" customWidth="1"/>
    <col min="6" max="6" width="21.7109375" bestFit="1" customWidth="1"/>
    <col min="7" max="7" width="19.140625" bestFit="1" customWidth="1"/>
    <col min="8" max="8" width="8.140625" bestFit="1" customWidth="1"/>
    <col min="9" max="9" width="22.42578125" bestFit="1" customWidth="1"/>
    <col min="10" max="10" width="24.5703125" bestFit="1" customWidth="1"/>
    <col min="11" max="11" width="14.5703125" customWidth="1"/>
    <col min="12" max="13" width="80.7109375" bestFit="1" customWidth="1"/>
    <col min="14" max="14" width="19.5703125" bestFit="1" customWidth="1"/>
    <col min="15" max="15" width="9.7109375" bestFit="1" customWidth="1"/>
    <col min="16" max="17" width="13.85546875" bestFit="1" customWidth="1"/>
    <col min="18" max="18" width="14" bestFit="1" customWidth="1"/>
    <col min="19" max="19" width="14.42578125" bestFit="1" customWidth="1"/>
    <col min="20" max="20" width="18.42578125" bestFit="1" customWidth="1"/>
    <col min="21" max="21" width="20.7109375" bestFit="1" customWidth="1"/>
    <col min="22" max="22" width="25.7109375" bestFit="1" customWidth="1"/>
    <col min="23" max="23" width="26.28515625" bestFit="1" customWidth="1"/>
    <col min="24" max="24" width="25.42578125" bestFit="1" customWidth="1"/>
    <col min="25" max="25" width="29.140625" bestFit="1" customWidth="1"/>
    <col min="26" max="26" width="25.7109375" bestFit="1" customWidth="1"/>
    <col min="27" max="27" width="26.28515625" bestFit="1" customWidth="1"/>
    <col min="28" max="28" width="25.42578125" bestFit="1" customWidth="1"/>
    <col min="29" max="29" width="29.140625" bestFit="1" customWidth="1"/>
    <col min="30" max="31" width="8.140625" bestFit="1" customWidth="1"/>
    <col min="32" max="32" width="17.42578125" bestFit="1" customWidth="1"/>
    <col min="33" max="33" width="14.28515625" bestFit="1" customWidth="1"/>
    <col min="34" max="34" width="14.42578125" bestFit="1" customWidth="1"/>
    <col min="35" max="35" width="15.28515625" bestFit="1" customWidth="1"/>
    <col min="36" max="36" width="17.85546875" bestFit="1" customWidth="1"/>
    <col min="37" max="37" width="19.5703125" bestFit="1" customWidth="1"/>
    <col min="38" max="38" width="15.7109375" bestFit="1" customWidth="1"/>
    <col min="39" max="39" width="16.5703125" bestFit="1" customWidth="1"/>
    <col min="40" max="40" width="19.140625" bestFit="1" customWidth="1"/>
    <col min="41" max="41" width="19.42578125" bestFit="1" customWidth="1"/>
    <col min="42" max="42" width="13.5703125" bestFit="1" customWidth="1"/>
    <col min="43" max="43" width="14.42578125" bestFit="1" customWidth="1"/>
    <col min="44" max="44" width="40.85546875" bestFit="1" customWidth="1"/>
    <col min="45" max="45" width="19.5703125" bestFit="1" customWidth="1"/>
    <col min="46" max="46" width="26.140625" bestFit="1" customWidth="1"/>
    <col min="47" max="47" width="15.85546875" bestFit="1" customWidth="1"/>
    <col min="48" max="48" width="13.42578125" bestFit="1" customWidth="1"/>
    <col min="49" max="49" width="14.7109375" bestFit="1" customWidth="1"/>
    <col min="50" max="50" width="11.5703125" bestFit="1" customWidth="1"/>
    <col min="51" max="51" width="12.5703125" bestFit="1" customWidth="1"/>
    <col min="52" max="52" width="14" bestFit="1" customWidth="1"/>
    <col min="53" max="53" width="15.42578125" bestFit="1" customWidth="1"/>
    <col min="54" max="54" width="13.5703125" bestFit="1" customWidth="1"/>
    <col min="55" max="56" width="11.28515625" bestFit="1" customWidth="1"/>
    <col min="57" max="57" width="12.140625" bestFit="1" customWidth="1"/>
    <col min="58" max="58" width="19" bestFit="1" customWidth="1"/>
    <col min="59" max="59" width="16.5703125" bestFit="1" customWidth="1"/>
    <col min="60" max="60" width="18.7109375" bestFit="1" customWidth="1"/>
    <col min="61" max="61" width="12.5703125" bestFit="1" customWidth="1"/>
  </cols>
  <sheetData>
    <row r="1" spans="1:61" x14ac:dyDescent="0.25">
      <c r="A1" s="6" t="s">
        <v>83</v>
      </c>
      <c r="B1" s="6" t="s">
        <v>1821</v>
      </c>
      <c r="C1" s="6" t="s">
        <v>1748</v>
      </c>
      <c r="D1" s="6" t="s">
        <v>55</v>
      </c>
      <c r="E1" s="6" t="s">
        <v>67</v>
      </c>
      <c r="F1" s="6" t="s">
        <v>1565</v>
      </c>
      <c r="G1" s="6" t="s">
        <v>1644</v>
      </c>
      <c r="H1" s="6" t="s">
        <v>1764</v>
      </c>
      <c r="I1" s="6" t="s">
        <v>52</v>
      </c>
      <c r="J1" s="7" t="s">
        <v>6015</v>
      </c>
      <c r="K1" s="7" t="s">
        <v>7056</v>
      </c>
      <c r="L1" s="6" t="s">
        <v>57</v>
      </c>
      <c r="M1" s="6" t="s">
        <v>56</v>
      </c>
      <c r="N1" s="6" t="s">
        <v>62</v>
      </c>
      <c r="O1" s="6" t="s">
        <v>1634</v>
      </c>
      <c r="P1" s="6" t="s">
        <v>6016</v>
      </c>
      <c r="Q1" s="6" t="s">
        <v>6017</v>
      </c>
      <c r="R1" s="6" t="s">
        <v>6018</v>
      </c>
      <c r="S1" s="6" t="s">
        <v>1668</v>
      </c>
      <c r="T1" s="6" t="s">
        <v>1670</v>
      </c>
      <c r="U1" s="6" t="s">
        <v>78</v>
      </c>
      <c r="V1" s="6" t="s">
        <v>6019</v>
      </c>
      <c r="W1" s="6" t="s">
        <v>6020</v>
      </c>
      <c r="X1" s="6" t="s">
        <v>6021</v>
      </c>
      <c r="Y1" s="6" t="s">
        <v>6022</v>
      </c>
      <c r="Z1" s="6" t="s">
        <v>6023</v>
      </c>
      <c r="AA1" s="6" t="s">
        <v>6024</v>
      </c>
      <c r="AB1" s="6" t="s">
        <v>6025</v>
      </c>
      <c r="AC1" s="6" t="s">
        <v>6026</v>
      </c>
      <c r="AD1" s="6" t="s">
        <v>189</v>
      </c>
      <c r="AE1" s="6" t="s">
        <v>6027</v>
      </c>
      <c r="AF1" s="6" t="s">
        <v>6028</v>
      </c>
      <c r="AG1" s="6" t="s">
        <v>6029</v>
      </c>
      <c r="AH1" s="6" t="s">
        <v>6030</v>
      </c>
      <c r="AI1" s="6" t="s">
        <v>79</v>
      </c>
      <c r="AJ1" s="6" t="s">
        <v>6031</v>
      </c>
      <c r="AK1" s="6" t="s">
        <v>1673</v>
      </c>
      <c r="AL1" s="6" t="s">
        <v>81</v>
      </c>
      <c r="AM1" s="6" t="s">
        <v>6032</v>
      </c>
      <c r="AN1" s="6" t="s">
        <v>6033</v>
      </c>
      <c r="AO1" s="6" t="s">
        <v>6034</v>
      </c>
      <c r="AP1" s="6" t="s">
        <v>6035</v>
      </c>
      <c r="AQ1" s="6" t="s">
        <v>6036</v>
      </c>
      <c r="AR1" s="6" t="s">
        <v>1676</v>
      </c>
      <c r="AS1" s="6" t="s">
        <v>6037</v>
      </c>
      <c r="AT1" s="6" t="s">
        <v>6038</v>
      </c>
      <c r="AU1" s="6" t="s">
        <v>6039</v>
      </c>
      <c r="AV1" s="6" t="s">
        <v>6040</v>
      </c>
      <c r="AW1" s="6" t="s">
        <v>6041</v>
      </c>
      <c r="AX1" s="6" t="s">
        <v>6042</v>
      </c>
      <c r="AY1" s="6" t="s">
        <v>6043</v>
      </c>
      <c r="AZ1" s="6" t="s">
        <v>6044</v>
      </c>
      <c r="BA1" t="s">
        <v>6045</v>
      </c>
      <c r="BB1" t="s">
        <v>6046</v>
      </c>
      <c r="BC1" t="s">
        <v>6047</v>
      </c>
      <c r="BD1" t="s">
        <v>6048</v>
      </c>
      <c r="BE1" t="s">
        <v>6049</v>
      </c>
      <c r="BF1" t="s">
        <v>84</v>
      </c>
      <c r="BG1" t="s">
        <v>6050</v>
      </c>
      <c r="BH1" t="s">
        <v>6051</v>
      </c>
      <c r="BI1" t="s">
        <v>6052</v>
      </c>
    </row>
    <row r="2" spans="1:61" x14ac:dyDescent="0.25">
      <c r="A2" t="s">
        <v>1268</v>
      </c>
      <c r="B2" t="s">
        <v>33</v>
      </c>
      <c r="C2" t="s">
        <v>1771</v>
      </c>
      <c r="D2" t="s">
        <v>4290</v>
      </c>
      <c r="I2" t="s">
        <v>804</v>
      </c>
      <c r="J2" t="s">
        <v>1755</v>
      </c>
      <c r="K2" t="str">
        <f>CONCATENATE(Shipment_Master_Database[[#This Row],[Exp '#]],"-",Shipment_Master_Database[[#This Row],[B. '#]])</f>
        <v>2366th--</v>
      </c>
      <c r="L2" t="s">
        <v>806</v>
      </c>
      <c r="M2" t="s">
        <v>805</v>
      </c>
      <c r="N2" t="s">
        <v>32</v>
      </c>
      <c r="O2">
        <v>2</v>
      </c>
      <c r="P2">
        <v>35830</v>
      </c>
      <c r="Q2">
        <v>36790</v>
      </c>
      <c r="AF2" s="19">
        <v>46139</v>
      </c>
      <c r="AL2">
        <v>0</v>
      </c>
      <c r="AM2">
        <v>0</v>
      </c>
      <c r="AN2">
        <v>66</v>
      </c>
      <c r="BF2">
        <v>0</v>
      </c>
      <c r="BG2">
        <v>0</v>
      </c>
      <c r="BH2">
        <v>0</v>
      </c>
      <c r="BI2">
        <v>0</v>
      </c>
    </row>
    <row r="3" spans="1:61" x14ac:dyDescent="0.25">
      <c r="A3" t="s">
        <v>1268</v>
      </c>
      <c r="B3" t="s">
        <v>33</v>
      </c>
      <c r="C3" t="s">
        <v>1771</v>
      </c>
      <c r="D3" t="s">
        <v>48</v>
      </c>
      <c r="I3" t="s">
        <v>858</v>
      </c>
      <c r="J3" t="s">
        <v>1755</v>
      </c>
      <c r="K3" t="str">
        <f>CONCATENATE(Shipment_Master_Database[[#This Row],[Exp '#]],"-",Shipment_Master_Database[[#This Row],[B. '#]])</f>
        <v>2378th--</v>
      </c>
      <c r="L3" t="s">
        <v>6053</v>
      </c>
      <c r="M3" t="s">
        <v>859</v>
      </c>
      <c r="N3" t="s">
        <v>4915</v>
      </c>
      <c r="O3">
        <v>1</v>
      </c>
      <c r="P3">
        <v>2528</v>
      </c>
      <c r="Q3">
        <v>2815</v>
      </c>
      <c r="AF3" s="19">
        <v>46164</v>
      </c>
      <c r="AL3">
        <v>0</v>
      </c>
      <c r="AM3">
        <v>0</v>
      </c>
      <c r="AN3">
        <v>41</v>
      </c>
      <c r="BF3">
        <v>0</v>
      </c>
      <c r="BG3">
        <v>0</v>
      </c>
      <c r="BH3">
        <v>0</v>
      </c>
      <c r="BI3">
        <v>0</v>
      </c>
    </row>
    <row r="4" spans="1:61" x14ac:dyDescent="0.25">
      <c r="A4" t="s">
        <v>1268</v>
      </c>
      <c r="B4" t="s">
        <v>33</v>
      </c>
      <c r="C4" t="s">
        <v>1771</v>
      </c>
      <c r="D4" t="s">
        <v>6054</v>
      </c>
      <c r="I4" t="s">
        <v>1247</v>
      </c>
      <c r="J4" t="s">
        <v>1755</v>
      </c>
      <c r="K4" t="str">
        <f>CONCATENATE(Shipment_Master_Database[[#This Row],[Exp '#]],"-",Shipment_Master_Database[[#This Row],[B. '#]])</f>
        <v>25-043--</v>
      </c>
      <c r="L4" t="s">
        <v>6055</v>
      </c>
      <c r="M4" t="s">
        <v>1248</v>
      </c>
      <c r="N4" t="s">
        <v>1147</v>
      </c>
      <c r="O4">
        <v>5</v>
      </c>
      <c r="P4">
        <v>6740</v>
      </c>
      <c r="Q4">
        <v>7565</v>
      </c>
      <c r="AF4" s="19">
        <v>46178</v>
      </c>
      <c r="AL4">
        <v>0</v>
      </c>
      <c r="AM4">
        <v>0</v>
      </c>
      <c r="AN4">
        <v>27</v>
      </c>
      <c r="BF4">
        <v>0</v>
      </c>
      <c r="BG4">
        <v>0</v>
      </c>
      <c r="BH4">
        <v>0</v>
      </c>
      <c r="BI4">
        <v>0</v>
      </c>
    </row>
    <row r="5" spans="1:61" x14ac:dyDescent="0.25">
      <c r="A5" t="s">
        <v>1268</v>
      </c>
      <c r="B5" t="s">
        <v>33</v>
      </c>
      <c r="C5" t="s">
        <v>1771</v>
      </c>
      <c r="D5" t="s">
        <v>48</v>
      </c>
      <c r="I5" t="s">
        <v>941</v>
      </c>
      <c r="J5" t="s">
        <v>1755</v>
      </c>
      <c r="K5" t="str">
        <f>CONCATENATE(Shipment_Master_Database[[#This Row],[Exp '#]],"-",Shipment_Master_Database[[#This Row],[B. '#]])</f>
        <v>2397th--</v>
      </c>
      <c r="L5" t="s">
        <v>168</v>
      </c>
      <c r="M5" t="s">
        <v>942</v>
      </c>
      <c r="N5" t="s">
        <v>945</v>
      </c>
      <c r="O5">
        <v>2</v>
      </c>
      <c r="P5">
        <v>1685</v>
      </c>
      <c r="Q5">
        <v>1945</v>
      </c>
      <c r="AF5" s="19"/>
      <c r="AL5">
        <v>0</v>
      </c>
      <c r="AM5">
        <v>0</v>
      </c>
      <c r="BF5">
        <v>0</v>
      </c>
      <c r="BG5">
        <v>0</v>
      </c>
      <c r="BH5">
        <v>0</v>
      </c>
      <c r="BI5">
        <v>0</v>
      </c>
    </row>
    <row r="6" spans="1:61" x14ac:dyDescent="0.25">
      <c r="A6" t="s">
        <v>1268</v>
      </c>
      <c r="B6" t="s">
        <v>33</v>
      </c>
      <c r="C6" t="s">
        <v>1771</v>
      </c>
      <c r="D6" t="s">
        <v>6056</v>
      </c>
      <c r="I6" t="s">
        <v>1225</v>
      </c>
      <c r="J6" t="s">
        <v>1755</v>
      </c>
      <c r="K6" t="str">
        <f>CONCATENATE(Shipment_Master_Database[[#This Row],[Exp '#]],"-",Shipment_Master_Database[[#This Row],[B. '#]])</f>
        <v>25-039--</v>
      </c>
      <c r="L6" t="s">
        <v>1227</v>
      </c>
      <c r="M6" t="s">
        <v>6057</v>
      </c>
      <c r="N6" t="s">
        <v>1147</v>
      </c>
      <c r="O6">
        <v>4</v>
      </c>
      <c r="P6">
        <v>4800</v>
      </c>
      <c r="Q6">
        <v>5160</v>
      </c>
      <c r="AF6" s="19"/>
      <c r="AL6">
        <v>0</v>
      </c>
      <c r="AM6">
        <v>0</v>
      </c>
      <c r="BF6">
        <v>0</v>
      </c>
      <c r="BG6">
        <v>0</v>
      </c>
      <c r="BH6">
        <v>0</v>
      </c>
      <c r="BI6">
        <v>0</v>
      </c>
    </row>
    <row r="7" spans="1:61" x14ac:dyDescent="0.25">
      <c r="A7" t="s">
        <v>1268</v>
      </c>
      <c r="B7" t="s">
        <v>33</v>
      </c>
      <c r="C7" t="s">
        <v>1771</v>
      </c>
      <c r="D7" t="s">
        <v>6054</v>
      </c>
      <c r="I7" t="s">
        <v>1417</v>
      </c>
      <c r="J7" t="s">
        <v>1755</v>
      </c>
      <c r="K7" t="str">
        <f>CONCATENATE(Shipment_Master_Database[[#This Row],[Exp '#]],"-",Shipment_Master_Database[[#This Row],[B. '#]])</f>
        <v>MO-0145--</v>
      </c>
      <c r="L7" t="s">
        <v>6058</v>
      </c>
      <c r="M7" t="s">
        <v>6059</v>
      </c>
      <c r="N7" t="s">
        <v>1147</v>
      </c>
      <c r="O7">
        <v>1</v>
      </c>
      <c r="P7">
        <v>955</v>
      </c>
      <c r="Q7">
        <v>1075</v>
      </c>
      <c r="AF7" s="19"/>
      <c r="AL7">
        <v>0</v>
      </c>
      <c r="AM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1268</v>
      </c>
      <c r="B8" t="s">
        <v>33</v>
      </c>
      <c r="C8" t="s">
        <v>1771</v>
      </c>
      <c r="D8" t="s">
        <v>6054</v>
      </c>
      <c r="I8" t="s">
        <v>1422</v>
      </c>
      <c r="J8" t="s">
        <v>1755</v>
      </c>
      <c r="K8" t="str">
        <f>CONCATENATE(Shipment_Master_Database[[#This Row],[Exp '#]],"-",Shipment_Master_Database[[#This Row],[B. '#]])</f>
        <v>MO-0146--</v>
      </c>
      <c r="L8" t="s">
        <v>6058</v>
      </c>
      <c r="M8" t="s">
        <v>6060</v>
      </c>
      <c r="N8" t="s">
        <v>1147</v>
      </c>
      <c r="O8">
        <v>14</v>
      </c>
      <c r="P8">
        <v>23155</v>
      </c>
      <c r="Q8">
        <v>24960</v>
      </c>
      <c r="AF8" s="19"/>
      <c r="AL8">
        <v>0</v>
      </c>
      <c r="AM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 t="s">
        <v>1268</v>
      </c>
      <c r="B9" t="s">
        <v>33</v>
      </c>
      <c r="C9" t="s">
        <v>1771</v>
      </c>
      <c r="D9" t="s">
        <v>560</v>
      </c>
      <c r="I9" t="s">
        <v>1019</v>
      </c>
      <c r="J9" t="s">
        <v>1020</v>
      </c>
      <c r="K9" t="str">
        <f>CONCATENATE(Shipment_Master_Database[[#This Row],[Exp '#]],"-",Shipment_Master_Database[[#This Row],[B. '#]])</f>
        <v>2415th-Part load with 2425</v>
      </c>
      <c r="L9" t="s">
        <v>375</v>
      </c>
      <c r="M9" t="s">
        <v>1021</v>
      </c>
      <c r="N9" t="s">
        <v>6000</v>
      </c>
      <c r="O9">
        <v>1</v>
      </c>
      <c r="P9">
        <v>2970</v>
      </c>
      <c r="Q9">
        <v>3280</v>
      </c>
      <c r="AF9" s="19"/>
      <c r="AL9">
        <v>0</v>
      </c>
      <c r="AM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 t="s">
        <v>1268</v>
      </c>
      <c r="B10" t="s">
        <v>33</v>
      </c>
      <c r="C10" t="s">
        <v>1771</v>
      </c>
      <c r="D10" t="s">
        <v>560</v>
      </c>
      <c r="I10" t="s">
        <v>1051</v>
      </c>
      <c r="J10" t="s">
        <v>6007</v>
      </c>
      <c r="K10" t="str">
        <f>CONCATENATE(Shipment_Master_Database[[#This Row],[Exp '#]],"-",Shipment_Master_Database[[#This Row],[B. '#]])</f>
        <v>2425th-1st Part load with 2415</v>
      </c>
      <c r="L10" t="s">
        <v>120</v>
      </c>
      <c r="M10" t="s">
        <v>6008</v>
      </c>
      <c r="N10" t="s">
        <v>6009</v>
      </c>
      <c r="O10">
        <v>1</v>
      </c>
      <c r="P10">
        <v>52732</v>
      </c>
      <c r="Q10">
        <v>53825</v>
      </c>
      <c r="AF10" s="19"/>
      <c r="AL10">
        <v>0</v>
      </c>
      <c r="AM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1268</v>
      </c>
      <c r="B11" t="s">
        <v>33</v>
      </c>
      <c r="C11" t="s">
        <v>1771</v>
      </c>
      <c r="D11" t="s">
        <v>311</v>
      </c>
      <c r="I11" t="s">
        <v>938</v>
      </c>
      <c r="J11" t="s">
        <v>1755</v>
      </c>
      <c r="K11" t="str">
        <f>CONCATENATE(Shipment_Master_Database[[#This Row],[Exp '#]],"-",Shipment_Master_Database[[#This Row],[B. '#]])</f>
        <v>2396th--</v>
      </c>
      <c r="L11" t="s">
        <v>168</v>
      </c>
      <c r="M11" t="s">
        <v>939</v>
      </c>
      <c r="N11" t="s">
        <v>32</v>
      </c>
      <c r="O11">
        <v>2</v>
      </c>
      <c r="P11">
        <v>3630</v>
      </c>
      <c r="Q11">
        <v>4130</v>
      </c>
      <c r="AF11" s="19"/>
      <c r="AL11">
        <v>0</v>
      </c>
      <c r="AM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6061</v>
      </c>
      <c r="B12" t="s">
        <v>6062</v>
      </c>
      <c r="C12" t="s">
        <v>1771</v>
      </c>
      <c r="D12" t="s">
        <v>720</v>
      </c>
      <c r="E12" t="s">
        <v>202</v>
      </c>
      <c r="F12" t="s">
        <v>550</v>
      </c>
      <c r="G12" t="s">
        <v>181</v>
      </c>
      <c r="H12" t="s">
        <v>6063</v>
      </c>
      <c r="I12" t="s">
        <v>1043</v>
      </c>
      <c r="J12" t="s">
        <v>1755</v>
      </c>
      <c r="K12" t="str">
        <f>CONCATENATE(Shipment_Master_Database[[#This Row],[Exp '#]],"-",Shipment_Master_Database[[#This Row],[B. '#]])</f>
        <v>2422nd--</v>
      </c>
      <c r="L12" t="s">
        <v>1045</v>
      </c>
      <c r="O12">
        <v>2</v>
      </c>
      <c r="P12">
        <v>2900</v>
      </c>
      <c r="Q12">
        <v>3200</v>
      </c>
      <c r="R12" t="s">
        <v>1795</v>
      </c>
      <c r="S12" t="s">
        <v>129</v>
      </c>
      <c r="T12" t="s">
        <v>6064</v>
      </c>
      <c r="AD12">
        <v>1</v>
      </c>
      <c r="AF12" s="19"/>
      <c r="AG12">
        <v>46192</v>
      </c>
      <c r="AH12">
        <v>46192</v>
      </c>
      <c r="AI12">
        <v>46207</v>
      </c>
      <c r="AL12">
        <v>-46207</v>
      </c>
      <c r="AM12">
        <v>0</v>
      </c>
      <c r="AO12" t="s">
        <v>1268</v>
      </c>
      <c r="AP12" t="s">
        <v>1268</v>
      </c>
      <c r="AQ12" t="s">
        <v>6061</v>
      </c>
      <c r="AR12" t="s">
        <v>6065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6061</v>
      </c>
      <c r="B13" t="s">
        <v>6062</v>
      </c>
      <c r="C13" t="s">
        <v>1771</v>
      </c>
      <c r="D13" t="s">
        <v>1090</v>
      </c>
      <c r="E13" t="s">
        <v>127</v>
      </c>
      <c r="F13" t="s">
        <v>126</v>
      </c>
      <c r="G13" t="s">
        <v>181</v>
      </c>
      <c r="H13" t="s">
        <v>6063</v>
      </c>
      <c r="I13" t="s">
        <v>1089</v>
      </c>
      <c r="J13" t="s">
        <v>1755</v>
      </c>
      <c r="K13" t="str">
        <f>CONCATENATE(Shipment_Master_Database[[#This Row],[Exp '#]],"-",Shipment_Master_Database[[#This Row],[B. '#]])</f>
        <v>2437th--</v>
      </c>
      <c r="L13" t="s">
        <v>3784</v>
      </c>
      <c r="O13">
        <v>1</v>
      </c>
      <c r="P13">
        <v>1325</v>
      </c>
      <c r="Q13">
        <v>1600</v>
      </c>
      <c r="R13" t="s">
        <v>6066</v>
      </c>
      <c r="S13" t="s">
        <v>129</v>
      </c>
      <c r="T13" t="s">
        <v>6067</v>
      </c>
      <c r="AD13">
        <v>1</v>
      </c>
      <c r="AF13" s="19"/>
      <c r="AG13">
        <v>46193</v>
      </c>
      <c r="AH13">
        <v>46193</v>
      </c>
      <c r="AI13">
        <v>46196</v>
      </c>
      <c r="AL13">
        <v>-46196</v>
      </c>
      <c r="AM13">
        <v>0</v>
      </c>
      <c r="AO13" t="s">
        <v>1268</v>
      </c>
      <c r="AP13" t="s">
        <v>1268</v>
      </c>
      <c r="AQ13" t="s">
        <v>6061</v>
      </c>
      <c r="AR13" t="s">
        <v>6068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6061</v>
      </c>
      <c r="B14" t="s">
        <v>6062</v>
      </c>
      <c r="C14" t="s">
        <v>1771</v>
      </c>
      <c r="D14" t="s">
        <v>1779</v>
      </c>
      <c r="E14" t="s">
        <v>127</v>
      </c>
      <c r="F14" t="s">
        <v>126</v>
      </c>
      <c r="G14" t="s">
        <v>125</v>
      </c>
      <c r="H14" t="s">
        <v>6069</v>
      </c>
      <c r="I14" t="s">
        <v>6070</v>
      </c>
      <c r="J14" t="s">
        <v>1755</v>
      </c>
      <c r="K14" t="str">
        <f>CONCATENATE(Shipment_Master_Database[[#This Row],[Exp '#]],"-",Shipment_Master_Database[[#This Row],[B. '#]])</f>
        <v>2359 + 2426--</v>
      </c>
      <c r="L14" t="s">
        <v>3784</v>
      </c>
      <c r="O14">
        <v>2</v>
      </c>
      <c r="P14">
        <v>744</v>
      </c>
      <c r="Q14">
        <v>980</v>
      </c>
      <c r="R14" t="s">
        <v>6066</v>
      </c>
      <c r="S14" t="s">
        <v>129</v>
      </c>
      <c r="T14" t="s">
        <v>6071</v>
      </c>
      <c r="AD14">
        <v>1</v>
      </c>
      <c r="AF14" s="19"/>
      <c r="AG14">
        <v>46197</v>
      </c>
      <c r="AH14">
        <v>46200</v>
      </c>
      <c r="AI14">
        <v>46204</v>
      </c>
      <c r="AL14">
        <v>-46204</v>
      </c>
      <c r="AM14">
        <v>0</v>
      </c>
      <c r="AO14" t="s">
        <v>1268</v>
      </c>
      <c r="AP14" t="s">
        <v>1268</v>
      </c>
      <c r="AQ14" t="s">
        <v>6061</v>
      </c>
      <c r="AR14" t="s">
        <v>6072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6061</v>
      </c>
      <c r="B15" t="s">
        <v>6062</v>
      </c>
      <c r="C15" t="s">
        <v>1771</v>
      </c>
      <c r="D15" t="s">
        <v>1180</v>
      </c>
      <c r="E15" t="s">
        <v>6073</v>
      </c>
      <c r="F15" t="s">
        <v>6074</v>
      </c>
      <c r="G15" t="s">
        <v>157</v>
      </c>
      <c r="H15" t="s">
        <v>6063</v>
      </c>
      <c r="I15" t="s">
        <v>1437</v>
      </c>
      <c r="J15" t="s">
        <v>1755</v>
      </c>
      <c r="K15" t="str">
        <f>CONCATENATE(Shipment_Master_Database[[#This Row],[Exp '#]],"-",Shipment_Master_Database[[#This Row],[B. '#]])</f>
        <v>MO-0149--</v>
      </c>
      <c r="L15" t="s">
        <v>6075</v>
      </c>
      <c r="O15">
        <v>2</v>
      </c>
      <c r="P15">
        <v>4500</v>
      </c>
      <c r="Q15">
        <v>4750</v>
      </c>
      <c r="R15" t="s">
        <v>1798</v>
      </c>
      <c r="S15" t="s">
        <v>129</v>
      </c>
      <c r="T15" t="s">
        <v>773</v>
      </c>
      <c r="U15" t="s">
        <v>6076</v>
      </c>
      <c r="V15">
        <v>1</v>
      </c>
      <c r="AF15" s="19"/>
      <c r="AG15">
        <v>46197</v>
      </c>
      <c r="AH15">
        <v>46200</v>
      </c>
      <c r="AI15">
        <v>46204</v>
      </c>
      <c r="AL15">
        <v>-46204</v>
      </c>
      <c r="AM15">
        <v>0</v>
      </c>
      <c r="AO15" t="s">
        <v>1268</v>
      </c>
      <c r="AP15" t="s">
        <v>6077</v>
      </c>
      <c r="AQ15" t="s">
        <v>6061</v>
      </c>
      <c r="AR15" t="s">
        <v>6078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6061</v>
      </c>
      <c r="B16" t="s">
        <v>6062</v>
      </c>
      <c r="C16" t="s">
        <v>1771</v>
      </c>
      <c r="D16" t="s">
        <v>1180</v>
      </c>
      <c r="E16" t="s">
        <v>6079</v>
      </c>
      <c r="F16" t="s">
        <v>6080</v>
      </c>
      <c r="G16" t="s">
        <v>157</v>
      </c>
      <c r="H16" t="s">
        <v>6063</v>
      </c>
      <c r="I16" t="s">
        <v>1225</v>
      </c>
      <c r="J16" t="s">
        <v>1755</v>
      </c>
      <c r="K16" t="str">
        <f>CONCATENATE(Shipment_Master_Database[[#This Row],[Exp '#]],"-",Shipment_Master_Database[[#This Row],[B. '#]])</f>
        <v>25-039--</v>
      </c>
      <c r="L16" t="s">
        <v>6075</v>
      </c>
      <c r="O16">
        <v>4</v>
      </c>
      <c r="P16">
        <v>4800</v>
      </c>
      <c r="Q16">
        <v>5160</v>
      </c>
      <c r="R16" t="s">
        <v>1170</v>
      </c>
      <c r="S16" t="s">
        <v>129</v>
      </c>
      <c r="AD16">
        <v>1</v>
      </c>
      <c r="AF16" s="19"/>
      <c r="AG16">
        <v>46202</v>
      </c>
      <c r="AH16">
        <v>46202</v>
      </c>
      <c r="AI16">
        <v>46207</v>
      </c>
      <c r="AL16">
        <v>-46207</v>
      </c>
      <c r="AM16">
        <v>0</v>
      </c>
      <c r="AO16" t="s">
        <v>1268</v>
      </c>
      <c r="AP16" t="s">
        <v>1268</v>
      </c>
      <c r="AQ16" t="s">
        <v>6061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 t="s">
        <v>6081</v>
      </c>
      <c r="B17" t="s">
        <v>6082</v>
      </c>
      <c r="C17" t="s">
        <v>1771</v>
      </c>
      <c r="D17" t="s">
        <v>727</v>
      </c>
      <c r="E17" t="s">
        <v>170</v>
      </c>
      <c r="F17" t="s">
        <v>169</v>
      </c>
      <c r="I17" t="s">
        <v>726</v>
      </c>
      <c r="J17" t="s">
        <v>6083</v>
      </c>
      <c r="K17" t="str">
        <f>CONCATENATE(Shipment_Master_Database[[#This Row],[Exp '#]],"-",Shipment_Master_Database[[#This Row],[B. '#]])</f>
        <v>2353rd-1st Batch</v>
      </c>
      <c r="L17" t="s">
        <v>6084</v>
      </c>
      <c r="O17">
        <v>17</v>
      </c>
      <c r="P17">
        <v>86496</v>
      </c>
      <c r="Q17">
        <v>90445</v>
      </c>
      <c r="R17" t="s">
        <v>263</v>
      </c>
      <c r="S17" t="s">
        <v>129</v>
      </c>
      <c r="T17" t="s">
        <v>171</v>
      </c>
      <c r="U17">
        <v>10836705</v>
      </c>
      <c r="W17">
        <v>1</v>
      </c>
      <c r="AB17">
        <v>2</v>
      </c>
      <c r="AF17" s="19"/>
      <c r="AG17">
        <v>46127</v>
      </c>
      <c r="AH17">
        <v>46129</v>
      </c>
      <c r="AI17">
        <v>46131</v>
      </c>
      <c r="AJ17">
        <v>46203</v>
      </c>
      <c r="AK17">
        <v>46203</v>
      </c>
      <c r="AL17">
        <v>72</v>
      </c>
      <c r="AM17">
        <v>0</v>
      </c>
      <c r="AP17" t="s">
        <v>6085</v>
      </c>
      <c r="AQ17" t="s">
        <v>6086</v>
      </c>
      <c r="AR17" t="s">
        <v>6087</v>
      </c>
      <c r="AT17" t="s">
        <v>6088</v>
      </c>
      <c r="AU17">
        <v>433912</v>
      </c>
      <c r="AV17">
        <v>586702</v>
      </c>
      <c r="AW17">
        <v>10500</v>
      </c>
      <c r="AX17">
        <v>50400</v>
      </c>
      <c r="AY17">
        <v>90445</v>
      </c>
      <c r="AZ17">
        <v>152000</v>
      </c>
      <c r="BA17">
        <v>31075</v>
      </c>
      <c r="BC17">
        <v>21527</v>
      </c>
      <c r="BD17">
        <v>172500</v>
      </c>
      <c r="BE17">
        <v>3900221</v>
      </c>
      <c r="BF17">
        <v>5449282</v>
      </c>
      <c r="BG17">
        <v>0</v>
      </c>
      <c r="BH17">
        <v>5449282</v>
      </c>
      <c r="BI17">
        <v>60.249676599038089</v>
      </c>
    </row>
    <row r="18" spans="1:61" x14ac:dyDescent="0.25">
      <c r="A18" t="s">
        <v>6081</v>
      </c>
      <c r="B18" t="s">
        <v>6082</v>
      </c>
      <c r="C18" t="s">
        <v>1760</v>
      </c>
      <c r="D18" t="s">
        <v>5882</v>
      </c>
      <c r="E18" t="s">
        <v>254</v>
      </c>
      <c r="F18" t="s">
        <v>253</v>
      </c>
      <c r="I18" t="s">
        <v>815</v>
      </c>
      <c r="J18" t="s">
        <v>1755</v>
      </c>
      <c r="K18" t="str">
        <f>CONCATENATE(Shipment_Master_Database[[#This Row],[Exp '#]],"-",Shipment_Master_Database[[#This Row],[B. '#]])</f>
        <v>2368th--</v>
      </c>
      <c r="L18" t="s">
        <v>818</v>
      </c>
      <c r="M18" t="s">
        <v>817</v>
      </c>
      <c r="N18" t="s">
        <v>5883</v>
      </c>
      <c r="O18">
        <v>5</v>
      </c>
      <c r="P18">
        <v>6865</v>
      </c>
      <c r="Q18">
        <v>8025</v>
      </c>
      <c r="R18" t="s">
        <v>638</v>
      </c>
      <c r="S18" t="s">
        <v>129</v>
      </c>
      <c r="T18" t="s">
        <v>819</v>
      </c>
      <c r="U18" t="s">
        <v>820</v>
      </c>
      <c r="V18">
        <v>1</v>
      </c>
      <c r="AF18" s="19"/>
      <c r="AG18">
        <v>46120</v>
      </c>
      <c r="AH18">
        <v>46124</v>
      </c>
      <c r="AI18">
        <v>46126</v>
      </c>
      <c r="AJ18">
        <v>46195</v>
      </c>
      <c r="AK18">
        <v>46214</v>
      </c>
      <c r="AL18">
        <v>88</v>
      </c>
      <c r="AM18">
        <v>19</v>
      </c>
      <c r="AO18" t="s">
        <v>1268</v>
      </c>
      <c r="AP18" t="s">
        <v>6089</v>
      </c>
      <c r="AQ18" t="s">
        <v>6086</v>
      </c>
      <c r="AR18" t="s">
        <v>821</v>
      </c>
      <c r="AT18" t="s">
        <v>1755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 t="s">
        <v>6081</v>
      </c>
      <c r="B19" t="s">
        <v>6082</v>
      </c>
      <c r="C19" t="s">
        <v>1760</v>
      </c>
      <c r="D19" t="s">
        <v>908</v>
      </c>
      <c r="E19" t="s">
        <v>233</v>
      </c>
      <c r="F19" t="s">
        <v>232</v>
      </c>
      <c r="I19" t="s">
        <v>531</v>
      </c>
      <c r="J19" t="s">
        <v>1755</v>
      </c>
      <c r="K19" t="str">
        <f>CONCATENATE(Shipment_Master_Database[[#This Row],[Exp '#]],"-",Shipment_Master_Database[[#This Row],[B. '#]])</f>
        <v>2314th--</v>
      </c>
      <c r="L19" t="s">
        <v>534</v>
      </c>
      <c r="M19" t="s">
        <v>533</v>
      </c>
      <c r="N19" t="s">
        <v>3372</v>
      </c>
      <c r="O19">
        <v>13</v>
      </c>
      <c r="P19">
        <v>52836</v>
      </c>
      <c r="Q19">
        <v>55990</v>
      </c>
      <c r="R19" t="s">
        <v>263</v>
      </c>
      <c r="S19" t="s">
        <v>129</v>
      </c>
      <c r="T19" t="s">
        <v>182</v>
      </c>
      <c r="U19" t="s">
        <v>535</v>
      </c>
      <c r="X19">
        <v>1</v>
      </c>
      <c r="AB19">
        <v>2</v>
      </c>
      <c r="AF19" s="19"/>
      <c r="AG19">
        <v>46128</v>
      </c>
      <c r="AH19">
        <v>46128</v>
      </c>
      <c r="AI19">
        <v>46133</v>
      </c>
      <c r="AJ19">
        <v>46194</v>
      </c>
      <c r="AK19">
        <v>46215</v>
      </c>
      <c r="AL19">
        <v>82</v>
      </c>
      <c r="AM19">
        <v>21</v>
      </c>
      <c r="AO19" t="s">
        <v>1268</v>
      </c>
      <c r="AP19" t="s">
        <v>1755</v>
      </c>
      <c r="AQ19" t="s">
        <v>6086</v>
      </c>
      <c r="AR19" t="s">
        <v>536</v>
      </c>
      <c r="AT19" t="s">
        <v>6090</v>
      </c>
      <c r="AU19">
        <v>314946</v>
      </c>
      <c r="AV19">
        <v>455000</v>
      </c>
      <c r="AW19">
        <v>10500</v>
      </c>
      <c r="AX19">
        <v>43800</v>
      </c>
      <c r="AY19">
        <v>55990</v>
      </c>
      <c r="AZ19">
        <v>97000</v>
      </c>
      <c r="BB19" t="s">
        <v>1755</v>
      </c>
      <c r="BC19">
        <v>69762</v>
      </c>
      <c r="BD19">
        <v>181520</v>
      </c>
      <c r="BE19">
        <v>6846973</v>
      </c>
      <c r="BF19">
        <v>8075491</v>
      </c>
      <c r="BG19">
        <v>0</v>
      </c>
      <c r="BH19">
        <v>8075491</v>
      </c>
      <c r="BI19">
        <v>144.23095195570639</v>
      </c>
    </row>
    <row r="20" spans="1:61" x14ac:dyDescent="0.25">
      <c r="A20" t="s">
        <v>6081</v>
      </c>
      <c r="B20" t="s">
        <v>6082</v>
      </c>
      <c r="C20" t="s">
        <v>1771</v>
      </c>
      <c r="D20" t="s">
        <v>908</v>
      </c>
      <c r="E20" t="s">
        <v>233</v>
      </c>
      <c r="F20" t="s">
        <v>232</v>
      </c>
      <c r="I20" t="s">
        <v>751</v>
      </c>
      <c r="J20" t="s">
        <v>5906</v>
      </c>
      <c r="K20" t="str">
        <f>CONCATENATE(Shipment_Master_Database[[#This Row],[Exp '#]],"-",Shipment_Master_Database[[#This Row],[B. '#]])</f>
        <v>2357th-Ship with Export # 2314</v>
      </c>
      <c r="L20" t="s">
        <v>753</v>
      </c>
      <c r="M20" t="s">
        <v>6091</v>
      </c>
      <c r="N20" t="s">
        <v>5777</v>
      </c>
      <c r="O20">
        <v>1</v>
      </c>
      <c r="P20">
        <v>2700</v>
      </c>
      <c r="Q20">
        <v>3245</v>
      </c>
      <c r="R20" t="s">
        <v>1755</v>
      </c>
      <c r="S20" t="s">
        <v>1755</v>
      </c>
      <c r="T20" t="s">
        <v>1755</v>
      </c>
      <c r="U20" t="s">
        <v>1755</v>
      </c>
      <c r="AF20" s="19"/>
      <c r="AG20">
        <v>46128</v>
      </c>
      <c r="AH20" t="s">
        <v>1755</v>
      </c>
      <c r="AI20" t="s">
        <v>1755</v>
      </c>
      <c r="AJ20" t="s">
        <v>1755</v>
      </c>
      <c r="AK20">
        <v>46215</v>
      </c>
      <c r="AL20">
        <v>0</v>
      </c>
      <c r="AM20">
        <v>0</v>
      </c>
      <c r="AO20" t="s">
        <v>1268</v>
      </c>
      <c r="AP20" t="s">
        <v>1755</v>
      </c>
      <c r="AQ20" t="s">
        <v>1755</v>
      </c>
      <c r="AR20" t="s">
        <v>1755</v>
      </c>
      <c r="AS20" t="s">
        <v>1755</v>
      </c>
      <c r="AT20" t="s">
        <v>1755</v>
      </c>
      <c r="AU20">
        <v>34475</v>
      </c>
      <c r="AV20">
        <v>150000</v>
      </c>
      <c r="AW20" t="s">
        <v>1755</v>
      </c>
      <c r="AX20" t="s">
        <v>1755</v>
      </c>
      <c r="AY20">
        <v>3245</v>
      </c>
      <c r="AZ20" t="s">
        <v>1755</v>
      </c>
      <c r="BA20" t="s">
        <v>1755</v>
      </c>
      <c r="BB20" t="s">
        <v>1755</v>
      </c>
      <c r="BC20" t="s">
        <v>1755</v>
      </c>
      <c r="BD20" t="s">
        <v>1755</v>
      </c>
      <c r="BE20" t="s">
        <v>1755</v>
      </c>
      <c r="BF20">
        <v>187720</v>
      </c>
      <c r="BG20">
        <v>0</v>
      </c>
      <c r="BH20">
        <v>187720</v>
      </c>
      <c r="BI20">
        <v>57.848998459167952</v>
      </c>
    </row>
    <row r="21" spans="1:61" x14ac:dyDescent="0.25">
      <c r="A21" t="s">
        <v>6081</v>
      </c>
      <c r="B21" t="s">
        <v>6082</v>
      </c>
      <c r="C21" t="s">
        <v>1771</v>
      </c>
      <c r="D21" t="s">
        <v>5872</v>
      </c>
      <c r="E21" t="s">
        <v>202</v>
      </c>
      <c r="F21" t="s">
        <v>341</v>
      </c>
      <c r="I21" t="s">
        <v>335</v>
      </c>
      <c r="J21" t="s">
        <v>5873</v>
      </c>
      <c r="K21" t="str">
        <f>CONCATENATE(Shipment_Master_Database[[#This Row],[Exp '#]],"-",Shipment_Master_Database[[#This Row],[B. '#]])</f>
        <v>2274th-Ship with Export # 2275</v>
      </c>
      <c r="L21" t="s">
        <v>338</v>
      </c>
      <c r="M21" t="s">
        <v>337</v>
      </c>
      <c r="N21" t="s">
        <v>5874</v>
      </c>
      <c r="O21">
        <v>1</v>
      </c>
      <c r="P21">
        <v>380</v>
      </c>
      <c r="Q21">
        <v>480</v>
      </c>
      <c r="R21" t="s">
        <v>263</v>
      </c>
      <c r="S21" t="s">
        <v>342</v>
      </c>
      <c r="T21" t="s">
        <v>182</v>
      </c>
      <c r="U21" t="s">
        <v>6092</v>
      </c>
      <c r="AA21">
        <v>1</v>
      </c>
      <c r="AF21" s="19"/>
      <c r="AG21">
        <v>46115</v>
      </c>
      <c r="AH21">
        <v>46115</v>
      </c>
      <c r="AI21">
        <v>46137</v>
      </c>
      <c r="AJ21">
        <v>46210</v>
      </c>
      <c r="AK21">
        <v>46217</v>
      </c>
      <c r="AL21">
        <v>80</v>
      </c>
      <c r="AM21">
        <v>7</v>
      </c>
      <c r="AO21" t="s">
        <v>1268</v>
      </c>
      <c r="AP21" t="s">
        <v>6061</v>
      </c>
      <c r="AQ21" t="s">
        <v>6086</v>
      </c>
      <c r="AR21" t="s">
        <v>344</v>
      </c>
      <c r="AT21">
        <v>11980</v>
      </c>
      <c r="BF21">
        <v>11980</v>
      </c>
      <c r="BG21">
        <v>11980</v>
      </c>
      <c r="BH21">
        <v>0</v>
      </c>
      <c r="BI21">
        <v>24.958333333333332</v>
      </c>
    </row>
    <row r="22" spans="1:61" x14ac:dyDescent="0.25">
      <c r="A22" t="s">
        <v>6081</v>
      </c>
      <c r="B22" t="s">
        <v>6082</v>
      </c>
      <c r="C22" t="s">
        <v>1771</v>
      </c>
      <c r="D22" t="s">
        <v>5872</v>
      </c>
      <c r="E22" t="s">
        <v>202</v>
      </c>
      <c r="F22" t="s">
        <v>341</v>
      </c>
      <c r="I22" t="s">
        <v>349</v>
      </c>
      <c r="J22" t="s">
        <v>5873</v>
      </c>
      <c r="K22" t="str">
        <f>CONCATENATE(Shipment_Master_Database[[#This Row],[Exp '#]],"-",Shipment_Master_Database[[#This Row],[B. '#]])</f>
        <v>2277th-Ship with Export # 2275</v>
      </c>
      <c r="L22" t="s">
        <v>6093</v>
      </c>
      <c r="M22" t="s">
        <v>350</v>
      </c>
      <c r="N22" t="s">
        <v>4322</v>
      </c>
      <c r="O22">
        <v>2</v>
      </c>
      <c r="P22">
        <v>930</v>
      </c>
      <c r="Q22">
        <v>1110</v>
      </c>
      <c r="R22" t="s">
        <v>348</v>
      </c>
      <c r="S22" t="s">
        <v>348</v>
      </c>
      <c r="T22" t="s">
        <v>348</v>
      </c>
      <c r="U22" t="s">
        <v>1755</v>
      </c>
      <c r="AF22" s="19"/>
      <c r="AG22">
        <v>46115</v>
      </c>
      <c r="AH22" t="s">
        <v>1755</v>
      </c>
      <c r="AI22" t="s">
        <v>1755</v>
      </c>
      <c r="AJ22" t="s">
        <v>1755</v>
      </c>
      <c r="AK22">
        <v>46217</v>
      </c>
      <c r="AL22">
        <v>0</v>
      </c>
      <c r="AM22">
        <v>0</v>
      </c>
      <c r="AO22" t="s">
        <v>1755</v>
      </c>
      <c r="AP22" t="s">
        <v>1755</v>
      </c>
      <c r="AQ22" t="s">
        <v>1755</v>
      </c>
      <c r="AR22" t="s">
        <v>1755</v>
      </c>
      <c r="AS22" t="s">
        <v>1755</v>
      </c>
      <c r="AT22" t="s">
        <v>1755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t="s">
        <v>6081</v>
      </c>
      <c r="B23" t="s">
        <v>6082</v>
      </c>
      <c r="C23" t="s">
        <v>1771</v>
      </c>
      <c r="D23" t="s">
        <v>5872</v>
      </c>
      <c r="E23" t="s">
        <v>202</v>
      </c>
      <c r="F23" t="s">
        <v>341</v>
      </c>
      <c r="I23" t="s">
        <v>412</v>
      </c>
      <c r="J23" t="s">
        <v>5873</v>
      </c>
      <c r="K23" t="str">
        <f>CONCATENATE(Shipment_Master_Database[[#This Row],[Exp '#]],"-",Shipment_Master_Database[[#This Row],[B. '#]])</f>
        <v>2289th-Ship with Export # 2275</v>
      </c>
      <c r="L23" t="s">
        <v>6094</v>
      </c>
      <c r="M23" t="s">
        <v>413</v>
      </c>
      <c r="N23" t="s">
        <v>3227</v>
      </c>
      <c r="O23">
        <v>1</v>
      </c>
      <c r="P23">
        <v>310</v>
      </c>
      <c r="Q23">
        <v>470</v>
      </c>
      <c r="R23" t="s">
        <v>348</v>
      </c>
      <c r="S23" t="s">
        <v>348</v>
      </c>
      <c r="T23" t="s">
        <v>348</v>
      </c>
      <c r="U23" t="s">
        <v>1755</v>
      </c>
      <c r="AF23" s="19"/>
      <c r="AG23">
        <v>46115</v>
      </c>
      <c r="AH23" t="s">
        <v>1755</v>
      </c>
      <c r="AI23" t="s">
        <v>1755</v>
      </c>
      <c r="AJ23" t="s">
        <v>1755</v>
      </c>
      <c r="AK23">
        <v>46217</v>
      </c>
      <c r="AL23">
        <v>0</v>
      </c>
      <c r="AM23">
        <v>0</v>
      </c>
      <c r="AO23" t="s">
        <v>1755</v>
      </c>
      <c r="AP23" t="s">
        <v>1755</v>
      </c>
      <c r="AQ23" t="s">
        <v>1755</v>
      </c>
      <c r="AR23" t="s">
        <v>1755</v>
      </c>
      <c r="AS23" t="s">
        <v>1755</v>
      </c>
      <c r="AT23" t="s">
        <v>1755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6081</v>
      </c>
      <c r="B24" t="s">
        <v>6082</v>
      </c>
      <c r="C24" t="s">
        <v>1771</v>
      </c>
      <c r="D24" t="s">
        <v>5872</v>
      </c>
      <c r="E24" t="s">
        <v>202</v>
      </c>
      <c r="F24" t="s">
        <v>341</v>
      </c>
      <c r="I24" t="s">
        <v>345</v>
      </c>
      <c r="J24" t="s">
        <v>1755</v>
      </c>
      <c r="K24" t="str">
        <f>CONCATENATE(Shipment_Master_Database[[#This Row],[Exp '#]],"-",Shipment_Master_Database[[#This Row],[B. '#]])</f>
        <v>2275th--</v>
      </c>
      <c r="L24" t="s">
        <v>347</v>
      </c>
      <c r="M24" t="s">
        <v>346</v>
      </c>
      <c r="N24" t="s">
        <v>5878</v>
      </c>
      <c r="O24">
        <v>12</v>
      </c>
      <c r="P24">
        <v>25995</v>
      </c>
      <c r="Q24">
        <v>29830</v>
      </c>
      <c r="R24" t="s">
        <v>348</v>
      </c>
      <c r="S24" t="s">
        <v>348</v>
      </c>
      <c r="T24" t="s">
        <v>348</v>
      </c>
      <c r="U24" t="s">
        <v>1755</v>
      </c>
      <c r="AF24" s="19"/>
      <c r="AG24">
        <v>46115</v>
      </c>
      <c r="AH24" t="s">
        <v>1755</v>
      </c>
      <c r="AI24" t="s">
        <v>1755</v>
      </c>
      <c r="AJ24" t="s">
        <v>1755</v>
      </c>
      <c r="AK24">
        <v>46217</v>
      </c>
      <c r="AL24">
        <v>0</v>
      </c>
      <c r="AM24">
        <v>0</v>
      </c>
      <c r="AO24" t="s">
        <v>1755</v>
      </c>
      <c r="AP24" t="s">
        <v>1755</v>
      </c>
      <c r="AQ24" t="s">
        <v>1755</v>
      </c>
      <c r="AR24" t="s">
        <v>1755</v>
      </c>
      <c r="AS24" t="s">
        <v>1755</v>
      </c>
      <c r="AT24" t="s">
        <v>1755</v>
      </c>
      <c r="BC24">
        <v>79235</v>
      </c>
      <c r="BF24">
        <v>79235</v>
      </c>
      <c r="BG24">
        <v>0</v>
      </c>
      <c r="BH24">
        <v>79235</v>
      </c>
      <c r="BI24">
        <v>2.6562185719074756</v>
      </c>
    </row>
    <row r="25" spans="1:61" x14ac:dyDescent="0.25">
      <c r="A25" t="s">
        <v>6081</v>
      </c>
      <c r="B25" t="s">
        <v>6082</v>
      </c>
      <c r="C25" t="s">
        <v>1771</v>
      </c>
      <c r="D25" t="s">
        <v>731</v>
      </c>
      <c r="E25" t="s">
        <v>170</v>
      </c>
      <c r="F25" t="s">
        <v>169</v>
      </c>
      <c r="I25" t="s">
        <v>730</v>
      </c>
      <c r="J25" t="s">
        <v>1755</v>
      </c>
      <c r="K25" t="str">
        <f>CONCATENATE(Shipment_Master_Database[[#This Row],[Exp '#]],"-",Shipment_Master_Database[[#This Row],[B. '#]])</f>
        <v>2354th--</v>
      </c>
      <c r="L25" t="s">
        <v>213</v>
      </c>
      <c r="O25">
        <v>22</v>
      </c>
      <c r="P25">
        <v>90314</v>
      </c>
      <c r="Q25">
        <v>95675</v>
      </c>
      <c r="R25" t="s">
        <v>6095</v>
      </c>
      <c r="S25" t="s">
        <v>129</v>
      </c>
      <c r="T25" t="s">
        <v>171</v>
      </c>
      <c r="U25">
        <v>28250923</v>
      </c>
      <c r="AB25">
        <v>3</v>
      </c>
      <c r="AF25" s="19"/>
      <c r="AG25">
        <v>46142</v>
      </c>
      <c r="AH25">
        <v>46142</v>
      </c>
      <c r="AI25">
        <v>46145</v>
      </c>
      <c r="AJ25">
        <v>46217</v>
      </c>
      <c r="AK25">
        <v>46217</v>
      </c>
      <c r="AL25">
        <v>72</v>
      </c>
      <c r="AM25">
        <v>0</v>
      </c>
      <c r="AO25" t="s">
        <v>1268</v>
      </c>
      <c r="AP25" t="s">
        <v>6096</v>
      </c>
      <c r="AQ25" t="s">
        <v>6061</v>
      </c>
      <c r="AR25" t="s">
        <v>563</v>
      </c>
      <c r="AT25" t="s">
        <v>1755</v>
      </c>
      <c r="AU25">
        <v>762688</v>
      </c>
      <c r="AV25">
        <v>426327</v>
      </c>
      <c r="AW25">
        <v>10500</v>
      </c>
      <c r="AX25">
        <v>58500</v>
      </c>
      <c r="AY25">
        <v>95675</v>
      </c>
      <c r="AZ25">
        <v>96000</v>
      </c>
      <c r="BA25">
        <v>32475</v>
      </c>
      <c r="BD25">
        <v>128887</v>
      </c>
      <c r="BE25">
        <v>3926228</v>
      </c>
      <c r="BF25">
        <v>5537280</v>
      </c>
      <c r="BG25">
        <v>0</v>
      </c>
      <c r="BH25">
        <v>5537280</v>
      </c>
      <c r="BI25">
        <v>57.875934152077342</v>
      </c>
    </row>
    <row r="26" spans="1:61" x14ac:dyDescent="0.25">
      <c r="A26" t="s">
        <v>6081</v>
      </c>
      <c r="B26" t="s">
        <v>6082</v>
      </c>
      <c r="C26" t="s">
        <v>1771</v>
      </c>
      <c r="D26" t="s">
        <v>38</v>
      </c>
      <c r="E26" t="s">
        <v>441</v>
      </c>
      <c r="F26" t="s">
        <v>440</v>
      </c>
      <c r="I26" t="s">
        <v>892</v>
      </c>
      <c r="J26" t="s">
        <v>1755</v>
      </c>
      <c r="K26" t="str">
        <f>CONCATENATE(Shipment_Master_Database[[#This Row],[Exp '#]],"-",Shipment_Master_Database[[#This Row],[B. '#]])</f>
        <v>2385th--</v>
      </c>
      <c r="L26" t="s">
        <v>894</v>
      </c>
      <c r="M26" t="s">
        <v>893</v>
      </c>
      <c r="N26" t="s">
        <v>3335</v>
      </c>
      <c r="O26">
        <v>1</v>
      </c>
      <c r="P26">
        <v>1270</v>
      </c>
      <c r="Q26">
        <v>1430</v>
      </c>
      <c r="R26" t="s">
        <v>128</v>
      </c>
      <c r="S26" t="s">
        <v>129</v>
      </c>
      <c r="T26" t="s">
        <v>773</v>
      </c>
      <c r="U26" t="s">
        <v>6097</v>
      </c>
      <c r="V26">
        <v>1</v>
      </c>
      <c r="AF26" s="19"/>
      <c r="AG26">
        <v>46191</v>
      </c>
      <c r="AH26">
        <v>46192</v>
      </c>
      <c r="AI26">
        <v>46196</v>
      </c>
      <c r="AJ26">
        <v>46219</v>
      </c>
      <c r="AK26">
        <v>46220</v>
      </c>
      <c r="AL26">
        <v>24</v>
      </c>
      <c r="AM26">
        <v>1</v>
      </c>
      <c r="AO26" t="s">
        <v>1268</v>
      </c>
      <c r="AP26" t="s">
        <v>1268</v>
      </c>
      <c r="AQ26" t="s">
        <v>6086</v>
      </c>
      <c r="AR26" t="s">
        <v>6098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 t="s">
        <v>6081</v>
      </c>
      <c r="B27" t="s">
        <v>6082</v>
      </c>
      <c r="C27" t="s">
        <v>1771</v>
      </c>
      <c r="D27" t="s">
        <v>258</v>
      </c>
      <c r="E27" t="s">
        <v>307</v>
      </c>
      <c r="F27" t="s">
        <v>146</v>
      </c>
      <c r="I27" t="s">
        <v>958</v>
      </c>
      <c r="J27" t="s">
        <v>1755</v>
      </c>
      <c r="K27" t="str">
        <f>CONCATENATE(Shipment_Master_Database[[#This Row],[Exp '#]],"-",Shipment_Master_Database[[#This Row],[B. '#]])</f>
        <v>2401st--</v>
      </c>
      <c r="L27" t="s">
        <v>332</v>
      </c>
      <c r="M27" t="s">
        <v>959</v>
      </c>
      <c r="N27" t="s">
        <v>961</v>
      </c>
      <c r="O27">
        <v>1</v>
      </c>
      <c r="P27">
        <v>660</v>
      </c>
      <c r="Q27">
        <v>750</v>
      </c>
      <c r="R27" t="s">
        <v>880</v>
      </c>
      <c r="S27" t="s">
        <v>129</v>
      </c>
      <c r="T27" t="s">
        <v>6099</v>
      </c>
      <c r="U27">
        <v>11606288</v>
      </c>
      <c r="W27">
        <v>1</v>
      </c>
      <c r="AF27" s="19"/>
      <c r="AG27">
        <v>46185</v>
      </c>
      <c r="AH27">
        <v>46185</v>
      </c>
      <c r="AI27">
        <v>46193</v>
      </c>
      <c r="AJ27">
        <v>46221</v>
      </c>
      <c r="AK27">
        <v>46221</v>
      </c>
      <c r="AL27">
        <v>28</v>
      </c>
      <c r="AM27">
        <v>0</v>
      </c>
      <c r="AO27" t="s">
        <v>1268</v>
      </c>
      <c r="AP27" t="s">
        <v>6100</v>
      </c>
      <c r="AQ27" t="s">
        <v>6061</v>
      </c>
      <c r="AR27" t="s">
        <v>6101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 t="s">
        <v>6081</v>
      </c>
      <c r="B28" t="s">
        <v>6082</v>
      </c>
      <c r="C28" t="s">
        <v>1771</v>
      </c>
      <c r="D28" t="s">
        <v>258</v>
      </c>
      <c r="E28" t="s">
        <v>307</v>
      </c>
      <c r="F28" t="s">
        <v>146</v>
      </c>
      <c r="I28" t="s">
        <v>973</v>
      </c>
      <c r="J28" t="s">
        <v>1755</v>
      </c>
      <c r="K28" t="str">
        <f>CONCATENATE(Shipment_Master_Database[[#This Row],[Exp '#]],"-",Shipment_Master_Database[[#This Row],[B. '#]])</f>
        <v>2404th--</v>
      </c>
      <c r="L28" t="s">
        <v>332</v>
      </c>
      <c r="M28" t="s">
        <v>974</v>
      </c>
      <c r="N28" t="s">
        <v>978</v>
      </c>
      <c r="O28">
        <v>1</v>
      </c>
      <c r="P28">
        <v>800</v>
      </c>
      <c r="Q28">
        <v>960</v>
      </c>
      <c r="AF28" s="19"/>
      <c r="AG28">
        <v>46185</v>
      </c>
      <c r="AH28">
        <v>46185</v>
      </c>
      <c r="AI28">
        <v>46193</v>
      </c>
      <c r="AJ28">
        <v>46221</v>
      </c>
      <c r="AK28">
        <v>46221</v>
      </c>
      <c r="AL28">
        <v>28</v>
      </c>
      <c r="AM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 t="s">
        <v>6081</v>
      </c>
      <c r="B29" t="s">
        <v>6082</v>
      </c>
      <c r="C29" t="s">
        <v>1771</v>
      </c>
      <c r="D29" t="s">
        <v>258</v>
      </c>
      <c r="E29" t="s">
        <v>307</v>
      </c>
      <c r="F29" t="s">
        <v>146</v>
      </c>
      <c r="I29" t="s">
        <v>1039</v>
      </c>
      <c r="J29" t="s">
        <v>1755</v>
      </c>
      <c r="K29" t="str">
        <f>CONCATENATE(Shipment_Master_Database[[#This Row],[Exp '#]],"-",Shipment_Master_Database[[#This Row],[B. '#]])</f>
        <v>2421st--</v>
      </c>
      <c r="L29" t="s">
        <v>120</v>
      </c>
      <c r="M29" t="s">
        <v>1040</v>
      </c>
      <c r="N29" t="s">
        <v>1042</v>
      </c>
      <c r="O29">
        <v>2</v>
      </c>
      <c r="P29">
        <v>4080</v>
      </c>
      <c r="Q29">
        <v>4310</v>
      </c>
      <c r="AF29" s="19"/>
      <c r="AG29">
        <v>46185</v>
      </c>
      <c r="AH29">
        <v>46185</v>
      </c>
      <c r="AI29">
        <v>46193</v>
      </c>
      <c r="AJ29">
        <v>46221</v>
      </c>
      <c r="AK29">
        <v>46221</v>
      </c>
      <c r="AL29">
        <v>28</v>
      </c>
      <c r="AM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6081</v>
      </c>
      <c r="B30" t="s">
        <v>6082</v>
      </c>
      <c r="C30" t="s">
        <v>1771</v>
      </c>
      <c r="D30" t="s">
        <v>917</v>
      </c>
      <c r="E30" t="s">
        <v>307</v>
      </c>
      <c r="F30" t="s">
        <v>146</v>
      </c>
      <c r="I30" t="s">
        <v>948</v>
      </c>
      <c r="J30" t="s">
        <v>1755</v>
      </c>
      <c r="K30" t="str">
        <f>CONCATENATE(Shipment_Master_Database[[#This Row],[Exp '#]],"-",Shipment_Master_Database[[#This Row],[B. '#]])</f>
        <v>2399th--</v>
      </c>
      <c r="L30" t="s">
        <v>6102</v>
      </c>
      <c r="M30" t="s">
        <v>949</v>
      </c>
      <c r="N30" t="s">
        <v>32</v>
      </c>
      <c r="O30">
        <v>2</v>
      </c>
      <c r="P30">
        <v>2325</v>
      </c>
      <c r="Q30">
        <v>3240</v>
      </c>
      <c r="AF30" s="19"/>
      <c r="AG30">
        <v>46185</v>
      </c>
      <c r="AH30">
        <v>46185</v>
      </c>
      <c r="AI30">
        <v>46193</v>
      </c>
      <c r="AJ30">
        <v>46221</v>
      </c>
      <c r="AK30">
        <v>46221</v>
      </c>
      <c r="AL30">
        <v>28</v>
      </c>
      <c r="AM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6081</v>
      </c>
      <c r="B31" t="s">
        <v>6082</v>
      </c>
      <c r="C31" t="s">
        <v>1760</v>
      </c>
      <c r="D31" t="s">
        <v>560</v>
      </c>
      <c r="E31" t="s">
        <v>233</v>
      </c>
      <c r="F31" t="s">
        <v>232</v>
      </c>
      <c r="I31" t="s">
        <v>559</v>
      </c>
      <c r="J31" t="s">
        <v>1755</v>
      </c>
      <c r="K31" t="str">
        <f>CONCATENATE(Shipment_Master_Database[[#This Row],[Exp '#]],"-",Shipment_Master_Database[[#This Row],[B. '#]])</f>
        <v>2320nd--</v>
      </c>
      <c r="L31" t="s">
        <v>561</v>
      </c>
      <c r="O31">
        <v>7</v>
      </c>
      <c r="P31">
        <v>21690</v>
      </c>
      <c r="Q31">
        <v>23840</v>
      </c>
      <c r="R31" t="s">
        <v>263</v>
      </c>
      <c r="S31" t="s">
        <v>129</v>
      </c>
      <c r="T31" t="s">
        <v>171</v>
      </c>
      <c r="U31">
        <v>39481101</v>
      </c>
      <c r="Z31">
        <v>1</v>
      </c>
      <c r="AF31" s="19"/>
      <c r="AG31">
        <v>46129</v>
      </c>
      <c r="AH31">
        <v>46129</v>
      </c>
      <c r="AI31">
        <v>46134</v>
      </c>
      <c r="AJ31">
        <v>46203</v>
      </c>
      <c r="AK31">
        <v>46222</v>
      </c>
      <c r="AL31">
        <v>88</v>
      </c>
      <c r="AM31">
        <v>19</v>
      </c>
      <c r="AO31" t="s">
        <v>1268</v>
      </c>
      <c r="AP31" t="s">
        <v>6103</v>
      </c>
      <c r="AQ31" t="s">
        <v>6086</v>
      </c>
      <c r="AR31" t="s">
        <v>563</v>
      </c>
      <c r="AT31" t="s">
        <v>6104</v>
      </c>
      <c r="AU31">
        <v>191297</v>
      </c>
      <c r="AV31">
        <v>130000</v>
      </c>
      <c r="AW31">
        <v>3500</v>
      </c>
      <c r="AX31">
        <v>5000</v>
      </c>
      <c r="AY31">
        <v>23840</v>
      </c>
      <c r="AZ31">
        <v>74000</v>
      </c>
      <c r="BA31">
        <v>14875</v>
      </c>
      <c r="BD31">
        <v>38810</v>
      </c>
      <c r="BE31">
        <v>1093903</v>
      </c>
      <c r="BF31">
        <v>1575225</v>
      </c>
      <c r="BG31">
        <v>0</v>
      </c>
      <c r="BH31">
        <v>1575225</v>
      </c>
      <c r="BI31">
        <v>66.074874161073822</v>
      </c>
    </row>
    <row r="32" spans="1:61" x14ac:dyDescent="0.25">
      <c r="A32" t="s">
        <v>6081</v>
      </c>
      <c r="B32" t="s">
        <v>6082</v>
      </c>
      <c r="C32" t="s">
        <v>1760</v>
      </c>
      <c r="D32" t="s">
        <v>5892</v>
      </c>
      <c r="E32" t="s">
        <v>170</v>
      </c>
      <c r="F32" t="s">
        <v>169</v>
      </c>
      <c r="I32" t="s">
        <v>177</v>
      </c>
      <c r="J32" t="s">
        <v>6105</v>
      </c>
      <c r="K32" t="str">
        <f>CONCATENATE(Shipment_Master_Database[[#This Row],[Exp '#]],"-",Shipment_Master_Database[[#This Row],[B. '#]])</f>
        <v xml:space="preserve">2230th- </v>
      </c>
      <c r="L32" t="s">
        <v>180</v>
      </c>
      <c r="M32" t="s">
        <v>179</v>
      </c>
      <c r="N32" t="s">
        <v>32</v>
      </c>
      <c r="O32">
        <v>8</v>
      </c>
      <c r="P32">
        <v>30630</v>
      </c>
      <c r="Q32">
        <v>32320</v>
      </c>
      <c r="R32" t="s">
        <v>263</v>
      </c>
      <c r="S32" t="s">
        <v>129</v>
      </c>
      <c r="T32" t="s">
        <v>182</v>
      </c>
      <c r="U32" t="s">
        <v>183</v>
      </c>
      <c r="AC32">
        <v>1</v>
      </c>
      <c r="AF32" s="19"/>
      <c r="AG32">
        <v>46118</v>
      </c>
      <c r="AH32">
        <v>46124</v>
      </c>
      <c r="AI32">
        <v>46144</v>
      </c>
      <c r="AJ32">
        <v>46217</v>
      </c>
      <c r="AK32">
        <v>46227</v>
      </c>
      <c r="AL32">
        <v>83</v>
      </c>
      <c r="AM32">
        <v>10</v>
      </c>
      <c r="AO32" t="s">
        <v>1268</v>
      </c>
      <c r="AP32" t="s">
        <v>6106</v>
      </c>
      <c r="AQ32" t="s">
        <v>6061</v>
      </c>
      <c r="AR32" t="s">
        <v>184</v>
      </c>
      <c r="AT32" t="s">
        <v>6107</v>
      </c>
      <c r="AU32">
        <v>152279</v>
      </c>
      <c r="AV32">
        <v>193920</v>
      </c>
      <c r="AW32">
        <v>3500</v>
      </c>
      <c r="AX32">
        <v>18000</v>
      </c>
      <c r="AY32">
        <v>32320</v>
      </c>
      <c r="AZ32">
        <v>46640</v>
      </c>
      <c r="BA32">
        <v>14875</v>
      </c>
      <c r="BB32" t="s">
        <v>1755</v>
      </c>
      <c r="BC32">
        <v>41246</v>
      </c>
      <c r="BD32">
        <v>158519</v>
      </c>
      <c r="BE32">
        <v>4932154</v>
      </c>
      <c r="BF32">
        <v>5593453</v>
      </c>
      <c r="BG32">
        <v>0</v>
      </c>
      <c r="BH32">
        <v>5593453</v>
      </c>
      <c r="BI32">
        <v>173.06475866336635</v>
      </c>
    </row>
    <row r="33" spans="1:61" x14ac:dyDescent="0.25">
      <c r="A33" t="s">
        <v>6081</v>
      </c>
      <c r="B33" t="s">
        <v>6082</v>
      </c>
      <c r="C33" t="s">
        <v>1771</v>
      </c>
      <c r="D33" t="s">
        <v>423</v>
      </c>
      <c r="E33" t="s">
        <v>233</v>
      </c>
      <c r="F33" t="s">
        <v>232</v>
      </c>
      <c r="I33" t="s">
        <v>421</v>
      </c>
      <c r="J33" t="s">
        <v>1755</v>
      </c>
      <c r="K33" t="str">
        <f>CONCATENATE(Shipment_Master_Database[[#This Row],[Exp '#]],"-",Shipment_Master_Database[[#This Row],[B. '#]])</f>
        <v>2291st--</v>
      </c>
      <c r="L33" t="s">
        <v>425</v>
      </c>
      <c r="M33" t="s">
        <v>424</v>
      </c>
      <c r="N33" t="s">
        <v>1059</v>
      </c>
      <c r="O33">
        <v>30</v>
      </c>
      <c r="P33">
        <v>100615</v>
      </c>
      <c r="Q33">
        <v>111555</v>
      </c>
      <c r="R33" t="s">
        <v>263</v>
      </c>
      <c r="S33" t="s">
        <v>129</v>
      </c>
      <c r="T33" t="s">
        <v>1755</v>
      </c>
      <c r="U33" t="s">
        <v>6108</v>
      </c>
      <c r="AA33">
        <v>2</v>
      </c>
      <c r="AB33">
        <v>1</v>
      </c>
      <c r="AC33">
        <v>1</v>
      </c>
      <c r="AF33" s="19"/>
      <c r="AG33">
        <v>46154</v>
      </c>
      <c r="AH33" t="s">
        <v>1755</v>
      </c>
      <c r="AI33">
        <v>46170</v>
      </c>
      <c r="AJ33">
        <v>46229</v>
      </c>
      <c r="AK33">
        <v>46229</v>
      </c>
      <c r="AL33">
        <v>59</v>
      </c>
      <c r="AM33">
        <v>0</v>
      </c>
      <c r="AO33" t="s">
        <v>1268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6081</v>
      </c>
      <c r="B34" t="s">
        <v>6082</v>
      </c>
      <c r="C34" t="s">
        <v>1771</v>
      </c>
      <c r="D34" t="s">
        <v>998</v>
      </c>
      <c r="E34" t="s">
        <v>6109</v>
      </c>
      <c r="F34" t="s">
        <v>831</v>
      </c>
      <c r="I34" t="s">
        <v>6110</v>
      </c>
      <c r="J34" t="s">
        <v>1755</v>
      </c>
      <c r="K34" t="str">
        <f>CONCATENATE(Shipment_Master_Database[[#This Row],[Exp '#]],"-",Shipment_Master_Database[[#This Row],[B. '#]])</f>
        <v>2370st--</v>
      </c>
      <c r="L34" t="s">
        <v>6111</v>
      </c>
      <c r="O34">
        <v>2</v>
      </c>
      <c r="P34">
        <v>2300</v>
      </c>
      <c r="Q34">
        <v>2840</v>
      </c>
      <c r="R34" t="s">
        <v>288</v>
      </c>
      <c r="S34" t="s">
        <v>129</v>
      </c>
      <c r="T34" t="s">
        <v>691</v>
      </c>
      <c r="U34">
        <v>272284036</v>
      </c>
      <c r="W34">
        <v>1</v>
      </c>
      <c r="AF34" s="19"/>
      <c r="AG34">
        <v>46192</v>
      </c>
      <c r="AH34">
        <v>46192</v>
      </c>
      <c r="AI34">
        <v>46197</v>
      </c>
      <c r="AJ34">
        <v>46229</v>
      </c>
      <c r="AK34">
        <v>46229</v>
      </c>
      <c r="AL34">
        <v>32</v>
      </c>
      <c r="AM34">
        <v>0</v>
      </c>
      <c r="AO34" t="s">
        <v>1268</v>
      </c>
      <c r="AP34" t="s">
        <v>1268</v>
      </c>
      <c r="AQ34" t="s">
        <v>6061</v>
      </c>
      <c r="AR34" t="s">
        <v>644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t="s">
        <v>6081</v>
      </c>
      <c r="B35" t="s">
        <v>6082</v>
      </c>
      <c r="C35" t="s">
        <v>1771</v>
      </c>
      <c r="D35" t="s">
        <v>998</v>
      </c>
      <c r="E35" t="s">
        <v>6109</v>
      </c>
      <c r="F35" t="s">
        <v>831</v>
      </c>
      <c r="I35" t="s">
        <v>832</v>
      </c>
      <c r="J35" t="s">
        <v>1210</v>
      </c>
      <c r="K35" t="str">
        <f>CONCATENATE(Shipment_Master_Database[[#This Row],[Exp '#]],"-",Shipment_Master_Database[[#This Row],[B. '#]])</f>
        <v>2371st-1st B</v>
      </c>
      <c r="L35" t="s">
        <v>981</v>
      </c>
      <c r="O35">
        <v>1</v>
      </c>
      <c r="P35">
        <v>12865</v>
      </c>
      <c r="Q35">
        <v>13575</v>
      </c>
      <c r="R35" t="s">
        <v>288</v>
      </c>
      <c r="S35" t="s">
        <v>129</v>
      </c>
      <c r="T35" t="s">
        <v>691</v>
      </c>
      <c r="AF35" s="19"/>
      <c r="AG35">
        <v>46192</v>
      </c>
      <c r="AH35">
        <v>46192</v>
      </c>
      <c r="AI35">
        <v>46197</v>
      </c>
      <c r="AJ35">
        <v>46229</v>
      </c>
      <c r="AK35">
        <v>46229</v>
      </c>
      <c r="AL35">
        <v>32</v>
      </c>
      <c r="AM35">
        <v>0</v>
      </c>
      <c r="AO35" t="s">
        <v>1268</v>
      </c>
      <c r="AP35" t="s">
        <v>1268</v>
      </c>
      <c r="AQ35" t="s">
        <v>6061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 t="s">
        <v>6081</v>
      </c>
      <c r="B36" t="s">
        <v>6082</v>
      </c>
      <c r="C36" t="s">
        <v>1760</v>
      </c>
      <c r="D36" t="s">
        <v>48</v>
      </c>
      <c r="E36" t="s">
        <v>233</v>
      </c>
      <c r="F36" t="s">
        <v>232</v>
      </c>
      <c r="I36" t="s">
        <v>703</v>
      </c>
      <c r="J36" t="s">
        <v>1755</v>
      </c>
      <c r="K36" t="str">
        <f>CONCATENATE(Shipment_Master_Database[[#This Row],[Exp '#]],"-",Shipment_Master_Database[[#This Row],[B. '#]])</f>
        <v>2346th--</v>
      </c>
      <c r="L36" t="s">
        <v>111</v>
      </c>
      <c r="M36" t="s">
        <v>704</v>
      </c>
      <c r="N36" t="s">
        <v>5823</v>
      </c>
      <c r="O36">
        <v>4</v>
      </c>
      <c r="P36">
        <v>20688</v>
      </c>
      <c r="Q36">
        <v>21160</v>
      </c>
      <c r="R36" t="s">
        <v>638</v>
      </c>
      <c r="S36" t="s">
        <v>129</v>
      </c>
      <c r="T36" t="s">
        <v>182</v>
      </c>
      <c r="U36" t="s">
        <v>706</v>
      </c>
      <c r="W36">
        <v>1</v>
      </c>
      <c r="AF36" s="19"/>
      <c r="AG36">
        <v>46164</v>
      </c>
      <c r="AH36">
        <v>46165</v>
      </c>
      <c r="AI36">
        <v>46170</v>
      </c>
      <c r="AJ36">
        <v>46229</v>
      </c>
      <c r="AK36">
        <v>46243</v>
      </c>
      <c r="AL36">
        <v>73</v>
      </c>
      <c r="AM36">
        <v>14</v>
      </c>
      <c r="AO36" t="s">
        <v>1268</v>
      </c>
      <c r="AP36" t="s">
        <v>6112</v>
      </c>
      <c r="AQ36" t="s">
        <v>6113</v>
      </c>
      <c r="AR36" t="s">
        <v>708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 t="s">
        <v>6081</v>
      </c>
      <c r="B37" t="s">
        <v>6082</v>
      </c>
      <c r="C37" t="s">
        <v>1771</v>
      </c>
      <c r="D37" t="s">
        <v>727</v>
      </c>
      <c r="E37" t="s">
        <v>170</v>
      </c>
      <c r="F37" t="s">
        <v>169</v>
      </c>
      <c r="I37" t="s">
        <v>726</v>
      </c>
      <c r="J37" t="s">
        <v>165</v>
      </c>
      <c r="K37" t="str">
        <f>CONCATENATE(Shipment_Master_Database[[#This Row],[Exp '#]],"-",Shipment_Master_Database[[#This Row],[B. '#]])</f>
        <v>2353rd-2nd B</v>
      </c>
      <c r="L37" t="s">
        <v>6114</v>
      </c>
      <c r="O37">
        <v>3</v>
      </c>
      <c r="P37">
        <v>30684</v>
      </c>
      <c r="Q37">
        <v>31340</v>
      </c>
      <c r="R37" t="s">
        <v>263</v>
      </c>
      <c r="S37" t="s">
        <v>129</v>
      </c>
      <c r="T37" t="s">
        <v>171</v>
      </c>
      <c r="U37">
        <v>39276812</v>
      </c>
      <c r="AC37">
        <v>1</v>
      </c>
      <c r="AF37" s="19"/>
      <c r="AG37">
        <v>46162</v>
      </c>
      <c r="AH37">
        <v>46165</v>
      </c>
      <c r="AI37">
        <v>46173</v>
      </c>
      <c r="AJ37">
        <v>46245</v>
      </c>
      <c r="AK37">
        <v>46245</v>
      </c>
      <c r="AL37">
        <v>72</v>
      </c>
      <c r="AM37">
        <v>0</v>
      </c>
      <c r="AO37" t="s">
        <v>1268</v>
      </c>
      <c r="AP37" t="s">
        <v>6061</v>
      </c>
      <c r="AQ37" t="s">
        <v>6061</v>
      </c>
      <c r="AR37" t="s">
        <v>729</v>
      </c>
      <c r="AU37">
        <v>142731</v>
      </c>
      <c r="AV37">
        <v>203298</v>
      </c>
      <c r="AW37">
        <v>3500</v>
      </c>
      <c r="AX37">
        <v>25800</v>
      </c>
      <c r="AY37">
        <v>31340</v>
      </c>
      <c r="AZ37">
        <v>32000</v>
      </c>
      <c r="BA37">
        <v>14875</v>
      </c>
      <c r="BD37">
        <v>79056</v>
      </c>
      <c r="BE37">
        <v>4450518</v>
      </c>
      <c r="BF37">
        <v>4983118</v>
      </c>
      <c r="BG37">
        <v>0</v>
      </c>
      <c r="BH37">
        <v>4983118</v>
      </c>
      <c r="BI37">
        <v>159.00185067007021</v>
      </c>
    </row>
    <row r="38" spans="1:61" x14ac:dyDescent="0.25">
      <c r="A38" t="s">
        <v>6081</v>
      </c>
      <c r="B38" t="s">
        <v>6082</v>
      </c>
      <c r="C38" t="s">
        <v>1771</v>
      </c>
      <c r="D38" t="s">
        <v>423</v>
      </c>
      <c r="E38" t="s">
        <v>233</v>
      </c>
      <c r="F38" t="s">
        <v>232</v>
      </c>
      <c r="I38" t="s">
        <v>634</v>
      </c>
      <c r="J38" t="s">
        <v>1755</v>
      </c>
      <c r="K38" t="str">
        <f>CONCATENATE(Shipment_Master_Database[[#This Row],[Exp '#]],"-",Shipment_Master_Database[[#This Row],[B. '#]])</f>
        <v>2333rd--</v>
      </c>
      <c r="L38" t="s">
        <v>115</v>
      </c>
      <c r="M38" t="s">
        <v>635</v>
      </c>
      <c r="N38" t="s">
        <v>5960</v>
      </c>
      <c r="O38">
        <v>6</v>
      </c>
      <c r="P38">
        <v>10840</v>
      </c>
      <c r="Q38">
        <v>11920</v>
      </c>
      <c r="R38" t="s">
        <v>638</v>
      </c>
      <c r="S38" t="s">
        <v>129</v>
      </c>
      <c r="T38" t="s">
        <v>691</v>
      </c>
      <c r="U38">
        <v>271638907</v>
      </c>
      <c r="V38">
        <v>1</v>
      </c>
      <c r="AF38" s="19"/>
      <c r="AG38">
        <v>46182</v>
      </c>
      <c r="AH38">
        <v>46185</v>
      </c>
      <c r="AI38">
        <v>46191</v>
      </c>
      <c r="AJ38">
        <v>46250</v>
      </c>
      <c r="AK38">
        <v>46250</v>
      </c>
      <c r="AL38">
        <v>59</v>
      </c>
      <c r="AM38">
        <v>0</v>
      </c>
      <c r="AP38" t="s">
        <v>6115</v>
      </c>
      <c r="AQ38" t="s">
        <v>6086</v>
      </c>
      <c r="AR38" t="s">
        <v>6116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6081</v>
      </c>
      <c r="B39" t="s">
        <v>6082</v>
      </c>
      <c r="C39" t="s">
        <v>1771</v>
      </c>
      <c r="D39" t="s">
        <v>810</v>
      </c>
      <c r="E39" t="s">
        <v>6117</v>
      </c>
      <c r="F39" t="s">
        <v>6118</v>
      </c>
      <c r="I39" t="s">
        <v>809</v>
      </c>
      <c r="J39" t="s">
        <v>1755</v>
      </c>
      <c r="K39" t="str">
        <f>CONCATENATE(Shipment_Master_Database[[#This Row],[Exp '#]],"-",Shipment_Master_Database[[#This Row],[B. '#]])</f>
        <v>2367th--</v>
      </c>
      <c r="L39" t="s">
        <v>798</v>
      </c>
      <c r="M39" t="s">
        <v>811</v>
      </c>
      <c r="N39" t="s">
        <v>4780</v>
      </c>
      <c r="O39">
        <v>6</v>
      </c>
      <c r="P39">
        <v>94446</v>
      </c>
      <c r="Q39">
        <v>96200</v>
      </c>
      <c r="R39" t="s">
        <v>263</v>
      </c>
      <c r="S39" t="s">
        <v>129</v>
      </c>
      <c r="T39" t="s">
        <v>1166</v>
      </c>
      <c r="U39" t="s">
        <v>6119</v>
      </c>
      <c r="AB39">
        <v>3</v>
      </c>
      <c r="AF39" s="19"/>
      <c r="AG39">
        <v>46190</v>
      </c>
      <c r="AH39">
        <v>46190</v>
      </c>
      <c r="AI39">
        <v>46195</v>
      </c>
      <c r="AJ39">
        <v>46254</v>
      </c>
      <c r="AK39">
        <v>46254</v>
      </c>
      <c r="AL39">
        <v>59</v>
      </c>
      <c r="AM39">
        <v>0</v>
      </c>
      <c r="AQ39" t="s">
        <v>6061</v>
      </c>
      <c r="AR39" t="s">
        <v>6120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6081</v>
      </c>
      <c r="B40" t="s">
        <v>6082</v>
      </c>
      <c r="C40" t="s">
        <v>1771</v>
      </c>
      <c r="D40" t="s">
        <v>510</v>
      </c>
      <c r="E40" t="s">
        <v>254</v>
      </c>
      <c r="F40" t="s">
        <v>253</v>
      </c>
      <c r="I40" t="s">
        <v>987</v>
      </c>
      <c r="J40" t="s">
        <v>1755</v>
      </c>
      <c r="K40" t="str">
        <f>CONCATENATE(Shipment_Master_Database[[#This Row],[Exp '#]],"-",Shipment_Master_Database[[#This Row],[B. '#]])</f>
        <v>2407th--</v>
      </c>
      <c r="L40" t="s">
        <v>6121</v>
      </c>
      <c r="O40">
        <v>4</v>
      </c>
      <c r="P40">
        <v>8620</v>
      </c>
      <c r="Q40">
        <v>9540</v>
      </c>
      <c r="R40" t="s">
        <v>638</v>
      </c>
      <c r="S40" t="s">
        <v>129</v>
      </c>
      <c r="T40" t="s">
        <v>182</v>
      </c>
      <c r="U40" t="s">
        <v>989</v>
      </c>
      <c r="AA40">
        <v>1</v>
      </c>
      <c r="AF40" s="19"/>
      <c r="AG40">
        <v>46160</v>
      </c>
      <c r="AH40">
        <v>46165</v>
      </c>
      <c r="AI40">
        <v>46178</v>
      </c>
      <c r="AJ40">
        <v>46259</v>
      </c>
      <c r="AK40">
        <v>46259</v>
      </c>
      <c r="AL40">
        <v>81</v>
      </c>
      <c r="AM40">
        <v>0</v>
      </c>
      <c r="AO40" t="s">
        <v>1268</v>
      </c>
      <c r="AP40" t="s">
        <v>6122</v>
      </c>
      <c r="AQ40" t="s">
        <v>6086</v>
      </c>
      <c r="AR40" t="s">
        <v>708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6081</v>
      </c>
      <c r="B41" t="s">
        <v>6082</v>
      </c>
      <c r="C41" t="s">
        <v>1771</v>
      </c>
      <c r="D41" t="s">
        <v>5983</v>
      </c>
      <c r="E41" t="s">
        <v>202</v>
      </c>
      <c r="F41" t="s">
        <v>550</v>
      </c>
      <c r="I41" t="s">
        <v>896</v>
      </c>
      <c r="J41" t="s">
        <v>1755</v>
      </c>
      <c r="K41" t="str">
        <f>CONCATENATE(Shipment_Master_Database[[#This Row],[Exp '#]],"-",Shipment_Master_Database[[#This Row],[B. '#]])</f>
        <v>2386th--</v>
      </c>
      <c r="L41" t="s">
        <v>899</v>
      </c>
      <c r="M41" t="s">
        <v>898</v>
      </c>
      <c r="N41" t="s">
        <v>3173</v>
      </c>
      <c r="O41">
        <v>8</v>
      </c>
      <c r="P41">
        <v>15700</v>
      </c>
      <c r="Q41">
        <v>17480</v>
      </c>
      <c r="R41" t="s">
        <v>263</v>
      </c>
      <c r="S41" t="s">
        <v>129</v>
      </c>
      <c r="T41" t="s">
        <v>6099</v>
      </c>
      <c r="U41" t="s">
        <v>6123</v>
      </c>
      <c r="AB41">
        <v>1</v>
      </c>
      <c r="AF41" s="19"/>
      <c r="AG41">
        <v>46182</v>
      </c>
      <c r="AH41">
        <v>46185</v>
      </c>
      <c r="AI41">
        <v>46193</v>
      </c>
      <c r="AJ41">
        <v>46261</v>
      </c>
      <c r="AK41">
        <v>46261</v>
      </c>
      <c r="AL41">
        <v>68</v>
      </c>
      <c r="AM41">
        <v>0</v>
      </c>
      <c r="AR41" t="s">
        <v>6124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 t="s">
        <v>6081</v>
      </c>
      <c r="B42" t="s">
        <v>6082</v>
      </c>
      <c r="C42" t="s">
        <v>1771</v>
      </c>
      <c r="D42" t="s">
        <v>487</v>
      </c>
      <c r="E42" t="s">
        <v>191</v>
      </c>
      <c r="F42" t="s">
        <v>313</v>
      </c>
      <c r="I42" t="s">
        <v>850</v>
      </c>
      <c r="J42" t="s">
        <v>1755</v>
      </c>
      <c r="K42" t="str">
        <f>CONCATENATE(Shipment_Master_Database[[#This Row],[Exp '#]],"-",Shipment_Master_Database[[#This Row],[B. '#]])</f>
        <v>2376th--</v>
      </c>
      <c r="L42" t="s">
        <v>319</v>
      </c>
      <c r="M42" t="s">
        <v>851</v>
      </c>
      <c r="N42" t="s">
        <v>3757</v>
      </c>
      <c r="O42">
        <v>1</v>
      </c>
      <c r="P42">
        <v>1620</v>
      </c>
      <c r="Q42">
        <v>1950</v>
      </c>
      <c r="R42" t="s">
        <v>880</v>
      </c>
      <c r="S42" t="s">
        <v>129</v>
      </c>
      <c r="T42" t="s">
        <v>6125</v>
      </c>
      <c r="U42">
        <v>416</v>
      </c>
      <c r="AD42">
        <v>1</v>
      </c>
      <c r="AF42" s="19"/>
      <c r="AG42">
        <v>46184</v>
      </c>
      <c r="AH42">
        <v>46186</v>
      </c>
      <c r="AI42">
        <v>46191</v>
      </c>
      <c r="AJ42">
        <v>46228</v>
      </c>
      <c r="AK42">
        <v>46228</v>
      </c>
      <c r="AL42">
        <v>37</v>
      </c>
      <c r="AM42">
        <v>0</v>
      </c>
      <c r="AO42" t="s">
        <v>1268</v>
      </c>
      <c r="AP42" t="s">
        <v>1268</v>
      </c>
      <c r="AQ42" t="s">
        <v>6061</v>
      </c>
      <c r="AR42" t="s">
        <v>6126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6081</v>
      </c>
      <c r="B43" t="s">
        <v>6082</v>
      </c>
      <c r="C43" t="s">
        <v>1771</v>
      </c>
      <c r="D43" t="s">
        <v>35</v>
      </c>
      <c r="E43" t="s">
        <v>215</v>
      </c>
      <c r="F43" t="s">
        <v>214</v>
      </c>
      <c r="I43" t="s">
        <v>212</v>
      </c>
      <c r="J43" t="s">
        <v>1755</v>
      </c>
      <c r="K43" t="str">
        <f>CONCATENATE(Shipment_Master_Database[[#This Row],[Exp '#]],"-",Shipment_Master_Database[[#This Row],[B. '#]])</f>
        <v>2243rd--</v>
      </c>
      <c r="L43" t="s">
        <v>213</v>
      </c>
      <c r="O43">
        <v>4</v>
      </c>
      <c r="P43">
        <v>3660</v>
      </c>
      <c r="Q43">
        <v>4215</v>
      </c>
      <c r="R43" t="s">
        <v>216</v>
      </c>
      <c r="S43" t="s">
        <v>129</v>
      </c>
      <c r="T43" t="s">
        <v>171</v>
      </c>
      <c r="U43" t="s">
        <v>1755</v>
      </c>
      <c r="AD43">
        <v>1</v>
      </c>
      <c r="AF43" s="19"/>
      <c r="AG43">
        <v>46139</v>
      </c>
      <c r="AH43">
        <v>46139</v>
      </c>
      <c r="AI43">
        <v>46149</v>
      </c>
      <c r="AJ43" t="s">
        <v>1755</v>
      </c>
      <c r="AK43" t="s">
        <v>32</v>
      </c>
      <c r="AL43">
        <v>0</v>
      </c>
      <c r="AM43">
        <v>0</v>
      </c>
      <c r="AO43" t="s">
        <v>1268</v>
      </c>
      <c r="AP43" t="s">
        <v>189</v>
      </c>
      <c r="AQ43" t="s">
        <v>6061</v>
      </c>
      <c r="AR43" t="s">
        <v>1755</v>
      </c>
      <c r="AT43" t="s">
        <v>1755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 t="s">
        <v>6081</v>
      </c>
      <c r="B44" t="s">
        <v>6082</v>
      </c>
      <c r="C44" t="s">
        <v>1771</v>
      </c>
      <c r="D44" t="s">
        <v>35</v>
      </c>
      <c r="E44" t="s">
        <v>612</v>
      </c>
      <c r="F44" t="s">
        <v>611</v>
      </c>
      <c r="I44" t="s">
        <v>609</v>
      </c>
      <c r="J44" t="s">
        <v>1755</v>
      </c>
      <c r="K44" t="str">
        <f>CONCATENATE(Shipment_Master_Database[[#This Row],[Exp '#]],"-",Shipment_Master_Database[[#This Row],[B. '#]])</f>
        <v>2328th--</v>
      </c>
      <c r="M44" t="s">
        <v>213</v>
      </c>
      <c r="N44" t="s">
        <v>3372</v>
      </c>
      <c r="O44">
        <v>4</v>
      </c>
      <c r="P44">
        <v>3590</v>
      </c>
      <c r="Q44">
        <v>4190</v>
      </c>
      <c r="R44" t="s">
        <v>6127</v>
      </c>
      <c r="S44" t="s">
        <v>129</v>
      </c>
      <c r="T44" t="s">
        <v>1755</v>
      </c>
      <c r="U44" t="s">
        <v>1755</v>
      </c>
      <c r="AD44">
        <v>1</v>
      </c>
      <c r="AF44" s="19"/>
      <c r="AG44">
        <v>46129</v>
      </c>
      <c r="AH44">
        <v>46130</v>
      </c>
      <c r="AI44">
        <v>46136</v>
      </c>
      <c r="AJ44" t="s">
        <v>1755</v>
      </c>
      <c r="AK44" t="s">
        <v>32</v>
      </c>
      <c r="AL44">
        <v>0</v>
      </c>
      <c r="AM44">
        <v>0</v>
      </c>
      <c r="AO44" t="s">
        <v>1268</v>
      </c>
      <c r="AP44" t="s">
        <v>1755</v>
      </c>
      <c r="AQ44" t="s">
        <v>6061</v>
      </c>
      <c r="AR44" t="s">
        <v>614</v>
      </c>
      <c r="AT44" t="s">
        <v>1755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 t="s">
        <v>6081</v>
      </c>
      <c r="B45" t="s">
        <v>6082</v>
      </c>
      <c r="C45" t="s">
        <v>1771</v>
      </c>
      <c r="D45" t="s">
        <v>1180</v>
      </c>
      <c r="E45" t="s">
        <v>1153</v>
      </c>
      <c r="F45" t="s">
        <v>1404</v>
      </c>
      <c r="I45" t="s">
        <v>1402</v>
      </c>
      <c r="J45" t="s">
        <v>1755</v>
      </c>
      <c r="K45" t="str">
        <f>CONCATENATE(Shipment_Master_Database[[#This Row],[Exp '#]],"-",Shipment_Master_Database[[#This Row],[B. '#]])</f>
        <v>MO-0141--</v>
      </c>
      <c r="L45" t="s">
        <v>213</v>
      </c>
      <c r="O45">
        <v>1</v>
      </c>
      <c r="P45">
        <v>225</v>
      </c>
      <c r="Q45">
        <v>270</v>
      </c>
      <c r="R45" t="s">
        <v>1170</v>
      </c>
      <c r="S45" t="s">
        <v>129</v>
      </c>
      <c r="T45" t="s">
        <v>171</v>
      </c>
      <c r="U45" t="s">
        <v>1405</v>
      </c>
      <c r="AD45">
        <v>1</v>
      </c>
      <c r="AF45" s="19"/>
      <c r="AG45">
        <v>46142</v>
      </c>
      <c r="AH45">
        <v>46146</v>
      </c>
      <c r="AI45">
        <v>46151</v>
      </c>
      <c r="AK45" t="s">
        <v>32</v>
      </c>
      <c r="AL45">
        <v>0</v>
      </c>
      <c r="AM45">
        <v>0</v>
      </c>
      <c r="AO45" t="s">
        <v>1268</v>
      </c>
      <c r="AP45" t="s">
        <v>1268</v>
      </c>
      <c r="AQ45" t="s">
        <v>6086</v>
      </c>
      <c r="AR45" t="s">
        <v>1406</v>
      </c>
      <c r="AT45" t="s">
        <v>1755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6081</v>
      </c>
      <c r="B46" t="s">
        <v>6082</v>
      </c>
      <c r="C46" t="s">
        <v>1771</v>
      </c>
      <c r="D46" t="s">
        <v>35</v>
      </c>
      <c r="E46" t="s">
        <v>690</v>
      </c>
      <c r="F46" t="s">
        <v>689</v>
      </c>
      <c r="I46" t="s">
        <v>686</v>
      </c>
      <c r="J46" t="s">
        <v>1755</v>
      </c>
      <c r="K46" t="str">
        <f>CONCATENATE(Shipment_Master_Database[[#This Row],[Exp '#]],"-",Shipment_Master_Database[[#This Row],[B. '#]])</f>
        <v>2341st--</v>
      </c>
      <c r="L46" t="s">
        <v>6128</v>
      </c>
      <c r="M46" t="s">
        <v>687</v>
      </c>
      <c r="N46" t="s">
        <v>5940</v>
      </c>
      <c r="O46">
        <v>1</v>
      </c>
      <c r="P46">
        <v>520</v>
      </c>
      <c r="Q46">
        <v>680</v>
      </c>
      <c r="R46" t="s">
        <v>216</v>
      </c>
      <c r="S46" t="s">
        <v>129</v>
      </c>
      <c r="T46" t="s">
        <v>691</v>
      </c>
      <c r="U46" t="s">
        <v>1755</v>
      </c>
      <c r="AD46">
        <v>1</v>
      </c>
      <c r="AF46" s="19"/>
      <c r="AG46">
        <v>46150</v>
      </c>
      <c r="AH46">
        <v>46151</v>
      </c>
      <c r="AI46">
        <v>46156</v>
      </c>
      <c r="AK46" t="s">
        <v>32</v>
      </c>
      <c r="AL46">
        <v>0</v>
      </c>
      <c r="AM46">
        <v>0</v>
      </c>
      <c r="AO46" t="s">
        <v>1268</v>
      </c>
      <c r="AP46" t="s">
        <v>1268</v>
      </c>
      <c r="AQ46" t="s">
        <v>6086</v>
      </c>
      <c r="AR46" t="s">
        <v>692</v>
      </c>
      <c r="AS46" t="s">
        <v>1755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 t="s">
        <v>6081</v>
      </c>
      <c r="B47" t="s">
        <v>6082</v>
      </c>
      <c r="C47" t="s">
        <v>1771</v>
      </c>
      <c r="D47" t="s">
        <v>470</v>
      </c>
      <c r="E47" t="s">
        <v>475</v>
      </c>
      <c r="F47" t="s">
        <v>474</v>
      </c>
      <c r="I47" t="s">
        <v>469</v>
      </c>
      <c r="J47" t="s">
        <v>1755</v>
      </c>
      <c r="K47" t="str">
        <f>CONCATENATE(Shipment_Master_Database[[#This Row],[Exp '#]],"-",Shipment_Master_Database[[#This Row],[B. '#]])</f>
        <v>2304th--</v>
      </c>
      <c r="L47" t="s">
        <v>111</v>
      </c>
      <c r="M47" t="s">
        <v>471</v>
      </c>
      <c r="N47" t="s">
        <v>6129</v>
      </c>
      <c r="O47">
        <v>11</v>
      </c>
      <c r="P47">
        <v>153375</v>
      </c>
      <c r="Q47">
        <v>156485</v>
      </c>
      <c r="R47" t="s">
        <v>263</v>
      </c>
      <c r="S47" t="s">
        <v>129</v>
      </c>
      <c r="T47" t="s">
        <v>1755</v>
      </c>
      <c r="U47" t="s">
        <v>476</v>
      </c>
      <c r="V47">
        <v>11</v>
      </c>
      <c r="AF47" s="19"/>
      <c r="AG47">
        <v>46157</v>
      </c>
      <c r="AH47">
        <v>46157</v>
      </c>
      <c r="AI47">
        <v>46173</v>
      </c>
      <c r="AJ47">
        <v>46216</v>
      </c>
      <c r="AK47">
        <v>46216</v>
      </c>
      <c r="AL47">
        <v>43</v>
      </c>
      <c r="AM47">
        <v>0</v>
      </c>
      <c r="AO47" t="s">
        <v>1268</v>
      </c>
      <c r="AQ47" t="s">
        <v>6130</v>
      </c>
      <c r="AR47" t="s">
        <v>477</v>
      </c>
      <c r="BF47">
        <v>0</v>
      </c>
      <c r="BG47">
        <v>0</v>
      </c>
      <c r="BH47">
        <v>0</v>
      </c>
      <c r="BI47">
        <v>0</v>
      </c>
    </row>
    <row r="48" spans="1:61" x14ac:dyDescent="0.25">
      <c r="A48" t="s">
        <v>6081</v>
      </c>
      <c r="B48" t="s">
        <v>6082</v>
      </c>
      <c r="C48" t="s">
        <v>1771</v>
      </c>
      <c r="D48" t="s">
        <v>1090</v>
      </c>
      <c r="E48" t="s">
        <v>127</v>
      </c>
      <c r="F48" t="s">
        <v>126</v>
      </c>
      <c r="I48" t="s">
        <v>984</v>
      </c>
      <c r="J48" t="s">
        <v>1755</v>
      </c>
      <c r="K48" t="str">
        <f>CONCATENATE(Shipment_Master_Database[[#This Row],[Exp '#]],"-",Shipment_Master_Database[[#This Row],[B. '#]])</f>
        <v>2406th--</v>
      </c>
      <c r="L48" t="s">
        <v>319</v>
      </c>
      <c r="M48" t="s">
        <v>985</v>
      </c>
      <c r="N48" t="s">
        <v>32</v>
      </c>
      <c r="O48">
        <v>1</v>
      </c>
      <c r="P48">
        <v>390</v>
      </c>
      <c r="Q48">
        <v>470</v>
      </c>
      <c r="R48" t="s">
        <v>880</v>
      </c>
      <c r="S48" t="s">
        <v>129</v>
      </c>
      <c r="T48" t="s">
        <v>289</v>
      </c>
      <c r="U48" t="s">
        <v>1755</v>
      </c>
      <c r="AD48">
        <v>1</v>
      </c>
      <c r="AF48" s="19"/>
      <c r="AG48">
        <v>46157</v>
      </c>
      <c r="AH48">
        <v>46158</v>
      </c>
      <c r="AI48">
        <v>46165</v>
      </c>
      <c r="AJ48">
        <v>46216</v>
      </c>
      <c r="AK48">
        <v>46216</v>
      </c>
      <c r="AL48">
        <v>51</v>
      </c>
      <c r="AM48">
        <v>0</v>
      </c>
      <c r="AO48" t="s">
        <v>1268</v>
      </c>
      <c r="AP48" t="s">
        <v>1268</v>
      </c>
      <c r="AQ48" t="s">
        <v>6061</v>
      </c>
      <c r="AR48" t="s">
        <v>881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 t="s">
        <v>6081</v>
      </c>
      <c r="B49" t="s">
        <v>6082</v>
      </c>
      <c r="C49" t="s">
        <v>1771</v>
      </c>
      <c r="D49" t="s">
        <v>1090</v>
      </c>
      <c r="E49" t="s">
        <v>127</v>
      </c>
      <c r="F49" t="s">
        <v>126</v>
      </c>
      <c r="I49" t="s">
        <v>992</v>
      </c>
      <c r="J49" t="s">
        <v>1755</v>
      </c>
      <c r="K49" t="str">
        <f>CONCATENATE(Shipment_Master_Database[[#This Row],[Exp '#]],"-",Shipment_Master_Database[[#This Row],[B. '#]])</f>
        <v>2408th--</v>
      </c>
      <c r="L49" t="s">
        <v>6131</v>
      </c>
      <c r="M49" t="s">
        <v>993</v>
      </c>
      <c r="N49" t="s">
        <v>32</v>
      </c>
      <c r="O49">
        <v>1</v>
      </c>
      <c r="P49">
        <v>765</v>
      </c>
      <c r="Q49">
        <v>885</v>
      </c>
      <c r="R49" t="s">
        <v>880</v>
      </c>
      <c r="S49" t="s">
        <v>129</v>
      </c>
      <c r="T49" t="s">
        <v>289</v>
      </c>
      <c r="U49" t="s">
        <v>1755</v>
      </c>
      <c r="AD49">
        <v>1</v>
      </c>
      <c r="AF49" s="19"/>
      <c r="AG49">
        <v>46157</v>
      </c>
      <c r="AH49">
        <v>46158</v>
      </c>
      <c r="AI49">
        <v>46165</v>
      </c>
      <c r="AJ49">
        <v>46220</v>
      </c>
      <c r="AK49">
        <v>46220</v>
      </c>
      <c r="AL49">
        <v>55</v>
      </c>
      <c r="AM49">
        <v>0</v>
      </c>
      <c r="AO49" t="s">
        <v>1268</v>
      </c>
      <c r="AP49" t="s">
        <v>1268</v>
      </c>
      <c r="AQ49" t="s">
        <v>6061</v>
      </c>
      <c r="AR49" t="s">
        <v>881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 t="s">
        <v>6081</v>
      </c>
      <c r="B50" t="s">
        <v>6082</v>
      </c>
      <c r="C50" t="s">
        <v>1771</v>
      </c>
      <c r="D50" t="s">
        <v>1090</v>
      </c>
      <c r="E50" t="s">
        <v>127</v>
      </c>
      <c r="F50" t="s">
        <v>126</v>
      </c>
      <c r="I50" t="s">
        <v>999</v>
      </c>
      <c r="J50" t="s">
        <v>1755</v>
      </c>
      <c r="K50" t="str">
        <f>CONCATENATE(Shipment_Master_Database[[#This Row],[Exp '#]],"-",Shipment_Master_Database[[#This Row],[B. '#]])</f>
        <v>2411st--</v>
      </c>
      <c r="L50" t="s">
        <v>1001</v>
      </c>
      <c r="M50" t="s">
        <v>1000</v>
      </c>
      <c r="N50" t="s">
        <v>32</v>
      </c>
      <c r="O50">
        <v>1</v>
      </c>
      <c r="P50">
        <v>270</v>
      </c>
      <c r="Q50">
        <v>370</v>
      </c>
      <c r="R50" t="s">
        <v>880</v>
      </c>
      <c r="S50" t="s">
        <v>129</v>
      </c>
      <c r="T50" t="s">
        <v>289</v>
      </c>
      <c r="U50" t="s">
        <v>1755</v>
      </c>
      <c r="AD50">
        <v>1</v>
      </c>
      <c r="AF50" s="19"/>
      <c r="AG50">
        <v>46157</v>
      </c>
      <c r="AH50">
        <v>46158</v>
      </c>
      <c r="AI50">
        <v>46165</v>
      </c>
      <c r="AJ50">
        <v>46220</v>
      </c>
      <c r="AK50">
        <v>46220</v>
      </c>
      <c r="AL50">
        <v>55</v>
      </c>
      <c r="AM50">
        <v>0</v>
      </c>
      <c r="AO50" t="s">
        <v>1268</v>
      </c>
      <c r="AP50" t="s">
        <v>1268</v>
      </c>
      <c r="AQ50" t="s">
        <v>6061</v>
      </c>
      <c r="AR50" t="s">
        <v>881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 t="s">
        <v>6081</v>
      </c>
      <c r="B51" t="s">
        <v>6082</v>
      </c>
      <c r="C51" t="s">
        <v>1771</v>
      </c>
      <c r="D51" t="s">
        <v>5308</v>
      </c>
      <c r="E51" t="s">
        <v>202</v>
      </c>
      <c r="F51" t="s">
        <v>550</v>
      </c>
      <c r="I51" t="s">
        <v>874</v>
      </c>
      <c r="J51" t="s">
        <v>1755</v>
      </c>
      <c r="K51" t="str">
        <f>CONCATENATE(Shipment_Master_Database[[#This Row],[Exp '#]],"-",Shipment_Master_Database[[#This Row],[B. '#]])</f>
        <v>2382nd--</v>
      </c>
      <c r="L51" t="s">
        <v>6132</v>
      </c>
      <c r="M51" t="s">
        <v>876</v>
      </c>
      <c r="N51" t="s">
        <v>1042</v>
      </c>
      <c r="O51">
        <v>1</v>
      </c>
      <c r="P51">
        <v>200</v>
      </c>
      <c r="Q51">
        <v>280</v>
      </c>
      <c r="R51" t="s">
        <v>880</v>
      </c>
      <c r="S51" t="s">
        <v>129</v>
      </c>
      <c r="T51" t="s">
        <v>787</v>
      </c>
      <c r="U51" t="s">
        <v>1755</v>
      </c>
      <c r="AD51">
        <v>1</v>
      </c>
      <c r="AF51" s="19"/>
      <c r="AG51">
        <v>46157</v>
      </c>
      <c r="AH51">
        <v>46158</v>
      </c>
      <c r="AI51">
        <v>46165</v>
      </c>
      <c r="AJ51">
        <v>46228</v>
      </c>
      <c r="AK51">
        <v>46228</v>
      </c>
      <c r="AL51">
        <v>63</v>
      </c>
      <c r="AM51">
        <v>0</v>
      </c>
      <c r="AO51" t="s">
        <v>1268</v>
      </c>
      <c r="AP51" t="s">
        <v>1268</v>
      </c>
      <c r="AQ51" t="s">
        <v>6061</v>
      </c>
      <c r="AR51" t="s">
        <v>881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 t="s">
        <v>6081</v>
      </c>
      <c r="B52" t="s">
        <v>6082</v>
      </c>
      <c r="C52" t="s">
        <v>1771</v>
      </c>
      <c r="D52" t="s">
        <v>6133</v>
      </c>
      <c r="E52" t="s">
        <v>618</v>
      </c>
      <c r="F52" t="s">
        <v>617</v>
      </c>
      <c r="I52" t="s">
        <v>615</v>
      </c>
      <c r="J52" t="s">
        <v>1755</v>
      </c>
      <c r="K52" t="str">
        <f>CONCATENATE(Shipment_Master_Database[[#This Row],[Exp '#]],"-",Shipment_Master_Database[[#This Row],[B. '#]])</f>
        <v>2329th--</v>
      </c>
      <c r="L52" t="s">
        <v>115</v>
      </c>
      <c r="M52" t="s">
        <v>616</v>
      </c>
      <c r="N52" t="s">
        <v>5901</v>
      </c>
      <c r="O52">
        <v>6</v>
      </c>
      <c r="P52">
        <v>9794</v>
      </c>
      <c r="Q52">
        <v>11050</v>
      </c>
      <c r="R52" t="s">
        <v>619</v>
      </c>
      <c r="S52" t="s">
        <v>129</v>
      </c>
      <c r="T52" t="s">
        <v>289</v>
      </c>
      <c r="U52" t="s">
        <v>620</v>
      </c>
      <c r="AD52">
        <v>1</v>
      </c>
      <c r="AF52" s="19"/>
      <c r="AG52">
        <v>46160</v>
      </c>
      <c r="AH52">
        <v>46165</v>
      </c>
      <c r="AI52">
        <v>46170</v>
      </c>
      <c r="AK52" t="s">
        <v>32</v>
      </c>
      <c r="AL52">
        <v>0</v>
      </c>
      <c r="AM52">
        <v>0</v>
      </c>
      <c r="AO52" t="s">
        <v>1268</v>
      </c>
      <c r="AP52" t="s">
        <v>1268</v>
      </c>
      <c r="AQ52" t="s">
        <v>6061</v>
      </c>
      <c r="AR52" t="s">
        <v>621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6081</v>
      </c>
      <c r="B53" t="s">
        <v>6082</v>
      </c>
      <c r="C53" t="s">
        <v>1771</v>
      </c>
      <c r="D53" t="s">
        <v>777</v>
      </c>
      <c r="E53" t="s">
        <v>191</v>
      </c>
      <c r="F53" t="s">
        <v>6134</v>
      </c>
      <c r="I53" t="s">
        <v>776</v>
      </c>
      <c r="J53" t="s">
        <v>1755</v>
      </c>
      <c r="K53" t="str">
        <f>CONCATENATE(Shipment_Master_Database[[#This Row],[Exp '#]],"-",Shipment_Master_Database[[#This Row],[B. '#]])</f>
        <v>2361st--</v>
      </c>
      <c r="L53" t="s">
        <v>6135</v>
      </c>
      <c r="O53">
        <v>1</v>
      </c>
      <c r="P53">
        <v>2000</v>
      </c>
      <c r="Q53">
        <v>2400</v>
      </c>
      <c r="R53" t="s">
        <v>288</v>
      </c>
      <c r="S53" t="s">
        <v>129</v>
      </c>
      <c r="AD53">
        <v>1</v>
      </c>
      <c r="AF53" s="19"/>
      <c r="AG53">
        <v>46175</v>
      </c>
      <c r="AH53">
        <v>46178</v>
      </c>
      <c r="AI53">
        <v>46181</v>
      </c>
      <c r="AJ53">
        <v>46217</v>
      </c>
      <c r="AK53">
        <v>46217</v>
      </c>
      <c r="AL53">
        <v>36</v>
      </c>
      <c r="AM53">
        <v>0</v>
      </c>
      <c r="AO53" t="s">
        <v>1268</v>
      </c>
      <c r="AP53" t="s">
        <v>1268</v>
      </c>
      <c r="AQ53" t="s">
        <v>6061</v>
      </c>
      <c r="AR53" t="s">
        <v>6136</v>
      </c>
      <c r="BF53">
        <v>0</v>
      </c>
      <c r="BG53">
        <v>0</v>
      </c>
      <c r="BH53">
        <v>0</v>
      </c>
      <c r="BI53">
        <v>0</v>
      </c>
    </row>
    <row r="54" spans="1:61" x14ac:dyDescent="0.25">
      <c r="A54" t="s">
        <v>6081</v>
      </c>
      <c r="B54" t="s">
        <v>6082</v>
      </c>
      <c r="C54" t="s">
        <v>1771</v>
      </c>
      <c r="D54" t="s">
        <v>903</v>
      </c>
      <c r="E54" t="s">
        <v>127</v>
      </c>
      <c r="F54" t="s">
        <v>126</v>
      </c>
      <c r="I54" t="s">
        <v>902</v>
      </c>
      <c r="J54" t="s">
        <v>1755</v>
      </c>
      <c r="K54" t="str">
        <f>CONCATENATE(Shipment_Master_Database[[#This Row],[Exp '#]],"-",Shipment_Master_Database[[#This Row],[B. '#]])</f>
        <v>2387th--</v>
      </c>
      <c r="L54" t="s">
        <v>168</v>
      </c>
      <c r="M54" t="s">
        <v>904</v>
      </c>
      <c r="N54" t="s">
        <v>3426</v>
      </c>
      <c r="O54">
        <v>2</v>
      </c>
      <c r="P54">
        <v>1610</v>
      </c>
      <c r="Q54">
        <v>1910</v>
      </c>
      <c r="R54" t="s">
        <v>880</v>
      </c>
      <c r="S54" t="s">
        <v>129</v>
      </c>
      <c r="T54" t="s">
        <v>6125</v>
      </c>
      <c r="U54">
        <v>416</v>
      </c>
      <c r="AD54">
        <v>1</v>
      </c>
      <c r="AF54" s="19"/>
      <c r="AG54">
        <v>46184</v>
      </c>
      <c r="AH54">
        <v>46186</v>
      </c>
      <c r="AI54">
        <v>46191</v>
      </c>
      <c r="AJ54">
        <v>46244</v>
      </c>
      <c r="AK54">
        <v>46244</v>
      </c>
      <c r="AL54">
        <v>53</v>
      </c>
      <c r="AM54">
        <v>0</v>
      </c>
      <c r="AO54" t="s">
        <v>1268</v>
      </c>
      <c r="AP54" t="s">
        <v>1268</v>
      </c>
      <c r="AQ54" t="s">
        <v>6061</v>
      </c>
      <c r="AR54" t="s">
        <v>6137</v>
      </c>
      <c r="BF54">
        <v>0</v>
      </c>
      <c r="BG54">
        <v>0</v>
      </c>
      <c r="BH54">
        <v>0</v>
      </c>
      <c r="BI54">
        <v>0</v>
      </c>
    </row>
    <row r="55" spans="1:61" x14ac:dyDescent="0.25">
      <c r="A55" t="s">
        <v>1565</v>
      </c>
      <c r="B55" t="s">
        <v>47</v>
      </c>
      <c r="C55" t="s">
        <v>1771</v>
      </c>
      <c r="D55" t="s">
        <v>293</v>
      </c>
      <c r="E55" t="s">
        <v>147</v>
      </c>
      <c r="F55" t="s">
        <v>146</v>
      </c>
      <c r="G55" t="s">
        <v>125</v>
      </c>
      <c r="H55" t="s">
        <v>6063</v>
      </c>
      <c r="I55" t="s">
        <v>292</v>
      </c>
      <c r="J55" t="s">
        <v>3343</v>
      </c>
      <c r="K55" t="str">
        <f>CONCATENATE(Shipment_Master_Database[[#This Row],[Exp '#]],"-",Shipment_Master_Database[[#This Row],[B. '#]])</f>
        <v>2258th-5th</v>
      </c>
      <c r="L55" t="s">
        <v>295</v>
      </c>
      <c r="M55" t="s">
        <v>294</v>
      </c>
      <c r="O55">
        <v>1</v>
      </c>
      <c r="P55">
        <v>19225</v>
      </c>
      <c r="Q55">
        <v>19560</v>
      </c>
      <c r="R55" t="s">
        <v>263</v>
      </c>
      <c r="S55" t="s">
        <v>298</v>
      </c>
      <c r="T55" t="s">
        <v>149</v>
      </c>
      <c r="U55">
        <v>21504187</v>
      </c>
      <c r="W55">
        <v>1</v>
      </c>
      <c r="AF55" s="19"/>
      <c r="AG55">
        <v>45967</v>
      </c>
      <c r="AH55">
        <v>45994</v>
      </c>
      <c r="AI55">
        <v>45999</v>
      </c>
      <c r="AJ55">
        <v>46025</v>
      </c>
      <c r="AK55">
        <v>46025</v>
      </c>
      <c r="AL55">
        <v>26</v>
      </c>
      <c r="AM55">
        <v>0</v>
      </c>
      <c r="AP55" t="s">
        <v>6085</v>
      </c>
      <c r="AQ55" t="s">
        <v>6061</v>
      </c>
      <c r="AR55" t="s">
        <v>300</v>
      </c>
      <c r="AT55" t="s">
        <v>6138</v>
      </c>
      <c r="AU55">
        <v>19375</v>
      </c>
      <c r="AV55">
        <v>100594</v>
      </c>
      <c r="AW55">
        <v>3500</v>
      </c>
      <c r="AX55">
        <v>9000</v>
      </c>
      <c r="AY55">
        <v>19560</v>
      </c>
      <c r="AZ55">
        <v>17490</v>
      </c>
      <c r="BA55">
        <v>0</v>
      </c>
      <c r="BD55">
        <v>82815</v>
      </c>
      <c r="BE55">
        <v>934800</v>
      </c>
      <c r="BF55">
        <v>1187134</v>
      </c>
      <c r="BG55">
        <v>0</v>
      </c>
      <c r="BH55">
        <v>1187134</v>
      </c>
      <c r="BI55">
        <v>60.691922290388547</v>
      </c>
    </row>
    <row r="56" spans="1:61" x14ac:dyDescent="0.25">
      <c r="A56" t="s">
        <v>1565</v>
      </c>
      <c r="B56" t="s">
        <v>47</v>
      </c>
      <c r="C56" t="s">
        <v>1771</v>
      </c>
      <c r="D56" t="s">
        <v>330</v>
      </c>
      <c r="E56" t="s">
        <v>1755</v>
      </c>
      <c r="F56" t="s">
        <v>1755</v>
      </c>
      <c r="G56" t="s">
        <v>125</v>
      </c>
      <c r="H56" t="s">
        <v>6063</v>
      </c>
      <c r="I56" t="s">
        <v>329</v>
      </c>
      <c r="K56" t="str">
        <f>CONCATENATE(Shipment_Master_Database[[#This Row],[Exp '#]],"-",Shipment_Master_Database[[#This Row],[B. '#]])</f>
        <v>2273rd-</v>
      </c>
      <c r="L56" t="s">
        <v>332</v>
      </c>
      <c r="M56" t="s">
        <v>331</v>
      </c>
      <c r="O56">
        <v>1</v>
      </c>
      <c r="P56">
        <v>500</v>
      </c>
      <c r="Q56">
        <v>750</v>
      </c>
      <c r="R56" t="s">
        <v>1755</v>
      </c>
      <c r="S56" t="s">
        <v>1755</v>
      </c>
      <c r="T56" t="s">
        <v>1755</v>
      </c>
      <c r="U56" t="s">
        <v>1755</v>
      </c>
      <c r="AF56" s="19"/>
      <c r="AG56">
        <v>45967</v>
      </c>
      <c r="AH56" t="s">
        <v>1755</v>
      </c>
      <c r="AI56" t="s">
        <v>1755</v>
      </c>
      <c r="AJ56" t="s">
        <v>1755</v>
      </c>
      <c r="AK56">
        <v>46025</v>
      </c>
      <c r="AL56">
        <v>0</v>
      </c>
      <c r="AM56">
        <v>0</v>
      </c>
      <c r="AO56" t="s">
        <v>1755</v>
      </c>
      <c r="AP56" t="s">
        <v>1755</v>
      </c>
      <c r="AQ56" t="s">
        <v>1755</v>
      </c>
      <c r="AR56" t="s">
        <v>1755</v>
      </c>
      <c r="AT56" t="s">
        <v>1755</v>
      </c>
      <c r="AU56">
        <v>6958</v>
      </c>
      <c r="AV56">
        <v>5250</v>
      </c>
      <c r="AW56">
        <v>0</v>
      </c>
      <c r="AX56">
        <v>0</v>
      </c>
      <c r="AY56">
        <v>750</v>
      </c>
      <c r="AZ56">
        <v>0</v>
      </c>
      <c r="BA56">
        <v>0</v>
      </c>
      <c r="BD56">
        <v>0</v>
      </c>
      <c r="BE56">
        <v>0</v>
      </c>
      <c r="BF56">
        <v>12958</v>
      </c>
      <c r="BG56">
        <v>0</v>
      </c>
      <c r="BH56">
        <v>12958</v>
      </c>
      <c r="BI56">
        <v>17.277333333333335</v>
      </c>
    </row>
    <row r="57" spans="1:61" x14ac:dyDescent="0.25">
      <c r="A57" t="s">
        <v>1565</v>
      </c>
      <c r="B57" t="s">
        <v>47</v>
      </c>
      <c r="C57" t="s">
        <v>1771</v>
      </c>
      <c r="D57" t="s">
        <v>2719</v>
      </c>
      <c r="E57" t="s">
        <v>147</v>
      </c>
      <c r="F57" t="s">
        <v>146</v>
      </c>
      <c r="G57" t="s">
        <v>125</v>
      </c>
      <c r="H57" t="s">
        <v>6069</v>
      </c>
      <c r="I57" t="s">
        <v>141</v>
      </c>
      <c r="J57" t="s">
        <v>422</v>
      </c>
      <c r="K57" t="str">
        <f>CONCATENATE(Shipment_Master_Database[[#This Row],[Exp '#]],"-",Shipment_Master_Database[[#This Row],[B. '#]])</f>
        <v>2211st-2nd</v>
      </c>
      <c r="L57" t="s">
        <v>145</v>
      </c>
      <c r="M57" t="s">
        <v>5671</v>
      </c>
      <c r="O57">
        <v>41</v>
      </c>
      <c r="P57">
        <v>109610</v>
      </c>
      <c r="Q57">
        <v>117270</v>
      </c>
      <c r="R57" t="s">
        <v>128</v>
      </c>
      <c r="S57" t="s">
        <v>148</v>
      </c>
      <c r="T57" t="s">
        <v>149</v>
      </c>
      <c r="U57" t="s">
        <v>6139</v>
      </c>
      <c r="AB57">
        <v>3</v>
      </c>
      <c r="AC57">
        <v>1</v>
      </c>
      <c r="AF57" s="19"/>
      <c r="AG57">
        <v>45995</v>
      </c>
      <c r="AH57">
        <v>45995</v>
      </c>
      <c r="AI57">
        <v>46001</v>
      </c>
      <c r="AJ57">
        <v>46026</v>
      </c>
      <c r="AK57">
        <v>46025</v>
      </c>
      <c r="AL57">
        <v>24</v>
      </c>
      <c r="AM57">
        <v>-1</v>
      </c>
      <c r="AO57" t="s">
        <v>1268</v>
      </c>
      <c r="AP57" t="s">
        <v>6085</v>
      </c>
      <c r="AQ57" t="s">
        <v>6061</v>
      </c>
      <c r="AR57" t="s">
        <v>300</v>
      </c>
      <c r="AT57" t="s">
        <v>6140</v>
      </c>
      <c r="AU57">
        <v>685000</v>
      </c>
      <c r="AV57">
        <v>413130</v>
      </c>
      <c r="AW57">
        <v>14000</v>
      </c>
      <c r="AX57">
        <v>19500</v>
      </c>
      <c r="AY57">
        <v>117270</v>
      </c>
      <c r="AZ57">
        <v>127200</v>
      </c>
      <c r="BA57">
        <v>38400</v>
      </c>
      <c r="BD57">
        <v>73470</v>
      </c>
      <c r="BE57">
        <v>6289950</v>
      </c>
      <c r="BF57">
        <v>7777920</v>
      </c>
      <c r="BG57">
        <v>0</v>
      </c>
      <c r="BH57">
        <v>7777920</v>
      </c>
      <c r="BI57">
        <v>66.324891276541308</v>
      </c>
    </row>
    <row r="58" spans="1:61" x14ac:dyDescent="0.25">
      <c r="A58" t="s">
        <v>1565</v>
      </c>
      <c r="B58" t="s">
        <v>47</v>
      </c>
      <c r="C58" t="s">
        <v>1760</v>
      </c>
      <c r="D58" t="s">
        <v>281</v>
      </c>
      <c r="E58" t="s">
        <v>287</v>
      </c>
      <c r="F58" t="s">
        <v>286</v>
      </c>
      <c r="G58" t="s">
        <v>125</v>
      </c>
      <c r="H58" t="s">
        <v>6063</v>
      </c>
      <c r="I58" t="s">
        <v>280</v>
      </c>
      <c r="J58" t="s">
        <v>1755</v>
      </c>
      <c r="K58" t="str">
        <f>CONCATENATE(Shipment_Master_Database[[#This Row],[Exp '#]],"-",Shipment_Master_Database[[#This Row],[B. '#]])</f>
        <v>2256th--</v>
      </c>
      <c r="L58" t="s">
        <v>283</v>
      </c>
      <c r="M58" t="s">
        <v>282</v>
      </c>
      <c r="O58">
        <v>2</v>
      </c>
      <c r="P58">
        <v>3460</v>
      </c>
      <c r="Q58">
        <v>4560</v>
      </c>
      <c r="R58" t="s">
        <v>288</v>
      </c>
      <c r="S58" t="s">
        <v>148</v>
      </c>
      <c r="T58" t="s">
        <v>289</v>
      </c>
      <c r="U58" t="s">
        <v>1755</v>
      </c>
      <c r="AD58">
        <v>1</v>
      </c>
      <c r="AF58" s="19"/>
      <c r="AG58">
        <v>45933</v>
      </c>
      <c r="AH58">
        <v>45933</v>
      </c>
      <c r="AI58">
        <v>45946</v>
      </c>
      <c r="AJ58">
        <v>46021</v>
      </c>
      <c r="AK58">
        <v>46031</v>
      </c>
      <c r="AL58">
        <v>85</v>
      </c>
      <c r="AM58">
        <v>10</v>
      </c>
      <c r="AO58" t="s">
        <v>1268</v>
      </c>
      <c r="AP58" t="s">
        <v>6061</v>
      </c>
      <c r="AQ58" t="s">
        <v>6061</v>
      </c>
      <c r="AR58" t="s">
        <v>291</v>
      </c>
      <c r="AT58" t="s">
        <v>6141</v>
      </c>
      <c r="AU58">
        <v>105479</v>
      </c>
      <c r="AV58">
        <v>28493</v>
      </c>
      <c r="AW58">
        <v>13500</v>
      </c>
      <c r="AX58">
        <v>0</v>
      </c>
      <c r="AY58">
        <v>4560</v>
      </c>
      <c r="AZ58">
        <v>9000</v>
      </c>
      <c r="BA58">
        <v>13975</v>
      </c>
      <c r="BD58">
        <v>85421</v>
      </c>
      <c r="BE58">
        <v>0</v>
      </c>
      <c r="BF58">
        <v>260428</v>
      </c>
      <c r="BG58">
        <v>0</v>
      </c>
      <c r="BH58">
        <v>260428</v>
      </c>
      <c r="BI58">
        <v>57.111403508771929</v>
      </c>
    </row>
    <row r="59" spans="1:61" x14ac:dyDescent="0.25">
      <c r="A59" t="s">
        <v>1565</v>
      </c>
      <c r="B59" t="s">
        <v>47</v>
      </c>
      <c r="C59" t="s">
        <v>1760</v>
      </c>
      <c r="D59" t="s">
        <v>154</v>
      </c>
      <c r="E59" t="s">
        <v>159</v>
      </c>
      <c r="F59" t="s">
        <v>158</v>
      </c>
      <c r="G59" t="s">
        <v>157</v>
      </c>
      <c r="H59" t="s">
        <v>6069</v>
      </c>
      <c r="I59" t="s">
        <v>153</v>
      </c>
      <c r="J59" t="s">
        <v>1755</v>
      </c>
      <c r="K59" t="str">
        <f>CONCATENATE(Shipment_Master_Database[[#This Row],[Exp '#]],"-",Shipment_Master_Database[[#This Row],[B. '#]])</f>
        <v>2214th--</v>
      </c>
      <c r="L59" t="s">
        <v>156</v>
      </c>
      <c r="M59" t="s">
        <v>155</v>
      </c>
      <c r="N59" t="s">
        <v>3372</v>
      </c>
      <c r="O59">
        <v>2</v>
      </c>
      <c r="P59">
        <v>34080</v>
      </c>
      <c r="Q59">
        <v>34740</v>
      </c>
      <c r="R59" t="s">
        <v>160</v>
      </c>
      <c r="S59" t="s">
        <v>148</v>
      </c>
      <c r="T59" t="s">
        <v>149</v>
      </c>
      <c r="U59" t="s">
        <v>161</v>
      </c>
      <c r="W59">
        <v>2</v>
      </c>
      <c r="AF59" s="19"/>
      <c r="AG59">
        <v>45968</v>
      </c>
      <c r="AH59">
        <v>45969</v>
      </c>
      <c r="AI59">
        <v>45977</v>
      </c>
      <c r="AJ59">
        <v>46018</v>
      </c>
      <c r="AK59">
        <v>46036</v>
      </c>
      <c r="AL59">
        <v>59</v>
      </c>
      <c r="AM59">
        <v>18</v>
      </c>
      <c r="AP59" t="s">
        <v>6086</v>
      </c>
      <c r="AQ59" t="s">
        <v>6061</v>
      </c>
      <c r="AR59" t="s">
        <v>163</v>
      </c>
      <c r="AT59" t="s">
        <v>157</v>
      </c>
      <c r="AU59">
        <v>48750</v>
      </c>
      <c r="AV59">
        <v>173700</v>
      </c>
      <c r="AW59">
        <v>0</v>
      </c>
      <c r="AX59">
        <v>0</v>
      </c>
      <c r="AY59">
        <v>34740</v>
      </c>
      <c r="AZ59">
        <v>0</v>
      </c>
      <c r="BA59">
        <v>0</v>
      </c>
      <c r="BD59">
        <v>0</v>
      </c>
      <c r="BE59">
        <v>0</v>
      </c>
      <c r="BF59">
        <v>257190</v>
      </c>
      <c r="BG59">
        <v>0</v>
      </c>
      <c r="BH59">
        <v>257190</v>
      </c>
      <c r="BI59">
        <v>7.4032815198618307</v>
      </c>
    </row>
    <row r="60" spans="1:61" x14ac:dyDescent="0.25">
      <c r="A60" t="s">
        <v>1565</v>
      </c>
      <c r="B60" t="s">
        <v>47</v>
      </c>
      <c r="C60" t="s">
        <v>1771</v>
      </c>
      <c r="D60" t="s">
        <v>5522</v>
      </c>
      <c r="E60" t="s">
        <v>170</v>
      </c>
      <c r="F60" t="s">
        <v>169</v>
      </c>
      <c r="G60" t="s">
        <v>125</v>
      </c>
      <c r="H60" t="s">
        <v>6069</v>
      </c>
      <c r="I60" t="s">
        <v>164</v>
      </c>
      <c r="J60" t="s">
        <v>761</v>
      </c>
      <c r="K60" t="str">
        <f>CONCATENATE(Shipment_Master_Database[[#This Row],[Exp '#]],"-",Shipment_Master_Database[[#This Row],[B. '#]])</f>
        <v>2224th-1st</v>
      </c>
      <c r="L60" t="s">
        <v>5524</v>
      </c>
      <c r="M60" t="s">
        <v>5523</v>
      </c>
      <c r="N60" t="s">
        <v>3701</v>
      </c>
      <c r="O60">
        <v>1</v>
      </c>
      <c r="P60">
        <v>30761</v>
      </c>
      <c r="Q60">
        <v>31930</v>
      </c>
      <c r="R60" t="s">
        <v>263</v>
      </c>
      <c r="S60" t="s">
        <v>148</v>
      </c>
      <c r="T60" t="s">
        <v>149</v>
      </c>
      <c r="U60">
        <v>93997544</v>
      </c>
      <c r="AB60">
        <v>1</v>
      </c>
      <c r="AF60" s="19"/>
      <c r="AG60">
        <v>45933</v>
      </c>
      <c r="AH60">
        <v>45933</v>
      </c>
      <c r="AI60">
        <v>45938</v>
      </c>
      <c r="AJ60">
        <v>46023</v>
      </c>
      <c r="AK60">
        <v>46030</v>
      </c>
      <c r="AL60">
        <v>92</v>
      </c>
      <c r="AM60">
        <v>7</v>
      </c>
      <c r="AO60" t="s">
        <v>1268</v>
      </c>
      <c r="AP60" t="s">
        <v>6061</v>
      </c>
      <c r="AQ60" t="s">
        <v>6086</v>
      </c>
      <c r="AR60" t="s">
        <v>6142</v>
      </c>
      <c r="AT60" t="s">
        <v>6143</v>
      </c>
      <c r="AU60">
        <v>23425</v>
      </c>
      <c r="AV60">
        <v>155521</v>
      </c>
      <c r="AW60">
        <v>3500</v>
      </c>
      <c r="AX60">
        <v>19500</v>
      </c>
      <c r="AY60">
        <v>31930</v>
      </c>
      <c r="AZ60">
        <v>47700</v>
      </c>
      <c r="BA60">
        <v>14875</v>
      </c>
      <c r="BD60">
        <v>68768</v>
      </c>
      <c r="BE60">
        <v>1743456</v>
      </c>
      <c r="BF60">
        <v>2108675</v>
      </c>
      <c r="BG60">
        <v>0</v>
      </c>
      <c r="BH60">
        <v>2108675</v>
      </c>
      <c r="BI60">
        <v>66.04055746946446</v>
      </c>
    </row>
    <row r="61" spans="1:61" x14ac:dyDescent="0.25">
      <c r="A61" t="s">
        <v>1565</v>
      </c>
      <c r="B61" t="s">
        <v>47</v>
      </c>
      <c r="C61" t="s">
        <v>1771</v>
      </c>
      <c r="D61" t="s">
        <v>258</v>
      </c>
      <c r="E61" t="s">
        <v>147</v>
      </c>
      <c r="F61" t="s">
        <v>146</v>
      </c>
      <c r="G61" t="s">
        <v>125</v>
      </c>
      <c r="H61" t="s">
        <v>6063</v>
      </c>
      <c r="I61" t="s">
        <v>257</v>
      </c>
      <c r="K61" t="str">
        <f>CONCATENATE(Shipment_Master_Database[[#This Row],[Exp '#]],"-",Shipment_Master_Database[[#This Row],[B. '#]])</f>
        <v>2254th-</v>
      </c>
      <c r="L61" t="s">
        <v>260</v>
      </c>
      <c r="M61" t="s">
        <v>259</v>
      </c>
      <c r="N61" t="s">
        <v>3531</v>
      </c>
      <c r="O61">
        <v>1</v>
      </c>
      <c r="P61">
        <v>3825</v>
      </c>
      <c r="Q61">
        <v>4285</v>
      </c>
      <c r="R61" t="s">
        <v>263</v>
      </c>
      <c r="S61" t="s">
        <v>148</v>
      </c>
      <c r="T61" t="s">
        <v>149</v>
      </c>
      <c r="U61">
        <v>34245559</v>
      </c>
      <c r="W61">
        <v>1</v>
      </c>
      <c r="AF61" s="19"/>
      <c r="AG61">
        <v>46001</v>
      </c>
      <c r="AH61">
        <v>46001</v>
      </c>
      <c r="AI61">
        <v>46016</v>
      </c>
      <c r="AJ61">
        <v>46033</v>
      </c>
      <c r="AK61">
        <v>46038</v>
      </c>
      <c r="AL61">
        <v>22</v>
      </c>
      <c r="AM61">
        <v>5</v>
      </c>
      <c r="AP61" t="s">
        <v>6085</v>
      </c>
      <c r="AQ61" t="s">
        <v>6061</v>
      </c>
      <c r="AR61" t="s">
        <v>265</v>
      </c>
      <c r="AT61" t="s">
        <v>6144</v>
      </c>
      <c r="AU61">
        <v>37417</v>
      </c>
      <c r="AV61">
        <v>22037</v>
      </c>
      <c r="AW61">
        <v>0</v>
      </c>
      <c r="AX61">
        <v>5000</v>
      </c>
      <c r="AY61">
        <v>3825</v>
      </c>
      <c r="AZ61">
        <v>0</v>
      </c>
      <c r="BA61">
        <v>0</v>
      </c>
      <c r="BD61">
        <v>17293</v>
      </c>
      <c r="BE61">
        <v>1737477</v>
      </c>
      <c r="BF61">
        <v>1823049</v>
      </c>
      <c r="BG61">
        <v>0</v>
      </c>
      <c r="BH61">
        <v>1823049</v>
      </c>
      <c r="BI61">
        <v>425.449008168028</v>
      </c>
    </row>
    <row r="62" spans="1:61" x14ac:dyDescent="0.25">
      <c r="A62" t="s">
        <v>1565</v>
      </c>
      <c r="B62" t="s">
        <v>47</v>
      </c>
      <c r="C62" t="s">
        <v>1771</v>
      </c>
      <c r="D62" t="s">
        <v>137</v>
      </c>
      <c r="E62" t="s">
        <v>1755</v>
      </c>
      <c r="F62" t="s">
        <v>1755</v>
      </c>
      <c r="G62" t="s">
        <v>125</v>
      </c>
      <c r="H62" t="s">
        <v>6063</v>
      </c>
      <c r="I62" t="s">
        <v>136</v>
      </c>
      <c r="J62" t="s">
        <v>6145</v>
      </c>
      <c r="K62" t="str">
        <f>CONCATENATE(Shipment_Master_Database[[#This Row],[Exp '#]],"-",Shipment_Master_Database[[#This Row],[B. '#]])</f>
        <v xml:space="preserve">2206th-2nd </v>
      </c>
      <c r="L62" t="s">
        <v>139</v>
      </c>
      <c r="M62" t="s">
        <v>138</v>
      </c>
      <c r="N62" t="s">
        <v>32</v>
      </c>
      <c r="O62">
        <v>2</v>
      </c>
      <c r="P62">
        <v>5860</v>
      </c>
      <c r="Q62">
        <v>6200</v>
      </c>
      <c r="R62" t="s">
        <v>1755</v>
      </c>
      <c r="S62" t="s">
        <v>1755</v>
      </c>
      <c r="T62" t="s">
        <v>1755</v>
      </c>
      <c r="U62" t="s">
        <v>1755</v>
      </c>
      <c r="AF62" s="19"/>
      <c r="AG62">
        <v>46001</v>
      </c>
      <c r="AH62" t="s">
        <v>1755</v>
      </c>
      <c r="AI62">
        <v>46016</v>
      </c>
      <c r="AJ62" t="s">
        <v>1755</v>
      </c>
      <c r="AK62">
        <v>46038</v>
      </c>
      <c r="AL62">
        <v>22</v>
      </c>
      <c r="AM62">
        <v>0</v>
      </c>
      <c r="AO62" t="s">
        <v>1755</v>
      </c>
      <c r="AP62" t="s">
        <v>1755</v>
      </c>
      <c r="AQ62" t="s">
        <v>1755</v>
      </c>
      <c r="AR62" t="s">
        <v>1755</v>
      </c>
      <c r="AT62" t="s">
        <v>1755</v>
      </c>
      <c r="AU62">
        <v>4599</v>
      </c>
      <c r="AV62">
        <v>42160</v>
      </c>
      <c r="AW62">
        <v>0</v>
      </c>
      <c r="AX62">
        <v>0</v>
      </c>
      <c r="AY62">
        <v>6200</v>
      </c>
      <c r="AZ62">
        <v>0</v>
      </c>
      <c r="BA62">
        <v>0</v>
      </c>
      <c r="BD62">
        <v>0</v>
      </c>
      <c r="BE62">
        <v>0</v>
      </c>
      <c r="BF62">
        <v>52959</v>
      </c>
      <c r="BG62">
        <v>0</v>
      </c>
      <c r="BH62">
        <v>52959</v>
      </c>
      <c r="BI62">
        <v>8.5417741935483864</v>
      </c>
    </row>
    <row r="63" spans="1:61" x14ac:dyDescent="0.25">
      <c r="A63" t="s">
        <v>1565</v>
      </c>
      <c r="B63" t="s">
        <v>47</v>
      </c>
      <c r="C63" t="s">
        <v>1771</v>
      </c>
      <c r="D63" t="s">
        <v>44</v>
      </c>
      <c r="E63" t="s">
        <v>147</v>
      </c>
      <c r="F63" t="s">
        <v>146</v>
      </c>
      <c r="G63" t="s">
        <v>125</v>
      </c>
      <c r="H63" t="s">
        <v>6069</v>
      </c>
      <c r="I63" t="s">
        <v>301</v>
      </c>
      <c r="J63" t="s">
        <v>6145</v>
      </c>
      <c r="K63" t="str">
        <f>CONCATENATE(Shipment_Master_Database[[#This Row],[Exp '#]],"-",Shipment_Master_Database[[#This Row],[B. '#]])</f>
        <v xml:space="preserve">2265th-2nd </v>
      </c>
      <c r="L63" t="s">
        <v>6146</v>
      </c>
      <c r="M63" t="s">
        <v>6147</v>
      </c>
      <c r="O63">
        <v>9</v>
      </c>
      <c r="P63">
        <v>15475</v>
      </c>
      <c r="Q63">
        <v>17125</v>
      </c>
      <c r="R63" t="s">
        <v>263</v>
      </c>
      <c r="S63" t="s">
        <v>148</v>
      </c>
      <c r="T63" t="s">
        <v>149</v>
      </c>
      <c r="U63">
        <v>93871217</v>
      </c>
      <c r="AC63">
        <v>1</v>
      </c>
      <c r="AF63" s="19"/>
      <c r="AG63">
        <v>46010</v>
      </c>
      <c r="AH63">
        <v>46007</v>
      </c>
      <c r="AI63">
        <v>46016</v>
      </c>
      <c r="AJ63">
        <v>46034</v>
      </c>
      <c r="AK63">
        <v>46038</v>
      </c>
      <c r="AL63">
        <v>22</v>
      </c>
      <c r="AM63">
        <v>4</v>
      </c>
      <c r="AO63" t="s">
        <v>1268</v>
      </c>
      <c r="AP63" t="s">
        <v>6148</v>
      </c>
      <c r="AQ63" t="s">
        <v>6061</v>
      </c>
      <c r="AR63" t="s">
        <v>152</v>
      </c>
      <c r="AT63" t="s">
        <v>6149</v>
      </c>
      <c r="AU63">
        <v>101570</v>
      </c>
      <c r="AV63">
        <v>126725</v>
      </c>
      <c r="AW63">
        <v>3500</v>
      </c>
      <c r="AX63">
        <v>19500</v>
      </c>
      <c r="AY63">
        <v>17125</v>
      </c>
      <c r="AZ63">
        <v>0</v>
      </c>
      <c r="BA63">
        <v>12000</v>
      </c>
      <c r="BD63">
        <v>75741</v>
      </c>
      <c r="BE63">
        <v>2701791</v>
      </c>
      <c r="BF63">
        <v>3057952</v>
      </c>
      <c r="BG63">
        <v>0</v>
      </c>
      <c r="BH63">
        <v>3057952</v>
      </c>
      <c r="BI63">
        <v>178.56654014598541</v>
      </c>
    </row>
    <row r="64" spans="1:61" x14ac:dyDescent="0.25">
      <c r="A64" t="s">
        <v>1565</v>
      </c>
      <c r="B64" t="s">
        <v>47</v>
      </c>
      <c r="C64" t="s">
        <v>1760</v>
      </c>
      <c r="D64" t="s">
        <v>154</v>
      </c>
      <c r="E64" t="s">
        <v>326</v>
      </c>
      <c r="F64" t="s">
        <v>222</v>
      </c>
      <c r="G64" t="s">
        <v>157</v>
      </c>
      <c r="H64" t="s">
        <v>6069</v>
      </c>
      <c r="I64" t="s">
        <v>322</v>
      </c>
      <c r="J64" t="s">
        <v>1755</v>
      </c>
      <c r="K64" t="str">
        <f>CONCATENATE(Shipment_Master_Database[[#This Row],[Exp '#]],"-",Shipment_Master_Database[[#This Row],[B. '#]])</f>
        <v>2272nd--</v>
      </c>
      <c r="L64" t="s">
        <v>120</v>
      </c>
      <c r="M64" t="s">
        <v>323</v>
      </c>
      <c r="N64" t="s">
        <v>3727</v>
      </c>
      <c r="O64">
        <v>4</v>
      </c>
      <c r="P64">
        <v>44400</v>
      </c>
      <c r="Q64">
        <v>45320</v>
      </c>
      <c r="R64" t="s">
        <v>160</v>
      </c>
      <c r="S64" t="s">
        <v>148</v>
      </c>
      <c r="T64" t="s">
        <v>149</v>
      </c>
      <c r="U64" t="s">
        <v>327</v>
      </c>
      <c r="W64">
        <v>2</v>
      </c>
      <c r="AF64" s="19"/>
      <c r="AG64">
        <v>45968</v>
      </c>
      <c r="AH64">
        <v>45969</v>
      </c>
      <c r="AI64">
        <v>45982</v>
      </c>
      <c r="AJ64">
        <v>46027</v>
      </c>
      <c r="AK64">
        <v>46042</v>
      </c>
      <c r="AL64">
        <v>60</v>
      </c>
      <c r="AM64">
        <v>15</v>
      </c>
      <c r="AO64" t="s">
        <v>1268</v>
      </c>
      <c r="AP64" t="s">
        <v>6086</v>
      </c>
      <c r="AQ64" t="s">
        <v>6061</v>
      </c>
      <c r="AR64" t="s">
        <v>163</v>
      </c>
      <c r="AT64" t="s">
        <v>157</v>
      </c>
      <c r="AU64">
        <v>71250</v>
      </c>
      <c r="AV64">
        <v>28493</v>
      </c>
      <c r="AW64">
        <v>7000</v>
      </c>
      <c r="AX64">
        <v>18000</v>
      </c>
      <c r="AY64">
        <v>45320</v>
      </c>
      <c r="AZ64">
        <v>9000</v>
      </c>
      <c r="BA64">
        <v>13975</v>
      </c>
      <c r="BD64">
        <v>85421</v>
      </c>
      <c r="BE64">
        <v>0</v>
      </c>
      <c r="BF64">
        <v>278459</v>
      </c>
      <c r="BG64">
        <v>0</v>
      </c>
      <c r="BH64">
        <v>278459</v>
      </c>
      <c r="BI64">
        <v>6.1442850838481906</v>
      </c>
    </row>
    <row r="65" spans="1:61" x14ac:dyDescent="0.25">
      <c r="A65" t="s">
        <v>1565</v>
      </c>
      <c r="B65" t="s">
        <v>47</v>
      </c>
      <c r="C65" t="s">
        <v>1760</v>
      </c>
      <c r="D65" t="s">
        <v>1029</v>
      </c>
      <c r="E65" t="s">
        <v>147</v>
      </c>
      <c r="F65" t="s">
        <v>146</v>
      </c>
      <c r="G65" t="s">
        <v>125</v>
      </c>
      <c r="H65" t="s">
        <v>6069</v>
      </c>
      <c r="I65" t="s">
        <v>444</v>
      </c>
      <c r="K65" t="str">
        <f>CONCATENATE(Shipment_Master_Database[[#This Row],[Exp '#]],"-",Shipment_Master_Database[[#This Row],[B. '#]])</f>
        <v>2297th-</v>
      </c>
      <c r="L65" t="s">
        <v>156</v>
      </c>
      <c r="M65" t="s">
        <v>446</v>
      </c>
      <c r="O65">
        <v>4</v>
      </c>
      <c r="P65">
        <v>29192</v>
      </c>
      <c r="Q65">
        <v>29952</v>
      </c>
      <c r="R65" t="s">
        <v>263</v>
      </c>
      <c r="S65" t="s">
        <v>148</v>
      </c>
      <c r="T65" t="s">
        <v>149</v>
      </c>
      <c r="U65">
        <v>94130732</v>
      </c>
      <c r="AB65">
        <v>1</v>
      </c>
      <c r="AF65" s="19"/>
      <c r="AG65">
        <v>46009</v>
      </c>
      <c r="AH65">
        <v>46007</v>
      </c>
      <c r="AI65">
        <v>46016</v>
      </c>
      <c r="AJ65">
        <v>46035</v>
      </c>
      <c r="AK65">
        <v>46046</v>
      </c>
      <c r="AL65">
        <v>30</v>
      </c>
      <c r="AM65">
        <v>11</v>
      </c>
      <c r="AO65" t="s">
        <v>1755</v>
      </c>
      <c r="AP65" t="s">
        <v>6148</v>
      </c>
      <c r="AQ65" t="s">
        <v>6061</v>
      </c>
      <c r="AR65" t="s">
        <v>152</v>
      </c>
      <c r="AT65" t="s">
        <v>6150</v>
      </c>
      <c r="AU65">
        <v>71250</v>
      </c>
      <c r="AV65">
        <v>176433</v>
      </c>
      <c r="AW65">
        <v>3500</v>
      </c>
      <c r="AX65">
        <v>19500</v>
      </c>
      <c r="AY65">
        <v>29952</v>
      </c>
      <c r="AZ65">
        <v>29150</v>
      </c>
      <c r="BA65">
        <v>8800</v>
      </c>
      <c r="BD65">
        <v>20263</v>
      </c>
      <c r="BE65">
        <v>1165650</v>
      </c>
      <c r="BF65">
        <v>1524498</v>
      </c>
      <c r="BG65">
        <v>0</v>
      </c>
      <c r="BH65">
        <v>1524498</v>
      </c>
      <c r="BI65">
        <v>50.898036858974358</v>
      </c>
    </row>
    <row r="66" spans="1:61" x14ac:dyDescent="0.25">
      <c r="A66" t="s">
        <v>1565</v>
      </c>
      <c r="B66" t="s">
        <v>47</v>
      </c>
      <c r="C66" t="s">
        <v>1771</v>
      </c>
      <c r="D66" t="s">
        <v>4070</v>
      </c>
      <c r="E66" t="s">
        <v>1755</v>
      </c>
      <c r="F66" t="s">
        <v>1755</v>
      </c>
      <c r="G66" t="s">
        <v>125</v>
      </c>
      <c r="H66" t="s">
        <v>6063</v>
      </c>
      <c r="I66" t="s">
        <v>539</v>
      </c>
      <c r="K66" t="str">
        <f>CONCATENATE(Shipment_Master_Database[[#This Row],[Exp '#]],"-",Shipment_Master_Database[[#This Row],[B. '#]])</f>
        <v>2315th-</v>
      </c>
      <c r="L66" t="s">
        <v>120</v>
      </c>
      <c r="M66" t="s">
        <v>540</v>
      </c>
      <c r="O66">
        <v>1</v>
      </c>
      <c r="P66">
        <v>7000</v>
      </c>
      <c r="Q66">
        <v>7300</v>
      </c>
      <c r="R66" t="s">
        <v>1755</v>
      </c>
      <c r="S66" t="s">
        <v>1755</v>
      </c>
      <c r="T66" t="s">
        <v>1755</v>
      </c>
      <c r="U66" t="s">
        <v>1755</v>
      </c>
      <c r="AF66" s="19"/>
      <c r="AG66">
        <v>46009</v>
      </c>
      <c r="AH66" t="s">
        <v>1755</v>
      </c>
      <c r="AI66">
        <v>46016</v>
      </c>
      <c r="AJ66" t="s">
        <v>1755</v>
      </c>
      <c r="AK66">
        <v>46046</v>
      </c>
      <c r="AL66">
        <v>30</v>
      </c>
      <c r="AM66">
        <v>0</v>
      </c>
      <c r="AO66" t="s">
        <v>1755</v>
      </c>
      <c r="AP66" t="s">
        <v>1755</v>
      </c>
      <c r="AQ66" t="s">
        <v>1755</v>
      </c>
      <c r="AR66" t="s">
        <v>1755</v>
      </c>
      <c r="AT66" t="s">
        <v>1755</v>
      </c>
      <c r="AU66">
        <v>15188</v>
      </c>
      <c r="AV66">
        <v>51100</v>
      </c>
      <c r="AW66">
        <v>0</v>
      </c>
      <c r="AX66">
        <v>0</v>
      </c>
      <c r="AY66">
        <v>7300</v>
      </c>
      <c r="AZ66">
        <v>0</v>
      </c>
      <c r="BA66">
        <v>8800</v>
      </c>
      <c r="BD66">
        <v>0</v>
      </c>
      <c r="BE66">
        <v>0</v>
      </c>
      <c r="BF66">
        <v>82388</v>
      </c>
      <c r="BG66">
        <v>0</v>
      </c>
      <c r="BH66">
        <v>82388</v>
      </c>
      <c r="BI66">
        <v>11.286027397260273</v>
      </c>
    </row>
    <row r="67" spans="1:61" x14ac:dyDescent="0.25">
      <c r="A67" t="s">
        <v>1565</v>
      </c>
      <c r="B67" t="s">
        <v>47</v>
      </c>
      <c r="C67" t="s">
        <v>1760</v>
      </c>
      <c r="D67" t="s">
        <v>2719</v>
      </c>
      <c r="E67" t="s">
        <v>147</v>
      </c>
      <c r="F67" t="s">
        <v>146</v>
      </c>
      <c r="G67" t="s">
        <v>125</v>
      </c>
      <c r="H67" t="s">
        <v>6069</v>
      </c>
      <c r="I67" t="s">
        <v>141</v>
      </c>
      <c r="J67" t="s">
        <v>142</v>
      </c>
      <c r="K67" t="str">
        <f>CONCATENATE(Shipment_Master_Database[[#This Row],[Exp '#]],"-",Shipment_Master_Database[[#This Row],[B. '#]])</f>
        <v>2211st-3rd</v>
      </c>
      <c r="L67" t="s">
        <v>145</v>
      </c>
      <c r="M67" t="s">
        <v>144</v>
      </c>
      <c r="O67">
        <v>40</v>
      </c>
      <c r="P67">
        <v>108410</v>
      </c>
      <c r="Q67">
        <v>116090</v>
      </c>
      <c r="R67" t="s">
        <v>263</v>
      </c>
      <c r="S67" t="s">
        <v>148</v>
      </c>
      <c r="T67" t="s">
        <v>149</v>
      </c>
      <c r="U67" t="s">
        <v>150</v>
      </c>
      <c r="AB67">
        <v>3</v>
      </c>
      <c r="AC67">
        <v>1</v>
      </c>
      <c r="AF67" s="19"/>
      <c r="AG67">
        <v>46011</v>
      </c>
      <c r="AH67">
        <v>46007</v>
      </c>
      <c r="AI67">
        <v>46016</v>
      </c>
      <c r="AJ67">
        <v>46034</v>
      </c>
      <c r="AK67">
        <v>46046</v>
      </c>
      <c r="AL67">
        <v>30</v>
      </c>
      <c r="AM67">
        <v>12</v>
      </c>
      <c r="AO67" t="s">
        <v>1268</v>
      </c>
      <c r="AP67" t="s">
        <v>6148</v>
      </c>
      <c r="AQ67" t="s">
        <v>6061</v>
      </c>
      <c r="AR67" t="s">
        <v>152</v>
      </c>
      <c r="AT67" t="s">
        <v>6151</v>
      </c>
      <c r="AU67">
        <v>685000</v>
      </c>
      <c r="AV67">
        <v>654005</v>
      </c>
      <c r="AW67">
        <v>14000</v>
      </c>
      <c r="AX67">
        <v>78000</v>
      </c>
      <c r="AY67">
        <v>116090</v>
      </c>
      <c r="AZ67">
        <v>175000</v>
      </c>
      <c r="BA67">
        <v>22000</v>
      </c>
      <c r="BD67">
        <v>79470</v>
      </c>
      <c r="BE67">
        <v>5839656</v>
      </c>
      <c r="BF67">
        <v>7663221</v>
      </c>
      <c r="BG67">
        <v>0</v>
      </c>
      <c r="BH67">
        <v>7663221</v>
      </c>
      <c r="BI67">
        <v>66.011034542165561</v>
      </c>
    </row>
    <row r="68" spans="1:61" x14ac:dyDescent="0.25">
      <c r="A68" t="s">
        <v>1565</v>
      </c>
      <c r="B68" t="s">
        <v>47</v>
      </c>
      <c r="C68" t="s">
        <v>1771</v>
      </c>
      <c r="D68" t="s">
        <v>2719</v>
      </c>
      <c r="E68" t="s">
        <v>1755</v>
      </c>
      <c r="F68" t="s">
        <v>1755</v>
      </c>
      <c r="G68" t="s">
        <v>125</v>
      </c>
      <c r="H68" t="s">
        <v>6063</v>
      </c>
      <c r="I68" t="s">
        <v>354</v>
      </c>
      <c r="J68" t="s">
        <v>142</v>
      </c>
      <c r="K68" t="str">
        <f>CONCATENATE(Shipment_Master_Database[[#This Row],[Exp '#]],"-",Shipment_Master_Database[[#This Row],[B. '#]])</f>
        <v>2278th-3rd</v>
      </c>
      <c r="L68" t="s">
        <v>4333</v>
      </c>
      <c r="M68" t="s">
        <v>6152</v>
      </c>
      <c r="O68">
        <v>3</v>
      </c>
      <c r="P68">
        <v>3525</v>
      </c>
      <c r="Q68">
        <v>4245</v>
      </c>
      <c r="R68" t="s">
        <v>1755</v>
      </c>
      <c r="S68" t="s">
        <v>1755</v>
      </c>
      <c r="T68" t="s">
        <v>1755</v>
      </c>
      <c r="U68" t="s">
        <v>1755</v>
      </c>
      <c r="AF68" s="19"/>
      <c r="AG68">
        <v>46011</v>
      </c>
      <c r="AH68" t="s">
        <v>1755</v>
      </c>
      <c r="AI68">
        <v>46016</v>
      </c>
      <c r="AJ68" t="s">
        <v>1755</v>
      </c>
      <c r="AK68">
        <v>46046</v>
      </c>
      <c r="AL68">
        <v>30</v>
      </c>
      <c r="AM68">
        <v>0</v>
      </c>
      <c r="AO68" t="s">
        <v>1755</v>
      </c>
      <c r="AP68" t="s">
        <v>1755</v>
      </c>
      <c r="AQ68" t="s">
        <v>1755</v>
      </c>
      <c r="AR68" t="s">
        <v>1755</v>
      </c>
      <c r="AT68" t="s">
        <v>1755</v>
      </c>
      <c r="AU68">
        <v>73593</v>
      </c>
      <c r="AV68">
        <v>32000</v>
      </c>
      <c r="AW68">
        <v>0</v>
      </c>
      <c r="AX68">
        <v>0</v>
      </c>
      <c r="AY68">
        <v>4245</v>
      </c>
      <c r="AZ68">
        <v>0</v>
      </c>
      <c r="BA68">
        <v>22000</v>
      </c>
      <c r="BD68">
        <v>0</v>
      </c>
      <c r="BE68">
        <v>0</v>
      </c>
      <c r="BF68">
        <v>131838</v>
      </c>
      <c r="BG68">
        <v>0</v>
      </c>
      <c r="BH68">
        <v>131838</v>
      </c>
      <c r="BI68">
        <v>31.057243816254417</v>
      </c>
    </row>
    <row r="69" spans="1:61" x14ac:dyDescent="0.25">
      <c r="A69" t="s">
        <v>1565</v>
      </c>
      <c r="B69" t="s">
        <v>47</v>
      </c>
      <c r="C69" t="s">
        <v>1771</v>
      </c>
      <c r="D69" t="s">
        <v>6153</v>
      </c>
      <c r="E69" t="s">
        <v>147</v>
      </c>
      <c r="F69" t="s">
        <v>146</v>
      </c>
      <c r="G69" t="s">
        <v>125</v>
      </c>
      <c r="H69" t="s">
        <v>6154</v>
      </c>
      <c r="I69" t="s">
        <v>1204</v>
      </c>
      <c r="J69" t="s">
        <v>761</v>
      </c>
      <c r="K69" t="str">
        <f>CONCATENATE(Shipment_Master_Database[[#This Row],[Exp '#]],"-",Shipment_Master_Database[[#This Row],[B. '#]])</f>
        <v>25-034-1st</v>
      </c>
      <c r="L69" t="s">
        <v>6155</v>
      </c>
      <c r="M69" t="s">
        <v>6156</v>
      </c>
      <c r="O69">
        <v>3</v>
      </c>
      <c r="P69">
        <v>1375</v>
      </c>
      <c r="Q69">
        <v>1420</v>
      </c>
      <c r="R69" t="s">
        <v>263</v>
      </c>
      <c r="S69" t="s">
        <v>148</v>
      </c>
      <c r="T69" t="s">
        <v>149</v>
      </c>
      <c r="U69">
        <v>22644603</v>
      </c>
      <c r="V69">
        <v>1</v>
      </c>
      <c r="AF69" s="19"/>
      <c r="AG69">
        <v>46020</v>
      </c>
      <c r="AH69">
        <v>46011</v>
      </c>
      <c r="AI69">
        <v>46025</v>
      </c>
      <c r="AJ69">
        <v>46046</v>
      </c>
      <c r="AK69">
        <v>46046</v>
      </c>
      <c r="AL69">
        <v>21</v>
      </c>
      <c r="AM69">
        <v>0</v>
      </c>
      <c r="AO69" t="s">
        <v>1268</v>
      </c>
      <c r="AP69" t="s">
        <v>6085</v>
      </c>
      <c r="AQ69" t="s">
        <v>6061</v>
      </c>
      <c r="AR69" t="s">
        <v>6157</v>
      </c>
      <c r="AT69" t="s">
        <v>6138</v>
      </c>
      <c r="AU69">
        <v>0</v>
      </c>
      <c r="AV69">
        <v>19363</v>
      </c>
      <c r="AW69">
        <v>5000</v>
      </c>
      <c r="AX69">
        <v>5000</v>
      </c>
      <c r="AY69">
        <v>1420</v>
      </c>
      <c r="AZ69">
        <v>9600</v>
      </c>
      <c r="BA69">
        <v>12475</v>
      </c>
      <c r="BD69">
        <v>29995</v>
      </c>
      <c r="BE69">
        <v>1174696</v>
      </c>
      <c r="BF69">
        <v>1257549</v>
      </c>
      <c r="BG69">
        <v>0</v>
      </c>
      <c r="BH69">
        <v>1257549</v>
      </c>
      <c r="BI69">
        <v>885.59788732394361</v>
      </c>
    </row>
    <row r="70" spans="1:61" x14ac:dyDescent="0.25">
      <c r="A70" t="s">
        <v>1565</v>
      </c>
      <c r="B70" t="s">
        <v>47</v>
      </c>
      <c r="C70" t="s">
        <v>1771</v>
      </c>
      <c r="D70" t="s">
        <v>6153</v>
      </c>
      <c r="E70" t="s">
        <v>1755</v>
      </c>
      <c r="F70" t="s">
        <v>1755</v>
      </c>
      <c r="G70" t="s">
        <v>125</v>
      </c>
      <c r="H70" t="s">
        <v>6154</v>
      </c>
      <c r="I70" t="s">
        <v>1212</v>
      </c>
      <c r="J70" t="s">
        <v>761</v>
      </c>
      <c r="K70" t="str">
        <f>CONCATENATE(Shipment_Master_Database[[#This Row],[Exp '#]],"-",Shipment_Master_Database[[#This Row],[B. '#]])</f>
        <v>25-036-1st</v>
      </c>
      <c r="L70" t="s">
        <v>6158</v>
      </c>
      <c r="M70" t="s">
        <v>6159</v>
      </c>
      <c r="O70">
        <v>1</v>
      </c>
      <c r="P70">
        <v>310</v>
      </c>
      <c r="Q70">
        <v>350</v>
      </c>
      <c r="R70" t="s">
        <v>1755</v>
      </c>
      <c r="S70" t="s">
        <v>1755</v>
      </c>
      <c r="T70" t="s">
        <v>1755</v>
      </c>
      <c r="U70" t="s">
        <v>1755</v>
      </c>
      <c r="AF70" s="19"/>
      <c r="AG70">
        <v>46020</v>
      </c>
      <c r="AH70" t="s">
        <v>1755</v>
      </c>
      <c r="AI70">
        <v>46025</v>
      </c>
      <c r="AJ70" t="s">
        <v>1755</v>
      </c>
      <c r="AK70">
        <v>46046</v>
      </c>
      <c r="AL70">
        <v>21</v>
      </c>
      <c r="AM70">
        <v>0</v>
      </c>
      <c r="AO70" t="s">
        <v>1755</v>
      </c>
      <c r="AP70" t="s">
        <v>1755</v>
      </c>
      <c r="AQ70" t="s">
        <v>1755</v>
      </c>
      <c r="AR70" t="s">
        <v>1755</v>
      </c>
      <c r="AT70" t="s">
        <v>1755</v>
      </c>
      <c r="AU70">
        <v>0</v>
      </c>
      <c r="AV70">
        <v>4772</v>
      </c>
      <c r="AW70">
        <v>123.9</v>
      </c>
      <c r="AX70">
        <v>0</v>
      </c>
      <c r="AY70">
        <v>350</v>
      </c>
      <c r="AZ70">
        <v>0</v>
      </c>
      <c r="BA70">
        <v>0</v>
      </c>
      <c r="BD70">
        <v>0</v>
      </c>
      <c r="BE70">
        <v>0</v>
      </c>
      <c r="BF70">
        <v>5245.9</v>
      </c>
      <c r="BG70">
        <v>0</v>
      </c>
      <c r="BH70">
        <v>5245.9</v>
      </c>
      <c r="BI70">
        <v>14.988285714285713</v>
      </c>
    </row>
    <row r="71" spans="1:61" x14ac:dyDescent="0.25">
      <c r="A71" t="s">
        <v>1565</v>
      </c>
      <c r="B71" t="s">
        <v>47</v>
      </c>
      <c r="C71" t="s">
        <v>1760</v>
      </c>
      <c r="D71" t="s">
        <v>143</v>
      </c>
      <c r="E71" t="s">
        <v>6160</v>
      </c>
      <c r="F71" t="s">
        <v>6161</v>
      </c>
      <c r="G71" t="s">
        <v>1598</v>
      </c>
      <c r="H71" t="s">
        <v>1755</v>
      </c>
      <c r="I71" t="s">
        <v>354</v>
      </c>
      <c r="J71" t="s">
        <v>6162</v>
      </c>
      <c r="K71" t="str">
        <f>CONCATENATE(Shipment_Master_Database[[#This Row],[Exp '#]],"-",Shipment_Master_Database[[#This Row],[B. '#]])</f>
        <v>2278th-4th B</v>
      </c>
      <c r="L71" t="s">
        <v>3300</v>
      </c>
      <c r="O71">
        <v>1</v>
      </c>
      <c r="P71">
        <v>1230</v>
      </c>
      <c r="Q71">
        <v>1370</v>
      </c>
      <c r="R71" t="s">
        <v>263</v>
      </c>
      <c r="S71" t="s">
        <v>128</v>
      </c>
      <c r="T71" t="s">
        <v>6163</v>
      </c>
      <c r="U71" t="s">
        <v>6164</v>
      </c>
      <c r="AE71">
        <v>1</v>
      </c>
      <c r="AF71" s="19"/>
      <c r="AG71">
        <v>46043</v>
      </c>
      <c r="AH71">
        <v>46044</v>
      </c>
      <c r="AI71">
        <v>46045</v>
      </c>
      <c r="AJ71">
        <v>46046</v>
      </c>
      <c r="AK71">
        <v>46057</v>
      </c>
      <c r="AL71">
        <v>12</v>
      </c>
      <c r="AM71">
        <v>11</v>
      </c>
      <c r="AO71" t="s">
        <v>1268</v>
      </c>
      <c r="AP71" t="s">
        <v>1268</v>
      </c>
      <c r="AQ71" t="s">
        <v>6165</v>
      </c>
      <c r="AR71" t="s">
        <v>6166</v>
      </c>
      <c r="AT71" t="s">
        <v>6167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5">
      <c r="A72" t="s">
        <v>1565</v>
      </c>
      <c r="B72" t="s">
        <v>47</v>
      </c>
      <c r="C72" t="s">
        <v>1771</v>
      </c>
      <c r="D72" t="s">
        <v>394</v>
      </c>
      <c r="E72" t="s">
        <v>406</v>
      </c>
      <c r="F72" t="s">
        <v>405</v>
      </c>
      <c r="G72" t="s">
        <v>125</v>
      </c>
      <c r="H72" t="s">
        <v>6063</v>
      </c>
      <c r="I72" t="s">
        <v>400</v>
      </c>
      <c r="J72" t="s">
        <v>1755</v>
      </c>
      <c r="K72" t="str">
        <f>CONCATENATE(Shipment_Master_Database[[#This Row],[Exp '#]],"-",Shipment_Master_Database[[#This Row],[B. '#]])</f>
        <v>2286th--</v>
      </c>
      <c r="L72" t="s">
        <v>6168</v>
      </c>
      <c r="M72" t="s">
        <v>401</v>
      </c>
      <c r="N72" t="s">
        <v>5559</v>
      </c>
      <c r="O72">
        <v>1</v>
      </c>
      <c r="P72">
        <v>370</v>
      </c>
      <c r="Q72">
        <v>440</v>
      </c>
      <c r="R72" t="s">
        <v>128</v>
      </c>
      <c r="S72" t="s">
        <v>148</v>
      </c>
      <c r="T72" t="s">
        <v>407</v>
      </c>
      <c r="U72" t="s">
        <v>1755</v>
      </c>
      <c r="AD72">
        <v>1</v>
      </c>
      <c r="AF72" s="19"/>
      <c r="AG72">
        <v>45943</v>
      </c>
      <c r="AH72">
        <v>45944</v>
      </c>
      <c r="AI72">
        <v>45951</v>
      </c>
      <c r="AJ72">
        <v>46027</v>
      </c>
      <c r="AK72">
        <v>46027</v>
      </c>
      <c r="AL72">
        <v>76</v>
      </c>
      <c r="AM72">
        <v>0</v>
      </c>
      <c r="AQ72" t="s">
        <v>6061</v>
      </c>
      <c r="AR72" t="s">
        <v>408</v>
      </c>
      <c r="AT72" t="s">
        <v>6169</v>
      </c>
      <c r="AU72">
        <v>8875</v>
      </c>
      <c r="AV72">
        <v>2341</v>
      </c>
      <c r="AW72">
        <v>13500</v>
      </c>
      <c r="AX72">
        <v>0</v>
      </c>
      <c r="AY72">
        <v>440</v>
      </c>
      <c r="AZ72">
        <v>0</v>
      </c>
      <c r="BA72">
        <v>13475</v>
      </c>
      <c r="BD72">
        <v>59217</v>
      </c>
      <c r="BE72">
        <v>68640</v>
      </c>
      <c r="BF72">
        <v>166488</v>
      </c>
      <c r="BG72">
        <v>0</v>
      </c>
      <c r="BH72">
        <v>166488</v>
      </c>
      <c r="BI72">
        <v>378.38181818181818</v>
      </c>
    </row>
    <row r="73" spans="1:61" x14ac:dyDescent="0.25">
      <c r="A73" t="s">
        <v>1565</v>
      </c>
      <c r="B73" t="s">
        <v>47</v>
      </c>
      <c r="C73" t="s">
        <v>1771</v>
      </c>
      <c r="D73" t="s">
        <v>196</v>
      </c>
      <c r="E73" t="s">
        <v>202</v>
      </c>
      <c r="F73" t="s">
        <v>201</v>
      </c>
      <c r="G73" t="s">
        <v>181</v>
      </c>
      <c r="H73" t="s">
        <v>6069</v>
      </c>
      <c r="I73" t="s">
        <v>195</v>
      </c>
      <c r="J73" t="s">
        <v>1755</v>
      </c>
      <c r="K73" t="str">
        <f>CONCATENATE(Shipment_Master_Database[[#This Row],[Exp '#]],"-",Shipment_Master_Database[[#This Row],[B. '#]])</f>
        <v>2233rd--</v>
      </c>
      <c r="L73" t="s">
        <v>198</v>
      </c>
      <c r="M73" t="s">
        <v>197</v>
      </c>
      <c r="N73" t="s">
        <v>4042</v>
      </c>
      <c r="O73">
        <v>2</v>
      </c>
      <c r="P73">
        <v>4210</v>
      </c>
      <c r="Q73">
        <v>4810</v>
      </c>
      <c r="R73" t="s">
        <v>128</v>
      </c>
      <c r="S73" t="s">
        <v>148</v>
      </c>
      <c r="T73" t="s">
        <v>1755</v>
      </c>
      <c r="U73" t="s">
        <v>203</v>
      </c>
      <c r="AD73">
        <v>1</v>
      </c>
      <c r="AF73" s="19"/>
      <c r="AG73">
        <v>45940</v>
      </c>
      <c r="AH73">
        <v>45940</v>
      </c>
      <c r="AI73">
        <v>45946</v>
      </c>
      <c r="AJ73">
        <v>46042</v>
      </c>
      <c r="AK73">
        <v>46032</v>
      </c>
      <c r="AL73">
        <v>86</v>
      </c>
      <c r="AM73">
        <v>-10</v>
      </c>
      <c r="AO73" t="s">
        <v>1268</v>
      </c>
      <c r="AP73" t="s">
        <v>1268</v>
      </c>
      <c r="AQ73" t="s">
        <v>6061</v>
      </c>
      <c r="AR73" t="s">
        <v>204</v>
      </c>
      <c r="AT73" t="s">
        <v>6170</v>
      </c>
      <c r="AU73">
        <v>53292</v>
      </c>
      <c r="AV73">
        <v>31619</v>
      </c>
      <c r="AW73">
        <v>13500</v>
      </c>
      <c r="AX73">
        <v>0</v>
      </c>
      <c r="AY73">
        <v>4810</v>
      </c>
      <c r="AZ73">
        <v>4500</v>
      </c>
      <c r="BA73">
        <v>14975</v>
      </c>
      <c r="BD73">
        <v>68768</v>
      </c>
      <c r="BE73">
        <v>225940</v>
      </c>
      <c r="BF73">
        <v>417404</v>
      </c>
      <c r="BG73">
        <v>0</v>
      </c>
      <c r="BH73">
        <v>417404</v>
      </c>
      <c r="BI73">
        <v>86.778378378378378</v>
      </c>
    </row>
    <row r="74" spans="1:61" x14ac:dyDescent="0.25">
      <c r="A74" t="s">
        <v>1565</v>
      </c>
      <c r="B74" t="s">
        <v>47</v>
      </c>
      <c r="C74" t="s">
        <v>1760</v>
      </c>
      <c r="D74" t="s">
        <v>38</v>
      </c>
      <c r="E74" t="s">
        <v>441</v>
      </c>
      <c r="F74" t="s">
        <v>440</v>
      </c>
      <c r="G74" t="s">
        <v>181</v>
      </c>
      <c r="H74" t="s">
        <v>6069</v>
      </c>
      <c r="I74" t="s">
        <v>438</v>
      </c>
      <c r="K74" t="str">
        <f>CONCATENATE(Shipment_Master_Database[[#This Row],[Exp '#]],"-",Shipment_Master_Database[[#This Row],[B. '#]])</f>
        <v>2295th-</v>
      </c>
      <c r="L74" t="s">
        <v>6171</v>
      </c>
      <c r="M74" t="s">
        <v>439</v>
      </c>
      <c r="O74">
        <v>3</v>
      </c>
      <c r="P74">
        <v>11377</v>
      </c>
      <c r="Q74">
        <v>12360</v>
      </c>
      <c r="R74" t="s">
        <v>263</v>
      </c>
      <c r="S74" t="s">
        <v>148</v>
      </c>
      <c r="T74" t="s">
        <v>442</v>
      </c>
      <c r="U74">
        <v>263636601</v>
      </c>
      <c r="V74">
        <v>1</v>
      </c>
      <c r="AF74" s="19"/>
      <c r="AG74">
        <v>46021</v>
      </c>
      <c r="AH74">
        <v>46020</v>
      </c>
      <c r="AI74">
        <v>46023</v>
      </c>
      <c r="AJ74">
        <v>46042</v>
      </c>
      <c r="AK74">
        <v>46051</v>
      </c>
      <c r="AL74">
        <v>28</v>
      </c>
      <c r="AM74">
        <v>9</v>
      </c>
      <c r="AO74" t="s">
        <v>1268</v>
      </c>
      <c r="AP74" t="s">
        <v>6061</v>
      </c>
      <c r="AQ74" t="s">
        <v>6061</v>
      </c>
      <c r="AR74" t="s">
        <v>443</v>
      </c>
      <c r="AT74" t="s">
        <v>6172</v>
      </c>
      <c r="AU74">
        <v>89271</v>
      </c>
      <c r="AV74">
        <v>81112</v>
      </c>
      <c r="AW74">
        <v>3500</v>
      </c>
      <c r="AX74">
        <v>5000</v>
      </c>
      <c r="AY74">
        <v>12360</v>
      </c>
      <c r="AZ74">
        <v>28090</v>
      </c>
      <c r="BA74">
        <v>13475</v>
      </c>
      <c r="BD74">
        <v>30006</v>
      </c>
      <c r="BE74">
        <v>224872</v>
      </c>
      <c r="BF74">
        <v>487686</v>
      </c>
      <c r="BG74">
        <v>0</v>
      </c>
      <c r="BH74">
        <v>487686</v>
      </c>
      <c r="BI74">
        <v>39.456796116504854</v>
      </c>
    </row>
    <row r="75" spans="1:61" x14ac:dyDescent="0.25">
      <c r="A75" t="s">
        <v>1565</v>
      </c>
      <c r="B75" t="s">
        <v>47</v>
      </c>
      <c r="C75" t="s">
        <v>1771</v>
      </c>
      <c r="D75" t="s">
        <v>834</v>
      </c>
      <c r="E75" t="s">
        <v>191</v>
      </c>
      <c r="F75" t="s">
        <v>190</v>
      </c>
      <c r="G75" t="s">
        <v>157</v>
      </c>
      <c r="H75" t="s">
        <v>6069</v>
      </c>
      <c r="I75" t="s">
        <v>185</v>
      </c>
      <c r="K75" t="str">
        <f>CONCATENATE(Shipment_Master_Database[[#This Row],[Exp '#]],"-",Shipment_Master_Database[[#This Row],[B. '#]])</f>
        <v>2232nd-</v>
      </c>
      <c r="L75" t="s">
        <v>188</v>
      </c>
      <c r="M75" t="s">
        <v>187</v>
      </c>
      <c r="N75" t="s">
        <v>1042</v>
      </c>
      <c r="O75">
        <v>3</v>
      </c>
      <c r="P75">
        <v>8292</v>
      </c>
      <c r="Q75">
        <v>9215</v>
      </c>
      <c r="R75" t="s">
        <v>192</v>
      </c>
      <c r="S75" t="s">
        <v>148</v>
      </c>
      <c r="T75" t="s">
        <v>193</v>
      </c>
      <c r="U75">
        <v>2317273300</v>
      </c>
      <c r="V75">
        <v>1</v>
      </c>
      <c r="AF75" s="19"/>
      <c r="AG75">
        <v>46011</v>
      </c>
      <c r="AH75">
        <v>46011</v>
      </c>
      <c r="AI75">
        <v>46036</v>
      </c>
      <c r="AJ75">
        <v>46064</v>
      </c>
      <c r="AK75">
        <v>46070</v>
      </c>
      <c r="AL75">
        <v>34</v>
      </c>
      <c r="AM75">
        <v>6</v>
      </c>
      <c r="AO75" t="s">
        <v>1268</v>
      </c>
      <c r="AP75" t="s">
        <v>6085</v>
      </c>
      <c r="AQ75" t="s">
        <v>6085</v>
      </c>
      <c r="AR75" t="s">
        <v>6173</v>
      </c>
      <c r="AT75" t="s">
        <v>157</v>
      </c>
      <c r="AU75">
        <v>88349</v>
      </c>
      <c r="AV75">
        <v>63000</v>
      </c>
      <c r="AW75">
        <v>3500</v>
      </c>
      <c r="AX75">
        <v>5000</v>
      </c>
      <c r="AY75">
        <v>8292</v>
      </c>
      <c r="AZ75">
        <v>28000</v>
      </c>
      <c r="BA75">
        <v>10600</v>
      </c>
      <c r="BD75">
        <v>33515</v>
      </c>
      <c r="BE75" t="s">
        <v>1755</v>
      </c>
      <c r="BF75">
        <v>240256</v>
      </c>
      <c r="BG75">
        <v>0</v>
      </c>
      <c r="BH75">
        <v>240256</v>
      </c>
      <c r="BI75">
        <v>26.072273467173087</v>
      </c>
    </row>
    <row r="76" spans="1:61" x14ac:dyDescent="0.25">
      <c r="A76" t="s">
        <v>1565</v>
      </c>
      <c r="B76" t="s">
        <v>47</v>
      </c>
      <c r="C76" t="s">
        <v>1771</v>
      </c>
      <c r="D76" t="s">
        <v>3747</v>
      </c>
      <c r="E76" t="s">
        <v>307</v>
      </c>
      <c r="F76" t="s">
        <v>146</v>
      </c>
      <c r="G76" t="s">
        <v>125</v>
      </c>
      <c r="H76" t="s">
        <v>6154</v>
      </c>
      <c r="I76" t="s">
        <v>367</v>
      </c>
      <c r="K76" t="str">
        <f>CONCATENATE(Shipment_Master_Database[[#This Row],[Exp '#]],"-",Shipment_Master_Database[[#This Row],[B. '#]])</f>
        <v>2280th-</v>
      </c>
      <c r="L76" t="s">
        <v>295</v>
      </c>
      <c r="M76" t="s">
        <v>369</v>
      </c>
      <c r="N76" t="s">
        <v>4124</v>
      </c>
      <c r="O76">
        <v>3</v>
      </c>
      <c r="P76">
        <v>61420</v>
      </c>
      <c r="Q76">
        <v>62430</v>
      </c>
      <c r="R76" t="s">
        <v>263</v>
      </c>
      <c r="S76" t="s">
        <v>298</v>
      </c>
      <c r="T76" t="s">
        <v>149</v>
      </c>
      <c r="U76">
        <v>37299655</v>
      </c>
      <c r="W76">
        <v>3</v>
      </c>
      <c r="AF76" s="19"/>
      <c r="AG76">
        <v>46035</v>
      </c>
      <c r="AH76">
        <v>46036</v>
      </c>
      <c r="AI76">
        <v>46044</v>
      </c>
      <c r="AJ76">
        <v>46071</v>
      </c>
      <c r="AK76">
        <v>46070</v>
      </c>
      <c r="AL76">
        <v>26</v>
      </c>
      <c r="AM76">
        <v>-1</v>
      </c>
      <c r="AO76" t="s">
        <v>1268</v>
      </c>
      <c r="AP76" t="s">
        <v>6061</v>
      </c>
      <c r="AQ76" t="s">
        <v>6061</v>
      </c>
      <c r="AR76" t="s">
        <v>6174</v>
      </c>
      <c r="AT76">
        <v>8700</v>
      </c>
      <c r="AU76">
        <v>73125</v>
      </c>
      <c r="AV76">
        <v>299754</v>
      </c>
      <c r="AW76">
        <v>10500</v>
      </c>
      <c r="AX76">
        <v>27000</v>
      </c>
      <c r="AY76">
        <v>61420</v>
      </c>
      <c r="AZ76">
        <v>99000</v>
      </c>
      <c r="BA76">
        <v>128775</v>
      </c>
      <c r="BD76">
        <v>87872</v>
      </c>
      <c r="BE76">
        <v>2505150</v>
      </c>
      <c r="BF76">
        <v>3301296</v>
      </c>
      <c r="BG76">
        <v>8700</v>
      </c>
      <c r="BH76">
        <v>3292596</v>
      </c>
      <c r="BI76">
        <v>52.879961556943776</v>
      </c>
    </row>
    <row r="77" spans="1:61" x14ac:dyDescent="0.25">
      <c r="A77" t="s">
        <v>1565</v>
      </c>
      <c r="B77" t="s">
        <v>47</v>
      </c>
      <c r="C77" t="s">
        <v>1771</v>
      </c>
      <c r="D77" t="s">
        <v>3603</v>
      </c>
      <c r="E77" t="s">
        <v>307</v>
      </c>
      <c r="F77" t="s">
        <v>146</v>
      </c>
      <c r="G77" t="s">
        <v>125</v>
      </c>
      <c r="H77" t="s">
        <v>6154</v>
      </c>
      <c r="I77" t="s">
        <v>377</v>
      </c>
      <c r="J77" t="s">
        <v>1755</v>
      </c>
      <c r="K77" t="str">
        <f>CONCATENATE(Shipment_Master_Database[[#This Row],[Exp '#]],"-",Shipment_Master_Database[[#This Row],[B. '#]])</f>
        <v>2283rd--</v>
      </c>
      <c r="L77" t="s">
        <v>380</v>
      </c>
      <c r="M77" t="s">
        <v>379</v>
      </c>
      <c r="N77" t="s">
        <v>32</v>
      </c>
      <c r="O77">
        <v>1</v>
      </c>
      <c r="P77">
        <v>680</v>
      </c>
      <c r="Q77">
        <v>760</v>
      </c>
      <c r="R77" t="s">
        <v>263</v>
      </c>
      <c r="S77" t="s">
        <v>157</v>
      </c>
      <c r="T77" t="s">
        <v>149</v>
      </c>
      <c r="U77">
        <v>39747851</v>
      </c>
      <c r="W77">
        <v>1</v>
      </c>
      <c r="AF77" s="19"/>
      <c r="AG77">
        <v>46036</v>
      </c>
      <c r="AH77">
        <v>46036</v>
      </c>
      <c r="AI77">
        <v>46044</v>
      </c>
      <c r="AJ77">
        <v>46072</v>
      </c>
      <c r="AK77">
        <v>46072</v>
      </c>
      <c r="AL77">
        <v>28</v>
      </c>
      <c r="AM77">
        <v>0</v>
      </c>
      <c r="AO77" t="s">
        <v>1268</v>
      </c>
      <c r="AP77" t="s">
        <v>6085</v>
      </c>
      <c r="AQ77" t="s">
        <v>6061</v>
      </c>
      <c r="AR77" t="s">
        <v>6174</v>
      </c>
      <c r="AT77">
        <v>2600</v>
      </c>
      <c r="AU77">
        <v>9500</v>
      </c>
      <c r="AV77">
        <v>13640</v>
      </c>
      <c r="AW77">
        <v>3500</v>
      </c>
      <c r="AX77">
        <v>9000</v>
      </c>
      <c r="AY77">
        <v>680</v>
      </c>
      <c r="AZ77">
        <v>29000</v>
      </c>
      <c r="BD77">
        <v>29995</v>
      </c>
      <c r="BE77">
        <v>766650</v>
      </c>
      <c r="BF77">
        <v>864565</v>
      </c>
      <c r="BG77">
        <v>2600</v>
      </c>
      <c r="BH77">
        <v>861965</v>
      </c>
      <c r="BI77">
        <v>1137.5855263157894</v>
      </c>
    </row>
    <row r="78" spans="1:61" x14ac:dyDescent="0.25">
      <c r="A78" t="s">
        <v>1565</v>
      </c>
      <c r="B78" t="s">
        <v>47</v>
      </c>
      <c r="C78" t="s">
        <v>1771</v>
      </c>
      <c r="D78" t="s">
        <v>1103</v>
      </c>
      <c r="E78" t="s">
        <v>1755</v>
      </c>
      <c r="F78" t="s">
        <v>1755</v>
      </c>
      <c r="G78" t="s">
        <v>125</v>
      </c>
      <c r="H78" t="s">
        <v>6154</v>
      </c>
      <c r="I78" t="s">
        <v>457</v>
      </c>
      <c r="J78" t="s">
        <v>1755</v>
      </c>
      <c r="K78" t="str">
        <f>CONCATENATE(Shipment_Master_Database[[#This Row],[Exp '#]],"-",Shipment_Master_Database[[#This Row],[B. '#]])</f>
        <v>2302nd--</v>
      </c>
      <c r="L78" t="s">
        <v>460</v>
      </c>
      <c r="M78" t="s">
        <v>459</v>
      </c>
      <c r="N78" t="s">
        <v>32</v>
      </c>
      <c r="O78">
        <v>1</v>
      </c>
      <c r="P78">
        <v>685</v>
      </c>
      <c r="Q78">
        <v>810</v>
      </c>
      <c r="R78" t="s">
        <v>1755</v>
      </c>
      <c r="S78" t="s">
        <v>1755</v>
      </c>
      <c r="T78" t="s">
        <v>1755</v>
      </c>
      <c r="U78" t="s">
        <v>1755</v>
      </c>
      <c r="AF78" s="19"/>
      <c r="AG78">
        <v>46036</v>
      </c>
      <c r="AH78" t="s">
        <v>1755</v>
      </c>
      <c r="AI78">
        <v>46044</v>
      </c>
      <c r="AJ78" t="s">
        <v>1755</v>
      </c>
      <c r="AK78">
        <v>46072</v>
      </c>
      <c r="AL78">
        <v>28</v>
      </c>
      <c r="AM78">
        <v>0</v>
      </c>
      <c r="AO78" t="s">
        <v>1755</v>
      </c>
      <c r="AP78" t="s">
        <v>1755</v>
      </c>
      <c r="AQ78" t="s">
        <v>1755</v>
      </c>
      <c r="AR78" t="s">
        <v>1755</v>
      </c>
      <c r="AT78" t="s">
        <v>1755</v>
      </c>
      <c r="AU78">
        <v>12089</v>
      </c>
      <c r="AV78">
        <v>12270</v>
      </c>
      <c r="AW78" t="s">
        <v>1755</v>
      </c>
      <c r="AX78" t="s">
        <v>1755</v>
      </c>
      <c r="AY78">
        <v>685</v>
      </c>
      <c r="AZ78">
        <v>0</v>
      </c>
      <c r="BD78">
        <v>0</v>
      </c>
      <c r="BE78">
        <v>0</v>
      </c>
      <c r="BF78">
        <v>25044</v>
      </c>
      <c r="BG78">
        <v>0</v>
      </c>
      <c r="BH78">
        <v>25044</v>
      </c>
      <c r="BI78">
        <v>30.918518518518518</v>
      </c>
    </row>
    <row r="79" spans="1:61" x14ac:dyDescent="0.25">
      <c r="A79" t="s">
        <v>1565</v>
      </c>
      <c r="B79" t="s">
        <v>47</v>
      </c>
      <c r="C79" t="s">
        <v>1771</v>
      </c>
      <c r="D79" t="s">
        <v>1032</v>
      </c>
      <c r="E79" t="s">
        <v>1755</v>
      </c>
      <c r="F79" t="s">
        <v>1755</v>
      </c>
      <c r="G79" t="s">
        <v>125</v>
      </c>
      <c r="H79" t="s">
        <v>6069</v>
      </c>
      <c r="I79" t="s">
        <v>552</v>
      </c>
      <c r="J79" t="s">
        <v>1755</v>
      </c>
      <c r="K79" t="str">
        <f>CONCATENATE(Shipment_Master_Database[[#This Row],[Exp '#]],"-",Shipment_Master_Database[[#This Row],[B. '#]])</f>
        <v>2318th--</v>
      </c>
      <c r="L79" t="s">
        <v>6175</v>
      </c>
      <c r="M79" t="s">
        <v>554</v>
      </c>
      <c r="N79" t="s">
        <v>4091</v>
      </c>
      <c r="O79">
        <v>1</v>
      </c>
      <c r="P79">
        <v>885</v>
      </c>
      <c r="Q79">
        <v>1030</v>
      </c>
      <c r="R79" t="s">
        <v>1755</v>
      </c>
      <c r="S79" t="s">
        <v>1755</v>
      </c>
      <c r="T79" t="s">
        <v>1755</v>
      </c>
      <c r="U79" t="s">
        <v>1755</v>
      </c>
      <c r="AF79" s="19"/>
      <c r="AG79">
        <v>46036</v>
      </c>
      <c r="AH79" t="s">
        <v>1755</v>
      </c>
      <c r="AI79">
        <v>46044</v>
      </c>
      <c r="AJ79" t="s">
        <v>1755</v>
      </c>
      <c r="AK79">
        <v>46072</v>
      </c>
      <c r="AL79">
        <v>28</v>
      </c>
      <c r="AM79">
        <v>0</v>
      </c>
      <c r="AO79" t="s">
        <v>1755</v>
      </c>
      <c r="AP79" t="s">
        <v>1755</v>
      </c>
      <c r="AQ79" t="s">
        <v>1755</v>
      </c>
      <c r="AR79" t="s">
        <v>1755</v>
      </c>
      <c r="AT79" t="s">
        <v>1755</v>
      </c>
      <c r="AU79">
        <v>14552</v>
      </c>
      <c r="AV79">
        <v>13640</v>
      </c>
      <c r="AW79" t="s">
        <v>1755</v>
      </c>
      <c r="AX79" t="s">
        <v>1755</v>
      </c>
      <c r="AY79">
        <v>885</v>
      </c>
      <c r="AZ79">
        <v>0</v>
      </c>
      <c r="BD79">
        <v>0</v>
      </c>
      <c r="BE79">
        <v>0</v>
      </c>
      <c r="BF79">
        <v>29077</v>
      </c>
      <c r="BG79">
        <v>0</v>
      </c>
      <c r="BH79">
        <v>29077</v>
      </c>
      <c r="BI79">
        <v>28.230097087378642</v>
      </c>
    </row>
    <row r="80" spans="1:61" x14ac:dyDescent="0.25">
      <c r="A80" t="s">
        <v>1565</v>
      </c>
      <c r="B80" t="s">
        <v>47</v>
      </c>
      <c r="C80" t="s">
        <v>1771</v>
      </c>
      <c r="D80" t="s">
        <v>137</v>
      </c>
      <c r="E80" t="s">
        <v>1755</v>
      </c>
      <c r="F80" t="s">
        <v>1755</v>
      </c>
      <c r="G80" t="s">
        <v>125</v>
      </c>
      <c r="H80" t="s">
        <v>6069</v>
      </c>
      <c r="I80" t="s">
        <v>494</v>
      </c>
      <c r="J80" t="s">
        <v>1755</v>
      </c>
      <c r="K80" t="str">
        <f>CONCATENATE(Shipment_Master_Database[[#This Row],[Exp '#]],"-",Shipment_Master_Database[[#This Row],[B. '#]])</f>
        <v>2307th--</v>
      </c>
      <c r="L80" t="s">
        <v>497</v>
      </c>
      <c r="M80" t="s">
        <v>496</v>
      </c>
      <c r="N80" t="s">
        <v>3426</v>
      </c>
      <c r="O80">
        <v>1</v>
      </c>
      <c r="P80">
        <v>3930</v>
      </c>
      <c r="Q80">
        <v>4190</v>
      </c>
      <c r="R80" t="s">
        <v>1755</v>
      </c>
      <c r="S80" t="s">
        <v>1755</v>
      </c>
      <c r="T80" t="s">
        <v>1755</v>
      </c>
      <c r="U80" t="s">
        <v>1755</v>
      </c>
      <c r="AF80" s="19"/>
      <c r="AG80">
        <v>46036</v>
      </c>
      <c r="AH80" t="s">
        <v>1755</v>
      </c>
      <c r="AI80">
        <v>46044</v>
      </c>
      <c r="AJ80" t="s">
        <v>1755</v>
      </c>
      <c r="AK80">
        <v>46072</v>
      </c>
      <c r="AL80">
        <v>28</v>
      </c>
      <c r="AM80">
        <v>0</v>
      </c>
      <c r="AO80" t="s">
        <v>1755</v>
      </c>
      <c r="AP80" t="s">
        <v>1755</v>
      </c>
      <c r="AQ80" t="s">
        <v>1755</v>
      </c>
      <c r="AR80" t="s">
        <v>1755</v>
      </c>
      <c r="AT80" t="s">
        <v>1755</v>
      </c>
      <c r="AU80">
        <v>23828</v>
      </c>
      <c r="AV80">
        <v>54560</v>
      </c>
      <c r="AW80" t="s">
        <v>1755</v>
      </c>
      <c r="AX80" t="s">
        <v>1755</v>
      </c>
      <c r="AY80">
        <v>3930</v>
      </c>
      <c r="AZ80">
        <v>0</v>
      </c>
      <c r="BD80">
        <v>0</v>
      </c>
      <c r="BE80">
        <v>0</v>
      </c>
      <c r="BF80">
        <v>82318</v>
      </c>
      <c r="BG80">
        <v>0</v>
      </c>
      <c r="BH80">
        <v>82318</v>
      </c>
      <c r="BI80">
        <v>19.646300715990453</v>
      </c>
    </row>
    <row r="81" spans="1:61" x14ac:dyDescent="0.25">
      <c r="A81" t="s">
        <v>1565</v>
      </c>
      <c r="B81" t="s">
        <v>47</v>
      </c>
      <c r="C81" t="s">
        <v>1771</v>
      </c>
      <c r="D81" t="s">
        <v>330</v>
      </c>
      <c r="E81" t="s">
        <v>1755</v>
      </c>
      <c r="F81" t="s">
        <v>1755</v>
      </c>
      <c r="G81" t="s">
        <v>125</v>
      </c>
      <c r="H81" t="s">
        <v>6154</v>
      </c>
      <c r="I81" t="s">
        <v>463</v>
      </c>
      <c r="J81" t="s">
        <v>1755</v>
      </c>
      <c r="K81" t="str">
        <f>CONCATENATE(Shipment_Master_Database[[#This Row],[Exp '#]],"-",Shipment_Master_Database[[#This Row],[B. '#]])</f>
        <v>2303rd--</v>
      </c>
      <c r="L81" t="s">
        <v>466</v>
      </c>
      <c r="M81" t="s">
        <v>465</v>
      </c>
      <c r="N81" t="s">
        <v>4078</v>
      </c>
      <c r="O81">
        <v>1</v>
      </c>
      <c r="P81">
        <v>1380</v>
      </c>
      <c r="Q81">
        <v>1625</v>
      </c>
      <c r="R81" t="s">
        <v>1755</v>
      </c>
      <c r="S81" t="s">
        <v>1755</v>
      </c>
      <c r="T81" t="s">
        <v>1755</v>
      </c>
      <c r="U81" t="s">
        <v>1755</v>
      </c>
      <c r="AF81" s="19"/>
      <c r="AG81">
        <v>46036</v>
      </c>
      <c r="AH81" t="s">
        <v>1755</v>
      </c>
      <c r="AI81">
        <v>46044</v>
      </c>
      <c r="AJ81" t="s">
        <v>1755</v>
      </c>
      <c r="AK81">
        <v>46072</v>
      </c>
      <c r="AL81">
        <v>28</v>
      </c>
      <c r="AM81">
        <v>0</v>
      </c>
      <c r="AO81" t="s">
        <v>1755</v>
      </c>
      <c r="AP81" t="s">
        <v>1755</v>
      </c>
      <c r="AQ81" t="s">
        <v>1755</v>
      </c>
      <c r="AR81" t="s">
        <v>1755</v>
      </c>
      <c r="AT81" t="s">
        <v>1755</v>
      </c>
      <c r="AU81">
        <v>18875</v>
      </c>
      <c r="AV81">
        <v>1270</v>
      </c>
      <c r="AW81" t="s">
        <v>1755</v>
      </c>
      <c r="AX81" t="s">
        <v>1755</v>
      </c>
      <c r="AY81">
        <v>1380</v>
      </c>
      <c r="AZ81">
        <v>0</v>
      </c>
      <c r="BA81">
        <v>33000</v>
      </c>
      <c r="BD81">
        <v>0</v>
      </c>
      <c r="BE81">
        <v>0</v>
      </c>
      <c r="BF81">
        <v>54525</v>
      </c>
      <c r="BG81">
        <v>0</v>
      </c>
      <c r="BH81">
        <v>54525</v>
      </c>
      <c r="BI81">
        <v>33.553846153846152</v>
      </c>
    </row>
    <row r="82" spans="1:61" x14ac:dyDescent="0.25">
      <c r="A82" t="s">
        <v>1565</v>
      </c>
      <c r="B82" t="s">
        <v>47</v>
      </c>
      <c r="C82" t="s">
        <v>1771</v>
      </c>
      <c r="D82" t="s">
        <v>44</v>
      </c>
      <c r="E82" t="s">
        <v>307</v>
      </c>
      <c r="F82" t="s">
        <v>146</v>
      </c>
      <c r="G82" t="s">
        <v>125</v>
      </c>
      <c r="H82" t="s">
        <v>1764</v>
      </c>
      <c r="I82" t="s">
        <v>301</v>
      </c>
      <c r="J82" t="s">
        <v>142</v>
      </c>
      <c r="K82" t="str">
        <f>CONCATENATE(Shipment_Master_Database[[#This Row],[Exp '#]],"-",Shipment_Master_Database[[#This Row],[B. '#]])</f>
        <v>2265th-3rd</v>
      </c>
      <c r="L82" t="s">
        <v>304</v>
      </c>
      <c r="M82" t="s">
        <v>303</v>
      </c>
      <c r="N82" t="s">
        <v>3173</v>
      </c>
      <c r="O82">
        <v>10</v>
      </c>
      <c r="P82">
        <v>83215</v>
      </c>
      <c r="Q82">
        <v>85545</v>
      </c>
      <c r="R82" t="s">
        <v>263</v>
      </c>
      <c r="S82" t="s">
        <v>148</v>
      </c>
      <c r="T82" t="s">
        <v>149</v>
      </c>
      <c r="U82">
        <v>90190404</v>
      </c>
      <c r="AB82">
        <v>3</v>
      </c>
      <c r="AF82" s="19"/>
      <c r="AG82">
        <v>46036</v>
      </c>
      <c r="AH82" t="s">
        <v>1755</v>
      </c>
      <c r="AI82">
        <v>46044</v>
      </c>
      <c r="AJ82" t="s">
        <v>1755</v>
      </c>
      <c r="AK82">
        <v>46071</v>
      </c>
      <c r="AL82">
        <v>27</v>
      </c>
      <c r="AM82">
        <v>0</v>
      </c>
      <c r="AO82" t="s">
        <v>1268</v>
      </c>
      <c r="AP82" t="s">
        <v>6061</v>
      </c>
      <c r="AQ82" t="s">
        <v>6061</v>
      </c>
      <c r="AR82" t="s">
        <v>308</v>
      </c>
      <c r="AT82" t="s">
        <v>1755</v>
      </c>
      <c r="AU82">
        <v>101197</v>
      </c>
      <c r="AV82">
        <v>384952</v>
      </c>
      <c r="AW82">
        <v>10500</v>
      </c>
      <c r="AX82">
        <v>58500</v>
      </c>
      <c r="AY82">
        <v>83215</v>
      </c>
      <c r="AZ82">
        <v>159000</v>
      </c>
      <c r="BA82">
        <v>29600</v>
      </c>
      <c r="BD82">
        <v>125000</v>
      </c>
      <c r="BE82">
        <v>2847150</v>
      </c>
      <c r="BF82">
        <v>3799114</v>
      </c>
      <c r="BG82">
        <v>0</v>
      </c>
      <c r="BH82">
        <v>3799114</v>
      </c>
      <c r="BI82">
        <v>44.410707814600499</v>
      </c>
    </row>
    <row r="83" spans="1:61" x14ac:dyDescent="0.25">
      <c r="A83" t="s">
        <v>1565</v>
      </c>
      <c r="B83" t="s">
        <v>47</v>
      </c>
      <c r="C83" t="s">
        <v>1771</v>
      </c>
      <c r="D83" t="s">
        <v>6176</v>
      </c>
      <c r="E83" t="s">
        <v>254</v>
      </c>
      <c r="F83" t="s">
        <v>1222</v>
      </c>
      <c r="G83" t="s">
        <v>157</v>
      </c>
      <c r="H83" t="s">
        <v>6063</v>
      </c>
      <c r="I83" t="s">
        <v>1217</v>
      </c>
      <c r="J83" t="s">
        <v>1755</v>
      </c>
      <c r="K83" t="str">
        <f>CONCATENATE(Shipment_Master_Database[[#This Row],[Exp '#]],"-",Shipment_Master_Database[[#This Row],[B. '#]])</f>
        <v>25-037--</v>
      </c>
      <c r="L83" t="s">
        <v>6177</v>
      </c>
      <c r="M83" t="s">
        <v>6178</v>
      </c>
      <c r="N83" t="s">
        <v>1147</v>
      </c>
      <c r="O83">
        <v>2</v>
      </c>
      <c r="P83">
        <v>1120</v>
      </c>
      <c r="Q83">
        <v>1259</v>
      </c>
      <c r="R83" t="s">
        <v>1223</v>
      </c>
      <c r="S83" t="s">
        <v>148</v>
      </c>
      <c r="AD83">
        <v>1</v>
      </c>
      <c r="AF83" s="19"/>
      <c r="AG83">
        <v>45988</v>
      </c>
      <c r="AH83">
        <v>45988</v>
      </c>
      <c r="AI83">
        <v>45992</v>
      </c>
      <c r="AK83">
        <v>46047</v>
      </c>
      <c r="AL83">
        <v>55</v>
      </c>
      <c r="AM83">
        <v>46047</v>
      </c>
      <c r="AO83" t="s">
        <v>1268</v>
      </c>
      <c r="AQ83" t="s">
        <v>6086</v>
      </c>
      <c r="AR83" t="s">
        <v>1224</v>
      </c>
      <c r="AT83" t="s">
        <v>157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 t="s">
        <v>1565</v>
      </c>
      <c r="B84" t="s">
        <v>47</v>
      </c>
      <c r="C84" t="s">
        <v>1771</v>
      </c>
      <c r="D84" t="s">
        <v>6176</v>
      </c>
      <c r="E84" t="s">
        <v>202</v>
      </c>
      <c r="F84" t="s">
        <v>201</v>
      </c>
      <c r="G84" t="s">
        <v>157</v>
      </c>
      <c r="H84" t="s">
        <v>6063</v>
      </c>
      <c r="I84" t="s">
        <v>1194</v>
      </c>
      <c r="J84" t="s">
        <v>1755</v>
      </c>
      <c r="K84" t="str">
        <f>CONCATENATE(Shipment_Master_Database[[#This Row],[Exp '#]],"-",Shipment_Master_Database[[#This Row],[B. '#]])</f>
        <v>25-033--</v>
      </c>
      <c r="L84" t="s">
        <v>6179</v>
      </c>
      <c r="M84" t="s">
        <v>6180</v>
      </c>
      <c r="O84">
        <v>2</v>
      </c>
      <c r="P84">
        <v>793</v>
      </c>
      <c r="Q84">
        <v>908</v>
      </c>
      <c r="R84" t="s">
        <v>1200</v>
      </c>
      <c r="S84" t="s">
        <v>148</v>
      </c>
      <c r="U84" t="s">
        <v>1201</v>
      </c>
      <c r="AD84">
        <v>1</v>
      </c>
      <c r="AF84" s="19"/>
      <c r="AG84">
        <v>45979</v>
      </c>
      <c r="AH84">
        <v>45982</v>
      </c>
      <c r="AI84">
        <v>45986</v>
      </c>
      <c r="AK84">
        <v>46041</v>
      </c>
      <c r="AL84">
        <v>55</v>
      </c>
      <c r="AM84">
        <v>46041</v>
      </c>
      <c r="AO84" t="s">
        <v>1268</v>
      </c>
      <c r="AR84" t="s">
        <v>1203</v>
      </c>
      <c r="AT84" t="s">
        <v>157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 t="s">
        <v>1565</v>
      </c>
      <c r="B85" t="s">
        <v>47</v>
      </c>
      <c r="C85" t="s">
        <v>1760</v>
      </c>
      <c r="D85" t="s">
        <v>394</v>
      </c>
      <c r="E85" t="s">
        <v>406</v>
      </c>
      <c r="F85" t="s">
        <v>405</v>
      </c>
      <c r="G85" t="s">
        <v>125</v>
      </c>
      <c r="H85" t="s">
        <v>6063</v>
      </c>
      <c r="I85" t="s">
        <v>573</v>
      </c>
      <c r="J85" t="s">
        <v>6145</v>
      </c>
      <c r="K85" t="str">
        <f>CONCATENATE(Shipment_Master_Database[[#This Row],[Exp '#]],"-",Shipment_Master_Database[[#This Row],[B. '#]])</f>
        <v xml:space="preserve">2322nd-2nd </v>
      </c>
      <c r="L85" t="s">
        <v>575</v>
      </c>
      <c r="M85" t="s">
        <v>574</v>
      </c>
      <c r="O85">
        <v>1</v>
      </c>
      <c r="P85">
        <v>236</v>
      </c>
      <c r="Q85">
        <v>370</v>
      </c>
      <c r="R85" t="s">
        <v>263</v>
      </c>
      <c r="S85" t="s">
        <v>148</v>
      </c>
      <c r="U85" t="s">
        <v>577</v>
      </c>
      <c r="AD85">
        <v>1</v>
      </c>
      <c r="AF85" s="19"/>
      <c r="AG85">
        <v>46003</v>
      </c>
      <c r="AH85">
        <v>46004</v>
      </c>
      <c r="AI85">
        <v>46010</v>
      </c>
      <c r="AJ85">
        <v>46096</v>
      </c>
      <c r="AK85">
        <v>46117</v>
      </c>
      <c r="AL85">
        <v>107</v>
      </c>
      <c r="AM85">
        <v>21</v>
      </c>
      <c r="AO85" t="s">
        <v>1268</v>
      </c>
      <c r="AQ85" t="s">
        <v>6061</v>
      </c>
      <c r="AR85" t="s">
        <v>578</v>
      </c>
      <c r="AT85" t="s">
        <v>6181</v>
      </c>
      <c r="AU85">
        <v>16238</v>
      </c>
      <c r="AV85">
        <v>8695</v>
      </c>
      <c r="AW85">
        <v>13500</v>
      </c>
      <c r="AX85">
        <v>0</v>
      </c>
      <c r="AY85">
        <v>2500</v>
      </c>
      <c r="AZ85">
        <v>9000</v>
      </c>
      <c r="BA85">
        <v>5300</v>
      </c>
      <c r="BD85">
        <v>19530</v>
      </c>
      <c r="BE85">
        <v>200925</v>
      </c>
      <c r="BF85">
        <v>275688</v>
      </c>
      <c r="BG85">
        <v>0</v>
      </c>
      <c r="BH85">
        <v>275688</v>
      </c>
      <c r="BI85">
        <v>745.10270270270269</v>
      </c>
    </row>
    <row r="86" spans="1:61" x14ac:dyDescent="0.25">
      <c r="A86" t="s">
        <v>1565</v>
      </c>
      <c r="B86" t="s">
        <v>47</v>
      </c>
      <c r="C86" t="s">
        <v>1760</v>
      </c>
      <c r="D86" t="s">
        <v>394</v>
      </c>
      <c r="E86" t="s">
        <v>1755</v>
      </c>
      <c r="F86" t="s">
        <v>1755</v>
      </c>
      <c r="G86" t="s">
        <v>125</v>
      </c>
      <c r="H86" t="s">
        <v>6063</v>
      </c>
      <c r="I86" t="s">
        <v>393</v>
      </c>
      <c r="J86" t="s">
        <v>6145</v>
      </c>
      <c r="K86" t="str">
        <f>CONCATENATE(Shipment_Master_Database[[#This Row],[Exp '#]],"-",Shipment_Master_Database[[#This Row],[B. '#]])</f>
        <v xml:space="preserve">2285th-2nd </v>
      </c>
      <c r="L86" t="s">
        <v>396</v>
      </c>
      <c r="M86" t="s">
        <v>395</v>
      </c>
      <c r="O86">
        <v>1</v>
      </c>
      <c r="P86">
        <v>2745</v>
      </c>
      <c r="Q86">
        <v>2960</v>
      </c>
      <c r="R86" t="s">
        <v>1755</v>
      </c>
      <c r="S86" t="s">
        <v>1755</v>
      </c>
      <c r="T86" t="s">
        <v>1755</v>
      </c>
      <c r="U86" t="s">
        <v>1755</v>
      </c>
      <c r="AF86" s="19"/>
      <c r="AG86">
        <v>46003</v>
      </c>
      <c r="AH86" t="s">
        <v>1755</v>
      </c>
      <c r="AI86">
        <v>46010</v>
      </c>
      <c r="AJ86">
        <v>46096</v>
      </c>
      <c r="AK86">
        <v>46117</v>
      </c>
      <c r="AL86">
        <v>107</v>
      </c>
      <c r="AM86">
        <v>21</v>
      </c>
      <c r="AO86" t="s">
        <v>1268</v>
      </c>
      <c r="AP86" t="s">
        <v>1755</v>
      </c>
      <c r="AQ86" t="s">
        <v>1755</v>
      </c>
      <c r="AR86" t="s">
        <v>1755</v>
      </c>
      <c r="AT86" t="s">
        <v>1755</v>
      </c>
      <c r="AU86">
        <v>2500</v>
      </c>
      <c r="AW86" t="s">
        <v>1755</v>
      </c>
      <c r="AX86">
        <v>0</v>
      </c>
      <c r="AY86">
        <v>2960</v>
      </c>
      <c r="BA86">
        <v>5300</v>
      </c>
      <c r="BE86">
        <v>200925</v>
      </c>
      <c r="BF86">
        <v>211685</v>
      </c>
      <c r="BG86">
        <v>0</v>
      </c>
      <c r="BH86">
        <v>211685</v>
      </c>
      <c r="BI86">
        <v>71.515202702702709</v>
      </c>
    </row>
    <row r="87" spans="1:61" x14ac:dyDescent="0.25">
      <c r="A87" t="s">
        <v>1565</v>
      </c>
      <c r="B87" t="s">
        <v>47</v>
      </c>
      <c r="C87" t="s">
        <v>1771</v>
      </c>
      <c r="D87" t="s">
        <v>6182</v>
      </c>
      <c r="E87" t="s">
        <v>1153</v>
      </c>
      <c r="F87" t="s">
        <v>6183</v>
      </c>
      <c r="G87" t="s">
        <v>157</v>
      </c>
      <c r="H87" t="s">
        <v>6063</v>
      </c>
      <c r="I87" t="s">
        <v>1148</v>
      </c>
      <c r="K87" t="str">
        <f>CONCATENATE(Shipment_Master_Database[[#This Row],[Exp '#]],"-",Shipment_Master_Database[[#This Row],[B. '#]])</f>
        <v>25-018-</v>
      </c>
      <c r="L87" t="s">
        <v>1150</v>
      </c>
      <c r="M87" t="s">
        <v>6184</v>
      </c>
      <c r="O87">
        <v>1</v>
      </c>
      <c r="P87">
        <v>5350</v>
      </c>
      <c r="Q87">
        <v>6090</v>
      </c>
      <c r="R87" t="s">
        <v>632</v>
      </c>
      <c r="S87" t="s">
        <v>148</v>
      </c>
      <c r="U87" t="s">
        <v>1154</v>
      </c>
      <c r="AD87">
        <v>1</v>
      </c>
      <c r="AF87" s="19"/>
      <c r="AG87">
        <v>46010</v>
      </c>
      <c r="AH87">
        <v>46014</v>
      </c>
      <c r="AI87">
        <v>46017</v>
      </c>
      <c r="AK87">
        <v>46072</v>
      </c>
      <c r="AL87">
        <v>55</v>
      </c>
      <c r="AM87">
        <v>46072</v>
      </c>
      <c r="AO87" t="s">
        <v>1268</v>
      </c>
      <c r="AQ87" t="s">
        <v>6061</v>
      </c>
      <c r="AR87" t="s">
        <v>1155</v>
      </c>
      <c r="AT87" t="s">
        <v>157</v>
      </c>
      <c r="BA87">
        <v>11100</v>
      </c>
      <c r="BF87">
        <v>11100</v>
      </c>
      <c r="BG87">
        <v>0</v>
      </c>
      <c r="BH87">
        <v>11100</v>
      </c>
      <c r="BI87">
        <v>1.8226600985221675</v>
      </c>
    </row>
    <row r="88" spans="1:61" x14ac:dyDescent="0.25">
      <c r="A88" t="s">
        <v>1565</v>
      </c>
      <c r="B88" t="s">
        <v>47</v>
      </c>
      <c r="C88" t="s">
        <v>1771</v>
      </c>
      <c r="D88" t="s">
        <v>6176</v>
      </c>
      <c r="E88" t="s">
        <v>254</v>
      </c>
      <c r="F88" t="s">
        <v>1235</v>
      </c>
      <c r="G88" t="s">
        <v>6185</v>
      </c>
      <c r="H88" t="s">
        <v>6063</v>
      </c>
      <c r="I88" t="s">
        <v>1231</v>
      </c>
      <c r="J88" t="s">
        <v>1755</v>
      </c>
      <c r="K88" t="str">
        <f>CONCATENATE(Shipment_Master_Database[[#This Row],[Exp '#]],"-",Shipment_Master_Database[[#This Row],[B. '#]])</f>
        <v>25-040--</v>
      </c>
      <c r="L88" t="s">
        <v>6186</v>
      </c>
      <c r="M88" t="s">
        <v>6187</v>
      </c>
      <c r="N88" t="s">
        <v>1147</v>
      </c>
      <c r="O88">
        <v>3</v>
      </c>
      <c r="P88">
        <v>2250</v>
      </c>
      <c r="Q88">
        <v>2615</v>
      </c>
      <c r="R88" t="s">
        <v>6188</v>
      </c>
      <c r="S88" t="s">
        <v>128</v>
      </c>
      <c r="T88" t="s">
        <v>1237</v>
      </c>
      <c r="U88" t="s">
        <v>1238</v>
      </c>
      <c r="AE88">
        <v>1</v>
      </c>
      <c r="AF88" s="19"/>
      <c r="AG88">
        <v>46051</v>
      </c>
      <c r="AH88">
        <v>46051</v>
      </c>
      <c r="AI88">
        <v>46051</v>
      </c>
      <c r="AJ88" t="s">
        <v>1755</v>
      </c>
      <c r="AK88">
        <v>46066</v>
      </c>
      <c r="AL88">
        <v>15</v>
      </c>
      <c r="AM88">
        <v>0</v>
      </c>
      <c r="AO88" t="s">
        <v>1755</v>
      </c>
      <c r="AP88" t="s">
        <v>1268</v>
      </c>
      <c r="AQ88" t="s">
        <v>6189</v>
      </c>
      <c r="AR88" t="s">
        <v>1755</v>
      </c>
      <c r="AT88" t="s">
        <v>1755</v>
      </c>
      <c r="BE88">
        <v>28587</v>
      </c>
      <c r="BF88">
        <v>28587</v>
      </c>
      <c r="BG88">
        <v>0</v>
      </c>
      <c r="BH88">
        <v>28587</v>
      </c>
      <c r="BI88">
        <v>10.931931166347992</v>
      </c>
    </row>
    <row r="89" spans="1:61" x14ac:dyDescent="0.25">
      <c r="A89" t="s">
        <v>1565</v>
      </c>
      <c r="B89" t="s">
        <v>47</v>
      </c>
      <c r="C89" t="s">
        <v>1771</v>
      </c>
      <c r="D89" t="s">
        <v>1004</v>
      </c>
      <c r="E89" t="s">
        <v>307</v>
      </c>
      <c r="F89" t="s">
        <v>146</v>
      </c>
      <c r="G89" t="s">
        <v>125</v>
      </c>
      <c r="H89" t="s">
        <v>6154</v>
      </c>
      <c r="I89" t="s">
        <v>681</v>
      </c>
      <c r="J89" t="s">
        <v>1755</v>
      </c>
      <c r="K89" t="str">
        <f>CONCATENATE(Shipment_Master_Database[[#This Row],[Exp '#]],"-",Shipment_Master_Database[[#This Row],[B. '#]])</f>
        <v>2340th--</v>
      </c>
      <c r="L89" t="s">
        <v>683</v>
      </c>
      <c r="M89" t="s">
        <v>682</v>
      </c>
      <c r="N89" t="s">
        <v>1147</v>
      </c>
      <c r="O89">
        <v>10</v>
      </c>
      <c r="P89">
        <v>100</v>
      </c>
      <c r="Q89">
        <v>215</v>
      </c>
      <c r="R89" t="s">
        <v>128</v>
      </c>
      <c r="S89" t="s">
        <v>148</v>
      </c>
      <c r="T89" t="s">
        <v>149</v>
      </c>
      <c r="U89">
        <v>49552170</v>
      </c>
      <c r="W89">
        <v>1</v>
      </c>
      <c r="AF89" s="19"/>
      <c r="AG89">
        <v>46039</v>
      </c>
      <c r="AH89">
        <v>46040</v>
      </c>
      <c r="AI89">
        <v>46050</v>
      </c>
      <c r="AJ89">
        <v>46077</v>
      </c>
      <c r="AK89">
        <v>46076</v>
      </c>
      <c r="AL89">
        <v>26</v>
      </c>
      <c r="AM89">
        <v>-1</v>
      </c>
      <c r="AO89" t="s">
        <v>1268</v>
      </c>
      <c r="AP89" t="s">
        <v>6061</v>
      </c>
      <c r="AQ89" t="s">
        <v>6061</v>
      </c>
      <c r="AR89" t="s">
        <v>685</v>
      </c>
      <c r="AT89" t="s">
        <v>1755</v>
      </c>
      <c r="AU89">
        <v>32966</v>
      </c>
      <c r="AV89">
        <v>3285</v>
      </c>
      <c r="AW89">
        <v>3500</v>
      </c>
      <c r="AX89">
        <v>9000</v>
      </c>
      <c r="AY89">
        <v>100</v>
      </c>
      <c r="AZ89">
        <v>28100</v>
      </c>
      <c r="BA89">
        <v>10600</v>
      </c>
      <c r="BD89">
        <v>11580</v>
      </c>
      <c r="BE89">
        <v>913770</v>
      </c>
      <c r="BF89">
        <v>1012901</v>
      </c>
      <c r="BG89">
        <v>0</v>
      </c>
      <c r="BH89">
        <v>1012901</v>
      </c>
      <c r="BI89">
        <v>4711.1674418604653</v>
      </c>
    </row>
    <row r="90" spans="1:61" x14ac:dyDescent="0.25">
      <c r="A90" t="s">
        <v>1565</v>
      </c>
      <c r="B90" t="s">
        <v>47</v>
      </c>
      <c r="C90" t="s">
        <v>1771</v>
      </c>
      <c r="D90" t="s">
        <v>1135</v>
      </c>
      <c r="E90" t="s">
        <v>1755</v>
      </c>
      <c r="F90" t="s">
        <v>1755</v>
      </c>
      <c r="G90" t="s">
        <v>125</v>
      </c>
      <c r="H90" t="s">
        <v>1764</v>
      </c>
      <c r="I90" t="s">
        <v>693</v>
      </c>
      <c r="J90" t="s">
        <v>1755</v>
      </c>
      <c r="K90" t="str">
        <f>CONCATENATE(Shipment_Master_Database[[#This Row],[Exp '#]],"-",Shipment_Master_Database[[#This Row],[B. '#]])</f>
        <v>2342nd--</v>
      </c>
      <c r="L90" t="s">
        <v>696</v>
      </c>
      <c r="M90" t="s">
        <v>695</v>
      </c>
      <c r="N90" t="s">
        <v>1042</v>
      </c>
      <c r="O90">
        <v>2</v>
      </c>
      <c r="P90">
        <v>6200</v>
      </c>
      <c r="Q90">
        <v>7540</v>
      </c>
      <c r="R90" t="s">
        <v>1755</v>
      </c>
      <c r="S90" t="s">
        <v>1755</v>
      </c>
      <c r="T90" t="s">
        <v>1755</v>
      </c>
      <c r="U90" t="s">
        <v>1755</v>
      </c>
      <c r="AB90">
        <v>5</v>
      </c>
      <c r="AF90" s="19"/>
      <c r="AG90">
        <v>46039</v>
      </c>
      <c r="AH90">
        <v>46040</v>
      </c>
      <c r="AI90">
        <v>46050</v>
      </c>
      <c r="AJ90">
        <v>46105</v>
      </c>
      <c r="AK90">
        <v>46070</v>
      </c>
      <c r="AL90">
        <v>20</v>
      </c>
      <c r="AM90">
        <v>-35</v>
      </c>
      <c r="AO90" t="s">
        <v>1755</v>
      </c>
      <c r="AP90" t="s">
        <v>1755</v>
      </c>
      <c r="AQ90" t="s">
        <v>1755</v>
      </c>
      <c r="AR90" t="s">
        <v>1755</v>
      </c>
      <c r="AT90" t="s">
        <v>1755</v>
      </c>
      <c r="AU90">
        <v>60782</v>
      </c>
      <c r="AV90">
        <v>152800</v>
      </c>
      <c r="AX90" t="s">
        <v>1755</v>
      </c>
      <c r="AY90">
        <v>6200</v>
      </c>
      <c r="AZ90" t="s">
        <v>1755</v>
      </c>
      <c r="BA90" t="s">
        <v>1755</v>
      </c>
      <c r="BD90" t="s">
        <v>1755</v>
      </c>
      <c r="BE90" t="s">
        <v>1755</v>
      </c>
      <c r="BF90">
        <v>219782</v>
      </c>
      <c r="BG90">
        <v>0</v>
      </c>
      <c r="BH90">
        <v>219782</v>
      </c>
      <c r="BI90">
        <v>29.148806366047744</v>
      </c>
    </row>
    <row r="91" spans="1:61" x14ac:dyDescent="0.25">
      <c r="A91" t="s">
        <v>1565</v>
      </c>
      <c r="B91" t="s">
        <v>47</v>
      </c>
      <c r="C91" t="s">
        <v>1771</v>
      </c>
      <c r="D91" t="s">
        <v>1132</v>
      </c>
      <c r="E91" t="s">
        <v>254</v>
      </c>
      <c r="F91" t="s">
        <v>253</v>
      </c>
      <c r="G91" t="s">
        <v>125</v>
      </c>
      <c r="H91" t="s">
        <v>6069</v>
      </c>
      <c r="I91" t="s">
        <v>248</v>
      </c>
      <c r="K91" t="str">
        <f>CONCATENATE(Shipment_Master_Database[[#This Row],[Exp '#]],"-",Shipment_Master_Database[[#This Row],[B. '#]])</f>
        <v>2252nd-</v>
      </c>
      <c r="L91" t="s">
        <v>156</v>
      </c>
      <c r="M91" t="s">
        <v>250</v>
      </c>
      <c r="O91">
        <v>3</v>
      </c>
      <c r="P91">
        <v>85676</v>
      </c>
      <c r="Q91">
        <v>86785</v>
      </c>
      <c r="R91" t="s">
        <v>263</v>
      </c>
      <c r="S91" t="s">
        <v>148</v>
      </c>
      <c r="T91" t="s">
        <v>149</v>
      </c>
      <c r="U91">
        <v>93655785</v>
      </c>
      <c r="AF91" s="19"/>
      <c r="AG91">
        <v>46022</v>
      </c>
      <c r="AH91">
        <v>46022</v>
      </c>
      <c r="AI91">
        <v>46028</v>
      </c>
      <c r="AJ91">
        <v>46078</v>
      </c>
      <c r="AK91">
        <v>46078</v>
      </c>
      <c r="AL91">
        <v>50</v>
      </c>
      <c r="AM91">
        <v>0</v>
      </c>
      <c r="AO91" t="s">
        <v>1268</v>
      </c>
      <c r="AP91" t="s">
        <v>6085</v>
      </c>
      <c r="AQ91" t="s">
        <v>6086</v>
      </c>
      <c r="AR91" t="s">
        <v>256</v>
      </c>
      <c r="AT91" t="s">
        <v>6190</v>
      </c>
      <c r="AU91">
        <v>102000</v>
      </c>
      <c r="AV91">
        <v>535000</v>
      </c>
      <c r="AW91">
        <v>17500</v>
      </c>
      <c r="AX91">
        <v>97500</v>
      </c>
      <c r="AY91">
        <v>86785</v>
      </c>
      <c r="AZ91">
        <v>368350</v>
      </c>
      <c r="BA91">
        <v>47200</v>
      </c>
      <c r="BB91">
        <v>60127</v>
      </c>
      <c r="BD91">
        <v>333440</v>
      </c>
      <c r="BE91">
        <v>8007075</v>
      </c>
      <c r="BF91">
        <v>9654977</v>
      </c>
      <c r="BG91">
        <v>0</v>
      </c>
      <c r="BH91">
        <v>9654977</v>
      </c>
      <c r="BI91">
        <v>111.25167943769084</v>
      </c>
    </row>
    <row r="92" spans="1:61" x14ac:dyDescent="0.25">
      <c r="A92" t="s">
        <v>1565</v>
      </c>
      <c r="B92" t="s">
        <v>47</v>
      </c>
      <c r="C92" t="s">
        <v>1760</v>
      </c>
      <c r="D92" t="s">
        <v>5762</v>
      </c>
      <c r="E92" t="s">
        <v>441</v>
      </c>
      <c r="F92" t="s">
        <v>643</v>
      </c>
      <c r="G92" t="s">
        <v>181</v>
      </c>
      <c r="H92" t="s">
        <v>1764</v>
      </c>
      <c r="I92" t="s">
        <v>640</v>
      </c>
      <c r="J92" t="s">
        <v>1755</v>
      </c>
      <c r="K92" t="str">
        <f>CONCATENATE(Shipment_Master_Database[[#This Row],[Exp '#]],"-",Shipment_Master_Database[[#This Row],[B. '#]])</f>
        <v>2334th--</v>
      </c>
      <c r="L92" t="s">
        <v>156</v>
      </c>
      <c r="M92" t="s">
        <v>642</v>
      </c>
      <c r="N92" t="s">
        <v>5763</v>
      </c>
      <c r="O92">
        <v>1</v>
      </c>
      <c r="P92">
        <v>13147</v>
      </c>
      <c r="Q92">
        <v>13430</v>
      </c>
      <c r="R92" t="s">
        <v>263</v>
      </c>
      <c r="S92" t="s">
        <v>148</v>
      </c>
      <c r="T92" t="s">
        <v>442</v>
      </c>
      <c r="U92">
        <v>265428447</v>
      </c>
      <c r="V92">
        <v>1</v>
      </c>
      <c r="AF92" s="19"/>
      <c r="AG92">
        <v>46044</v>
      </c>
      <c r="AH92">
        <v>46047</v>
      </c>
      <c r="AI92">
        <v>46049</v>
      </c>
      <c r="AJ92">
        <v>46065</v>
      </c>
      <c r="AK92">
        <v>46078</v>
      </c>
      <c r="AL92">
        <v>29</v>
      </c>
      <c r="AM92">
        <v>13</v>
      </c>
      <c r="AO92" t="s">
        <v>1268</v>
      </c>
      <c r="AP92" t="s">
        <v>6191</v>
      </c>
      <c r="AQ92" t="s">
        <v>6061</v>
      </c>
      <c r="AR92" t="s">
        <v>644</v>
      </c>
      <c r="AU92">
        <v>20438</v>
      </c>
      <c r="AV92">
        <v>98441</v>
      </c>
      <c r="AW92">
        <v>3500</v>
      </c>
      <c r="AX92">
        <v>9000</v>
      </c>
      <c r="AY92">
        <v>13340</v>
      </c>
      <c r="AZ92">
        <v>30000</v>
      </c>
      <c r="BA92">
        <v>13475</v>
      </c>
      <c r="BD92">
        <v>30006</v>
      </c>
      <c r="BE92">
        <v>614522</v>
      </c>
      <c r="BF92">
        <v>832722</v>
      </c>
      <c r="BG92">
        <v>0</v>
      </c>
      <c r="BH92">
        <v>832722</v>
      </c>
      <c r="BI92">
        <v>62.004616530156369</v>
      </c>
    </row>
    <row r="93" spans="1:61" x14ac:dyDescent="0.25">
      <c r="A93" t="s">
        <v>1565</v>
      </c>
      <c r="B93" t="s">
        <v>47</v>
      </c>
      <c r="C93" t="s">
        <v>1760</v>
      </c>
      <c r="D93" t="s">
        <v>6056</v>
      </c>
      <c r="E93" t="s">
        <v>1164</v>
      </c>
      <c r="F93" t="s">
        <v>1163</v>
      </c>
      <c r="G93" t="s">
        <v>157</v>
      </c>
      <c r="H93" t="s">
        <v>6063</v>
      </c>
      <c r="I93" t="s">
        <v>1157</v>
      </c>
      <c r="J93" t="s">
        <v>1755</v>
      </c>
      <c r="K93" t="str">
        <f>CONCATENATE(Shipment_Master_Database[[#This Row],[Exp '#]],"-",Shipment_Master_Database[[#This Row],[B. '#]])</f>
        <v>25-025--</v>
      </c>
      <c r="L93" t="s">
        <v>6192</v>
      </c>
      <c r="M93" t="s">
        <v>6193</v>
      </c>
      <c r="N93" t="s">
        <v>1147</v>
      </c>
      <c r="O93">
        <v>6</v>
      </c>
      <c r="P93">
        <v>10496</v>
      </c>
      <c r="Q93">
        <v>11025</v>
      </c>
      <c r="R93" t="s">
        <v>1165</v>
      </c>
      <c r="S93" t="s">
        <v>148</v>
      </c>
      <c r="T93" t="s">
        <v>1166</v>
      </c>
      <c r="U93" t="s">
        <v>1167</v>
      </c>
      <c r="V93">
        <v>1</v>
      </c>
      <c r="AF93" s="19"/>
      <c r="AG93">
        <v>45994</v>
      </c>
      <c r="AH93">
        <v>45995</v>
      </c>
      <c r="AI93">
        <v>46000</v>
      </c>
      <c r="AJ93">
        <v>46047</v>
      </c>
      <c r="AK93">
        <v>46079</v>
      </c>
      <c r="AL93">
        <v>79</v>
      </c>
      <c r="AM93">
        <v>32</v>
      </c>
      <c r="AO93" t="s">
        <v>1268</v>
      </c>
      <c r="AP93" t="s">
        <v>6085</v>
      </c>
      <c r="AQ93" t="s">
        <v>6086</v>
      </c>
      <c r="AR93" t="s">
        <v>1168</v>
      </c>
      <c r="AT93" t="s">
        <v>157</v>
      </c>
      <c r="AU93">
        <v>60693</v>
      </c>
      <c r="AV93">
        <v>65000</v>
      </c>
      <c r="AW93">
        <v>3500</v>
      </c>
      <c r="AX93">
        <v>5000</v>
      </c>
      <c r="AY93">
        <v>11025</v>
      </c>
      <c r="AZ93">
        <v>37400</v>
      </c>
      <c r="BA93">
        <v>11100</v>
      </c>
      <c r="BD93">
        <v>30350</v>
      </c>
      <c r="BE93" t="s">
        <v>1755</v>
      </c>
      <c r="BF93">
        <v>224068</v>
      </c>
      <c r="BG93">
        <v>0</v>
      </c>
      <c r="BH93">
        <v>224068</v>
      </c>
      <c r="BI93">
        <v>20.323628117913831</v>
      </c>
    </row>
    <row r="94" spans="1:61" x14ac:dyDescent="0.25">
      <c r="A94" t="s">
        <v>1565</v>
      </c>
      <c r="B94" t="s">
        <v>47</v>
      </c>
      <c r="C94" t="s">
        <v>1771</v>
      </c>
      <c r="D94" t="s">
        <v>196</v>
      </c>
      <c r="E94" t="s">
        <v>551</v>
      </c>
      <c r="F94" t="s">
        <v>550</v>
      </c>
      <c r="G94" t="s">
        <v>181</v>
      </c>
      <c r="H94" t="s">
        <v>6063</v>
      </c>
      <c r="I94" t="s">
        <v>545</v>
      </c>
      <c r="J94" t="s">
        <v>1755</v>
      </c>
      <c r="K94" t="str">
        <f>CONCATENATE(Shipment_Master_Database[[#This Row],[Exp '#]],"-",Shipment_Master_Database[[#This Row],[B. '#]])</f>
        <v>2317th--</v>
      </c>
      <c r="L94" t="s">
        <v>6194</v>
      </c>
      <c r="M94" t="s">
        <v>546</v>
      </c>
      <c r="N94" t="s">
        <v>32</v>
      </c>
      <c r="O94">
        <v>1</v>
      </c>
      <c r="P94">
        <v>180</v>
      </c>
      <c r="Q94">
        <v>215</v>
      </c>
      <c r="R94" t="s">
        <v>128</v>
      </c>
      <c r="S94" t="s">
        <v>148</v>
      </c>
      <c r="U94" t="s">
        <v>6195</v>
      </c>
      <c r="AD94">
        <v>1</v>
      </c>
      <c r="AF94" s="19"/>
      <c r="AG94">
        <v>45987</v>
      </c>
      <c r="AH94">
        <v>45986</v>
      </c>
      <c r="AI94">
        <v>45971</v>
      </c>
      <c r="AJ94">
        <v>46073</v>
      </c>
      <c r="AK94">
        <v>46080</v>
      </c>
      <c r="AL94">
        <v>109</v>
      </c>
      <c r="AM94">
        <v>7</v>
      </c>
      <c r="AO94" t="s">
        <v>1268</v>
      </c>
      <c r="AQ94" t="s">
        <v>6061</v>
      </c>
      <c r="AR94" t="s">
        <v>6196</v>
      </c>
      <c r="AT94" t="s">
        <v>6197</v>
      </c>
      <c r="AU94">
        <v>2500</v>
      </c>
      <c r="AV94">
        <v>5372</v>
      </c>
      <c r="AW94">
        <v>13500</v>
      </c>
      <c r="AX94" t="s">
        <v>1755</v>
      </c>
      <c r="AY94">
        <v>215</v>
      </c>
      <c r="AZ94">
        <v>2000</v>
      </c>
      <c r="BA94">
        <v>13475</v>
      </c>
      <c r="BD94">
        <v>50487</v>
      </c>
      <c r="BE94">
        <v>49875</v>
      </c>
      <c r="BF94">
        <v>137424</v>
      </c>
      <c r="BG94">
        <v>0</v>
      </c>
      <c r="BH94">
        <v>137424</v>
      </c>
      <c r="BI94">
        <v>639.18139534883721</v>
      </c>
    </row>
    <row r="95" spans="1:61" x14ac:dyDescent="0.25">
      <c r="A95" t="s">
        <v>1565</v>
      </c>
      <c r="B95" t="s">
        <v>47</v>
      </c>
      <c r="C95" t="s">
        <v>1771</v>
      </c>
      <c r="D95" t="s">
        <v>143</v>
      </c>
      <c r="E95" t="s">
        <v>147</v>
      </c>
      <c r="F95" t="s">
        <v>146</v>
      </c>
      <c r="G95" t="s">
        <v>125</v>
      </c>
      <c r="H95" t="s">
        <v>1755</v>
      </c>
      <c r="I95" t="s">
        <v>354</v>
      </c>
      <c r="J95" t="s">
        <v>3343</v>
      </c>
      <c r="K95" t="str">
        <f>CONCATENATE(Shipment_Master_Database[[#This Row],[Exp '#]],"-",Shipment_Master_Database[[#This Row],[B. '#]])</f>
        <v>2278th-5th</v>
      </c>
      <c r="L95" t="s">
        <v>6198</v>
      </c>
      <c r="O95">
        <v>12</v>
      </c>
      <c r="P95">
        <v>23285</v>
      </c>
      <c r="Q95">
        <v>26770</v>
      </c>
      <c r="R95" t="s">
        <v>263</v>
      </c>
      <c r="S95" t="s">
        <v>128</v>
      </c>
      <c r="T95" t="s">
        <v>149</v>
      </c>
      <c r="U95">
        <v>12088466</v>
      </c>
      <c r="W95">
        <v>1</v>
      </c>
      <c r="AF95" s="19"/>
      <c r="AG95">
        <v>46049</v>
      </c>
      <c r="AH95">
        <v>46048</v>
      </c>
      <c r="AI95">
        <v>46057</v>
      </c>
      <c r="AJ95">
        <v>46080</v>
      </c>
      <c r="AK95">
        <v>46081</v>
      </c>
      <c r="AL95">
        <v>24</v>
      </c>
      <c r="AM95">
        <v>1</v>
      </c>
      <c r="AO95" t="s">
        <v>1268</v>
      </c>
      <c r="AP95" t="s">
        <v>1268</v>
      </c>
      <c r="AQ95" t="s">
        <v>6061</v>
      </c>
      <c r="AR95" t="s">
        <v>6199</v>
      </c>
      <c r="AT95" t="s">
        <v>6138</v>
      </c>
      <c r="AU95">
        <v>160630</v>
      </c>
      <c r="AV95">
        <v>190000</v>
      </c>
      <c r="AW95">
        <v>3500</v>
      </c>
      <c r="AX95">
        <v>9000</v>
      </c>
      <c r="AY95">
        <v>26770</v>
      </c>
      <c r="AZ95">
        <v>16500</v>
      </c>
      <c r="BA95">
        <v>12475</v>
      </c>
      <c r="BD95">
        <v>34887</v>
      </c>
      <c r="BE95">
        <v>852647</v>
      </c>
      <c r="BF95">
        <v>1306409</v>
      </c>
      <c r="BG95">
        <v>0</v>
      </c>
      <c r="BH95">
        <v>1306409</v>
      </c>
      <c r="BI95">
        <v>48.801232723197607</v>
      </c>
    </row>
    <row r="96" spans="1:61" x14ac:dyDescent="0.25">
      <c r="A96" t="s">
        <v>1565</v>
      </c>
      <c r="B96" t="s">
        <v>47</v>
      </c>
      <c r="C96" t="s">
        <v>1771</v>
      </c>
      <c r="D96" t="s">
        <v>1090</v>
      </c>
      <c r="E96" t="s">
        <v>127</v>
      </c>
      <c r="F96" t="s">
        <v>126</v>
      </c>
      <c r="G96" t="s">
        <v>181</v>
      </c>
      <c r="H96" t="s">
        <v>6154</v>
      </c>
      <c r="I96" t="s">
        <v>768</v>
      </c>
      <c r="J96" t="s">
        <v>1755</v>
      </c>
      <c r="K96" t="str">
        <f>CONCATENATE(Shipment_Master_Database[[#This Row],[Exp '#]],"-",Shipment_Master_Database[[#This Row],[B. '#]])</f>
        <v>2360th--</v>
      </c>
      <c r="L96" t="s">
        <v>770</v>
      </c>
      <c r="M96" t="s">
        <v>769</v>
      </c>
      <c r="N96" t="s">
        <v>5716</v>
      </c>
      <c r="O96">
        <v>1</v>
      </c>
      <c r="P96">
        <v>513</v>
      </c>
      <c r="Q96">
        <v>618</v>
      </c>
      <c r="R96" t="s">
        <v>263</v>
      </c>
      <c r="S96" t="s">
        <v>148</v>
      </c>
      <c r="T96" t="s">
        <v>773</v>
      </c>
      <c r="U96" t="s">
        <v>774</v>
      </c>
      <c r="V96">
        <v>1</v>
      </c>
      <c r="AF96" s="19"/>
      <c r="AG96">
        <v>46015</v>
      </c>
      <c r="AH96">
        <v>46011</v>
      </c>
      <c r="AI96">
        <v>46017</v>
      </c>
      <c r="AJ96">
        <v>46093</v>
      </c>
      <c r="AK96">
        <v>46093</v>
      </c>
      <c r="AL96">
        <v>76</v>
      </c>
      <c r="AM96">
        <v>0</v>
      </c>
      <c r="AO96" t="s">
        <v>1268</v>
      </c>
      <c r="AP96" t="s">
        <v>6200</v>
      </c>
      <c r="AQ96" t="s">
        <v>6061</v>
      </c>
      <c r="AR96" t="s">
        <v>775</v>
      </c>
      <c r="AT96" t="s">
        <v>6201</v>
      </c>
      <c r="AU96">
        <v>11667</v>
      </c>
      <c r="AV96">
        <v>15625</v>
      </c>
      <c r="AW96">
        <v>3500</v>
      </c>
      <c r="AX96">
        <v>5000</v>
      </c>
      <c r="AY96">
        <v>618</v>
      </c>
      <c r="AZ96" t="s">
        <v>1755</v>
      </c>
      <c r="BA96">
        <v>16200</v>
      </c>
      <c r="BC96">
        <v>1197</v>
      </c>
      <c r="BD96">
        <v>30006</v>
      </c>
      <c r="BE96">
        <v>821040</v>
      </c>
      <c r="BF96">
        <v>904853</v>
      </c>
      <c r="BG96">
        <v>0</v>
      </c>
      <c r="BH96">
        <v>904853</v>
      </c>
      <c r="BI96">
        <v>1464.1634304207121</v>
      </c>
    </row>
    <row r="97" spans="1:61" x14ac:dyDescent="0.25">
      <c r="A97" t="s">
        <v>1565</v>
      </c>
      <c r="B97" t="s">
        <v>47</v>
      </c>
      <c r="C97" t="s">
        <v>1771</v>
      </c>
      <c r="D97" t="s">
        <v>1090</v>
      </c>
      <c r="E97" t="s">
        <v>1755</v>
      </c>
      <c r="F97" t="s">
        <v>1755</v>
      </c>
      <c r="G97" t="s">
        <v>1755</v>
      </c>
      <c r="H97" t="s">
        <v>1755</v>
      </c>
      <c r="I97" t="s">
        <v>579</v>
      </c>
      <c r="J97" t="s">
        <v>1755</v>
      </c>
      <c r="K97" t="str">
        <f>CONCATENATE(Shipment_Master_Database[[#This Row],[Exp '#]],"-",Shipment_Master_Database[[#This Row],[B. '#]])</f>
        <v>2323rd--</v>
      </c>
      <c r="L97" t="s">
        <v>581</v>
      </c>
      <c r="M97" t="s">
        <v>580</v>
      </c>
      <c r="N97" t="s">
        <v>3796</v>
      </c>
      <c r="O97">
        <v>1</v>
      </c>
      <c r="P97">
        <v>6055</v>
      </c>
      <c r="Q97">
        <v>7070</v>
      </c>
      <c r="R97" t="s">
        <v>1755</v>
      </c>
      <c r="S97" t="s">
        <v>1755</v>
      </c>
      <c r="T97" t="s">
        <v>1755</v>
      </c>
      <c r="U97" t="s">
        <v>1755</v>
      </c>
      <c r="AF97" s="19"/>
      <c r="AG97">
        <v>46015</v>
      </c>
      <c r="AH97" t="s">
        <v>1755</v>
      </c>
      <c r="AI97" t="s">
        <v>1755</v>
      </c>
      <c r="AJ97" t="s">
        <v>1755</v>
      </c>
      <c r="AK97">
        <v>46093</v>
      </c>
      <c r="AL97">
        <v>0</v>
      </c>
      <c r="AM97">
        <v>0</v>
      </c>
      <c r="AO97" t="s">
        <v>1755</v>
      </c>
      <c r="AP97" t="s">
        <v>1755</v>
      </c>
      <c r="AQ97" t="s">
        <v>1755</v>
      </c>
      <c r="AR97" t="s">
        <v>1755</v>
      </c>
      <c r="AT97" t="s">
        <v>1755</v>
      </c>
      <c r="AU97">
        <v>90589</v>
      </c>
      <c r="AV97">
        <v>109375</v>
      </c>
      <c r="AW97" t="s">
        <v>1755</v>
      </c>
      <c r="AX97" t="s">
        <v>1755</v>
      </c>
      <c r="AY97">
        <v>7070</v>
      </c>
      <c r="AZ97" t="s">
        <v>1755</v>
      </c>
      <c r="BA97" t="s">
        <v>1755</v>
      </c>
      <c r="BC97">
        <v>1275</v>
      </c>
      <c r="BD97" t="s">
        <v>1755</v>
      </c>
      <c r="BE97">
        <v>0</v>
      </c>
      <c r="BF97">
        <v>208309</v>
      </c>
      <c r="BG97">
        <v>0</v>
      </c>
      <c r="BH97">
        <v>208309</v>
      </c>
      <c r="BI97">
        <v>29.463790664780763</v>
      </c>
    </row>
    <row r="98" spans="1:61" x14ac:dyDescent="0.25">
      <c r="A98" t="s">
        <v>1565</v>
      </c>
      <c r="B98" t="s">
        <v>47</v>
      </c>
      <c r="C98" t="s">
        <v>1760</v>
      </c>
      <c r="D98" t="s">
        <v>4110</v>
      </c>
      <c r="E98" t="s">
        <v>272</v>
      </c>
      <c r="F98" t="s">
        <v>271</v>
      </c>
      <c r="G98" t="s">
        <v>125</v>
      </c>
      <c r="H98" t="s">
        <v>6063</v>
      </c>
      <c r="I98" t="s">
        <v>266</v>
      </c>
      <c r="J98" t="s">
        <v>1755</v>
      </c>
      <c r="K98" t="str">
        <f>CONCATENATE(Shipment_Master_Database[[#This Row],[Exp '#]],"-",Shipment_Master_Database[[#This Row],[B. '#]])</f>
        <v>2255th--</v>
      </c>
      <c r="L98" t="s">
        <v>6202</v>
      </c>
      <c r="M98" t="s">
        <v>268</v>
      </c>
      <c r="N98" t="s">
        <v>4112</v>
      </c>
      <c r="O98">
        <v>2</v>
      </c>
      <c r="P98">
        <v>15015</v>
      </c>
      <c r="Q98">
        <v>15255</v>
      </c>
      <c r="R98" t="s">
        <v>128</v>
      </c>
      <c r="S98" t="s">
        <v>273</v>
      </c>
      <c r="T98" t="s">
        <v>274</v>
      </c>
      <c r="U98" t="s">
        <v>275</v>
      </c>
      <c r="W98">
        <v>1</v>
      </c>
      <c r="AF98" s="19"/>
      <c r="AG98">
        <v>46052</v>
      </c>
      <c r="AH98">
        <v>46052</v>
      </c>
      <c r="AI98">
        <v>46059</v>
      </c>
      <c r="AJ98">
        <v>46074</v>
      </c>
      <c r="AK98">
        <v>46093</v>
      </c>
      <c r="AL98">
        <v>34</v>
      </c>
      <c r="AM98">
        <v>19</v>
      </c>
      <c r="AO98" t="s">
        <v>1268</v>
      </c>
      <c r="AP98" t="s">
        <v>6203</v>
      </c>
      <c r="AQ98" t="s">
        <v>6130</v>
      </c>
      <c r="AR98" t="s">
        <v>276</v>
      </c>
      <c r="AT98" t="s">
        <v>6204</v>
      </c>
      <c r="AU98">
        <v>22720</v>
      </c>
      <c r="AV98">
        <v>66111</v>
      </c>
      <c r="AW98">
        <v>3500</v>
      </c>
      <c r="AX98">
        <v>9000</v>
      </c>
      <c r="AY98">
        <v>15255</v>
      </c>
      <c r="AZ98">
        <v>35400</v>
      </c>
      <c r="BA98">
        <v>38561</v>
      </c>
      <c r="BC98" t="s">
        <v>1755</v>
      </c>
      <c r="BE98">
        <v>903120</v>
      </c>
      <c r="BF98">
        <v>1093667</v>
      </c>
      <c r="BG98">
        <v>0</v>
      </c>
      <c r="BH98">
        <v>1093667</v>
      </c>
      <c r="BI98">
        <v>71.692363159619802</v>
      </c>
    </row>
    <row r="99" spans="1:61" x14ac:dyDescent="0.25">
      <c r="A99" t="s">
        <v>1565</v>
      </c>
      <c r="B99" t="s">
        <v>47</v>
      </c>
      <c r="C99" t="s">
        <v>1771</v>
      </c>
      <c r="D99" t="s">
        <v>4116</v>
      </c>
      <c r="E99" t="s">
        <v>390</v>
      </c>
      <c r="F99" t="s">
        <v>389</v>
      </c>
      <c r="G99" t="s">
        <v>125</v>
      </c>
      <c r="H99" t="s">
        <v>6154</v>
      </c>
      <c r="I99" t="s">
        <v>384</v>
      </c>
      <c r="K99" t="str">
        <f>CONCATENATE(Shipment_Master_Database[[#This Row],[Exp '#]],"-",Shipment_Master_Database[[#This Row],[B. '#]])</f>
        <v>2284th-</v>
      </c>
      <c r="L99" t="s">
        <v>387</v>
      </c>
      <c r="M99" t="s">
        <v>386</v>
      </c>
      <c r="O99">
        <v>1</v>
      </c>
      <c r="P99">
        <v>17910</v>
      </c>
      <c r="Q99">
        <v>18390</v>
      </c>
      <c r="R99" t="s">
        <v>263</v>
      </c>
      <c r="S99" t="s">
        <v>148</v>
      </c>
      <c r="T99" t="s">
        <v>149</v>
      </c>
      <c r="U99">
        <v>18561349</v>
      </c>
      <c r="W99">
        <v>1</v>
      </c>
      <c r="AF99" s="19"/>
      <c r="AG99">
        <v>46034</v>
      </c>
      <c r="AH99">
        <v>46036</v>
      </c>
      <c r="AI99">
        <v>46044</v>
      </c>
      <c r="AJ99">
        <v>46088</v>
      </c>
      <c r="AK99">
        <v>46088</v>
      </c>
      <c r="AL99">
        <v>44</v>
      </c>
      <c r="AM99">
        <v>0</v>
      </c>
      <c r="AO99" t="s">
        <v>1268</v>
      </c>
      <c r="AP99" t="s">
        <v>6085</v>
      </c>
      <c r="AQ99" t="s">
        <v>6061</v>
      </c>
      <c r="AR99" t="s">
        <v>392</v>
      </c>
      <c r="AT99" t="s">
        <v>6205</v>
      </c>
      <c r="AU99">
        <v>18930</v>
      </c>
      <c r="AV99">
        <v>102558</v>
      </c>
      <c r="AW99">
        <v>3500</v>
      </c>
      <c r="AX99">
        <v>9000</v>
      </c>
      <c r="AY99">
        <v>18390</v>
      </c>
      <c r="AZ99">
        <v>50500</v>
      </c>
      <c r="BA99">
        <v>9600</v>
      </c>
      <c r="BC99" t="s">
        <v>1755</v>
      </c>
      <c r="BD99">
        <v>29990</v>
      </c>
      <c r="BE99">
        <v>1464900</v>
      </c>
      <c r="BF99">
        <v>1707368</v>
      </c>
      <c r="BG99">
        <v>0</v>
      </c>
      <c r="BH99">
        <v>1707368</v>
      </c>
      <c r="BI99">
        <v>92.842196846112017</v>
      </c>
    </row>
    <row r="100" spans="1:61" x14ac:dyDescent="0.25">
      <c r="A100" t="s">
        <v>1565</v>
      </c>
      <c r="B100" t="s">
        <v>47</v>
      </c>
      <c r="C100" t="s">
        <v>1771</v>
      </c>
      <c r="D100" t="s">
        <v>311</v>
      </c>
      <c r="E100" t="s">
        <v>191</v>
      </c>
      <c r="F100" t="s">
        <v>6206</v>
      </c>
      <c r="G100" t="s">
        <v>125</v>
      </c>
      <c r="I100" t="s">
        <v>310</v>
      </c>
      <c r="K100" t="str">
        <f>CONCATENATE(Shipment_Master_Database[[#This Row],[Exp '#]],"-",Shipment_Master_Database[[#This Row],[B. '#]])</f>
        <v>2266th-</v>
      </c>
      <c r="L100" t="s">
        <v>6207</v>
      </c>
      <c r="M100" t="s">
        <v>312</v>
      </c>
      <c r="N100" t="s">
        <v>1059</v>
      </c>
      <c r="O100">
        <v>4</v>
      </c>
      <c r="P100">
        <v>3272</v>
      </c>
      <c r="Q100">
        <v>3965</v>
      </c>
      <c r="R100" t="s">
        <v>128</v>
      </c>
      <c r="S100" t="s">
        <v>129</v>
      </c>
      <c r="T100" t="s">
        <v>314</v>
      </c>
      <c r="U100" t="s">
        <v>315</v>
      </c>
      <c r="AD100">
        <v>1</v>
      </c>
      <c r="AF100" s="19"/>
      <c r="AG100">
        <v>46057</v>
      </c>
      <c r="AH100">
        <v>46059</v>
      </c>
      <c r="AI100">
        <v>46063</v>
      </c>
      <c r="AJ100" t="s">
        <v>1755</v>
      </c>
      <c r="AK100">
        <v>46091</v>
      </c>
      <c r="AL100">
        <v>28</v>
      </c>
      <c r="AM100">
        <v>0</v>
      </c>
      <c r="AP100" t="s">
        <v>1268</v>
      </c>
      <c r="AQ100" t="s">
        <v>6208</v>
      </c>
      <c r="AR100" t="s">
        <v>316</v>
      </c>
      <c r="AT100" t="s">
        <v>6209</v>
      </c>
      <c r="AU100">
        <v>67958</v>
      </c>
      <c r="AV100">
        <v>18000</v>
      </c>
      <c r="AW100">
        <v>13500</v>
      </c>
      <c r="AX100" t="s">
        <v>1755</v>
      </c>
      <c r="AY100">
        <v>3965</v>
      </c>
      <c r="AZ100">
        <v>5000</v>
      </c>
      <c r="BA100">
        <v>12100</v>
      </c>
      <c r="BC100" t="s">
        <v>1755</v>
      </c>
      <c r="BD100">
        <v>40465</v>
      </c>
      <c r="BE100">
        <v>32890</v>
      </c>
      <c r="BF100">
        <v>193878</v>
      </c>
      <c r="BG100">
        <v>0</v>
      </c>
      <c r="BH100">
        <v>193878</v>
      </c>
      <c r="BI100">
        <v>48.897351828499367</v>
      </c>
    </row>
    <row r="101" spans="1:61" x14ac:dyDescent="0.25">
      <c r="A101" t="s">
        <v>1565</v>
      </c>
      <c r="B101" t="s">
        <v>47</v>
      </c>
      <c r="C101" t="s">
        <v>1771</v>
      </c>
      <c r="D101" t="s">
        <v>2719</v>
      </c>
      <c r="E101" t="s">
        <v>1755</v>
      </c>
      <c r="F101" t="s">
        <v>1755</v>
      </c>
      <c r="G101" t="s">
        <v>125</v>
      </c>
      <c r="H101" t="s">
        <v>6063</v>
      </c>
      <c r="I101" t="s">
        <v>354</v>
      </c>
      <c r="J101" t="s">
        <v>1768</v>
      </c>
      <c r="K101" t="str">
        <f>CONCATENATE(Shipment_Master_Database[[#This Row],[Exp '#]],"-",Shipment_Master_Database[[#This Row],[B. '#]])</f>
        <v>2278th-6th B</v>
      </c>
      <c r="L101" t="s">
        <v>6210</v>
      </c>
      <c r="M101" t="s">
        <v>6211</v>
      </c>
      <c r="O101">
        <v>1</v>
      </c>
      <c r="P101">
        <v>1090</v>
      </c>
      <c r="Q101">
        <v>1430</v>
      </c>
      <c r="R101" t="s">
        <v>1755</v>
      </c>
      <c r="S101" t="s">
        <v>1755</v>
      </c>
      <c r="T101" t="s">
        <v>1755</v>
      </c>
      <c r="U101" t="s">
        <v>1755</v>
      </c>
      <c r="AF101" s="19"/>
      <c r="AG101">
        <v>46057</v>
      </c>
      <c r="AH101" t="s">
        <v>1755</v>
      </c>
      <c r="AI101" t="s">
        <v>1755</v>
      </c>
      <c r="AJ101" t="s">
        <v>1755</v>
      </c>
      <c r="AK101">
        <v>46097</v>
      </c>
      <c r="AL101">
        <v>0</v>
      </c>
      <c r="AM101">
        <v>0</v>
      </c>
      <c r="AO101" t="s">
        <v>1755</v>
      </c>
      <c r="AP101" t="s">
        <v>1755</v>
      </c>
      <c r="AQ101" t="s">
        <v>1755</v>
      </c>
      <c r="AR101" t="s">
        <v>1755</v>
      </c>
      <c r="AT101" t="s">
        <v>1755</v>
      </c>
      <c r="AU101">
        <v>30948</v>
      </c>
      <c r="AV101">
        <v>56821</v>
      </c>
      <c r="AW101" t="s">
        <v>1755</v>
      </c>
      <c r="AX101" t="s">
        <v>1755</v>
      </c>
      <c r="AY101">
        <v>1430</v>
      </c>
      <c r="AZ101">
        <v>24750</v>
      </c>
      <c r="BA101" t="s">
        <v>1755</v>
      </c>
      <c r="BC101" t="s">
        <v>1755</v>
      </c>
      <c r="BD101" t="s">
        <v>1755</v>
      </c>
      <c r="BE101" t="s">
        <v>1755</v>
      </c>
      <c r="BF101">
        <v>113949</v>
      </c>
      <c r="BG101">
        <v>0</v>
      </c>
      <c r="BH101">
        <v>113949</v>
      </c>
      <c r="BI101">
        <v>79.684615384615384</v>
      </c>
    </row>
    <row r="102" spans="1:61" x14ac:dyDescent="0.25">
      <c r="A102" t="s">
        <v>1565</v>
      </c>
      <c r="B102" t="s">
        <v>47</v>
      </c>
      <c r="C102" t="s">
        <v>1760</v>
      </c>
      <c r="D102" t="s">
        <v>2719</v>
      </c>
      <c r="E102" t="s">
        <v>451</v>
      </c>
      <c r="F102" t="s">
        <v>146</v>
      </c>
      <c r="G102" t="s">
        <v>125</v>
      </c>
      <c r="H102" t="s">
        <v>6069</v>
      </c>
      <c r="I102" t="s">
        <v>447</v>
      </c>
      <c r="J102" t="s">
        <v>1755</v>
      </c>
      <c r="K102" t="str">
        <f>CONCATENATE(Shipment_Master_Database[[#This Row],[Exp '#]],"-",Shipment_Master_Database[[#This Row],[B. '#]])</f>
        <v>2300th--</v>
      </c>
      <c r="L102" t="s">
        <v>448</v>
      </c>
      <c r="M102" t="s">
        <v>156</v>
      </c>
      <c r="N102" t="s">
        <v>5798</v>
      </c>
      <c r="O102">
        <v>4</v>
      </c>
      <c r="P102">
        <v>46650</v>
      </c>
      <c r="Q102">
        <v>47365</v>
      </c>
      <c r="R102" t="s">
        <v>128</v>
      </c>
      <c r="S102" t="s">
        <v>129</v>
      </c>
      <c r="T102" t="s">
        <v>452</v>
      </c>
      <c r="U102">
        <v>29318195</v>
      </c>
      <c r="AB102">
        <v>2</v>
      </c>
      <c r="AF102" s="19"/>
      <c r="AG102">
        <v>46051</v>
      </c>
      <c r="AH102">
        <v>46057</v>
      </c>
      <c r="AI102">
        <v>46061</v>
      </c>
      <c r="AJ102">
        <v>46081</v>
      </c>
      <c r="AK102">
        <v>46097</v>
      </c>
      <c r="AL102">
        <v>36</v>
      </c>
      <c r="AM102">
        <v>16</v>
      </c>
      <c r="AO102" t="s">
        <v>1268</v>
      </c>
      <c r="AP102" t="s">
        <v>6061</v>
      </c>
      <c r="AQ102" t="s">
        <v>6061</v>
      </c>
      <c r="AR102" t="s">
        <v>454</v>
      </c>
      <c r="AU102">
        <v>60752</v>
      </c>
      <c r="AV102">
        <v>184000</v>
      </c>
      <c r="AW102">
        <v>7000</v>
      </c>
      <c r="AX102">
        <v>39000</v>
      </c>
      <c r="AY102">
        <v>47365</v>
      </c>
      <c r="AZ102">
        <v>24750</v>
      </c>
      <c r="BA102">
        <v>29275</v>
      </c>
      <c r="BC102" t="s">
        <v>1755</v>
      </c>
      <c r="BD102">
        <v>100272</v>
      </c>
      <c r="BE102">
        <v>1904995</v>
      </c>
      <c r="BF102">
        <v>2397409</v>
      </c>
      <c r="BG102">
        <v>0</v>
      </c>
      <c r="BH102">
        <v>2397409</v>
      </c>
      <c r="BI102">
        <v>50.615623350575319</v>
      </c>
    </row>
    <row r="103" spans="1:61" x14ac:dyDescent="0.25">
      <c r="A103" t="s">
        <v>1565</v>
      </c>
      <c r="B103" t="s">
        <v>47</v>
      </c>
      <c r="C103" t="s">
        <v>1760</v>
      </c>
      <c r="D103" t="s">
        <v>137</v>
      </c>
      <c r="E103" t="s">
        <v>307</v>
      </c>
      <c r="F103" t="s">
        <v>146</v>
      </c>
      <c r="G103" t="s">
        <v>125</v>
      </c>
      <c r="H103" t="s">
        <v>6069</v>
      </c>
      <c r="I103" t="s">
        <v>790</v>
      </c>
      <c r="J103" t="s">
        <v>1755</v>
      </c>
      <c r="K103" t="str">
        <f>CONCATENATE(Shipment_Master_Database[[#This Row],[Exp '#]],"-",Shipment_Master_Database[[#This Row],[B. '#]])</f>
        <v>2363rd--</v>
      </c>
      <c r="L103" t="s">
        <v>792</v>
      </c>
      <c r="M103" t="s">
        <v>791</v>
      </c>
      <c r="N103" t="s">
        <v>1042</v>
      </c>
      <c r="O103">
        <v>1</v>
      </c>
      <c r="P103">
        <v>22148</v>
      </c>
      <c r="Q103">
        <v>22450</v>
      </c>
      <c r="R103" t="s">
        <v>128</v>
      </c>
      <c r="S103" t="s">
        <v>148</v>
      </c>
      <c r="T103" t="s">
        <v>171</v>
      </c>
      <c r="U103">
        <v>35747345</v>
      </c>
      <c r="W103">
        <v>1</v>
      </c>
      <c r="AF103" s="19"/>
      <c r="AG103">
        <v>46065</v>
      </c>
      <c r="AH103">
        <v>46063</v>
      </c>
      <c r="AI103">
        <v>46068</v>
      </c>
      <c r="AJ103">
        <v>46087</v>
      </c>
      <c r="AK103">
        <v>46097</v>
      </c>
      <c r="AL103">
        <v>29</v>
      </c>
      <c r="AM103">
        <v>10</v>
      </c>
      <c r="AO103" t="s">
        <v>1268</v>
      </c>
      <c r="AP103" t="s">
        <v>6085</v>
      </c>
      <c r="AQ103" t="s">
        <v>6061</v>
      </c>
      <c r="AR103" t="s">
        <v>793</v>
      </c>
      <c r="AT103">
        <v>2900</v>
      </c>
      <c r="AU103">
        <v>24719</v>
      </c>
      <c r="AV103">
        <v>118000</v>
      </c>
      <c r="AW103">
        <v>3500</v>
      </c>
      <c r="AX103">
        <v>9000</v>
      </c>
      <c r="AY103">
        <v>22450</v>
      </c>
      <c r="AZ103">
        <v>26500</v>
      </c>
      <c r="BA103">
        <v>13475</v>
      </c>
      <c r="BC103" t="s">
        <v>1755</v>
      </c>
      <c r="BD103">
        <v>29970</v>
      </c>
      <c r="BE103">
        <v>852197</v>
      </c>
      <c r="BF103">
        <v>1102711</v>
      </c>
      <c r="BG103">
        <v>2900</v>
      </c>
      <c r="BH103">
        <v>1099811</v>
      </c>
      <c r="BI103">
        <v>49.118530066815147</v>
      </c>
    </row>
    <row r="104" spans="1:61" x14ac:dyDescent="0.25">
      <c r="A104" t="s">
        <v>1565</v>
      </c>
      <c r="B104" t="s">
        <v>47</v>
      </c>
      <c r="C104" t="s">
        <v>1760</v>
      </c>
      <c r="D104" t="s">
        <v>154</v>
      </c>
      <c r="E104" t="s">
        <v>223</v>
      </c>
      <c r="F104" t="s">
        <v>222</v>
      </c>
      <c r="G104" t="s">
        <v>157</v>
      </c>
      <c r="H104" t="s">
        <v>6069</v>
      </c>
      <c r="I104" t="s">
        <v>217</v>
      </c>
      <c r="J104" t="s">
        <v>1755</v>
      </c>
      <c r="K104" t="str">
        <f>CONCATENATE(Shipment_Master_Database[[#This Row],[Exp '#]],"-",Shipment_Master_Database[[#This Row],[B. '#]])</f>
        <v>2246th--</v>
      </c>
      <c r="L104" t="s">
        <v>156</v>
      </c>
      <c r="M104" t="s">
        <v>219</v>
      </c>
      <c r="N104" t="s">
        <v>3399</v>
      </c>
      <c r="O104">
        <v>5</v>
      </c>
      <c r="P104">
        <v>95575</v>
      </c>
      <c r="Q104">
        <v>96990</v>
      </c>
      <c r="R104" t="s">
        <v>225</v>
      </c>
      <c r="S104" t="s">
        <v>148</v>
      </c>
      <c r="T104" t="s">
        <v>225</v>
      </c>
      <c r="U104">
        <v>19225922</v>
      </c>
      <c r="W104">
        <v>5</v>
      </c>
      <c r="AF104" s="19"/>
      <c r="AG104">
        <v>46033</v>
      </c>
      <c r="AH104">
        <v>46036</v>
      </c>
      <c r="AI104">
        <v>46041</v>
      </c>
      <c r="AJ104">
        <v>46073</v>
      </c>
      <c r="AK104">
        <v>46097</v>
      </c>
      <c r="AL104">
        <v>56</v>
      </c>
      <c r="AM104">
        <v>24</v>
      </c>
      <c r="AO104" t="s">
        <v>1268</v>
      </c>
      <c r="AP104" t="s">
        <v>6061</v>
      </c>
      <c r="AQ104" t="s">
        <v>6061</v>
      </c>
      <c r="AR104" t="s">
        <v>227</v>
      </c>
      <c r="AT104" t="s">
        <v>157</v>
      </c>
      <c r="AU104">
        <v>97600</v>
      </c>
      <c r="AV104">
        <v>240000</v>
      </c>
      <c r="AW104">
        <v>17500</v>
      </c>
      <c r="AX104">
        <v>45000</v>
      </c>
      <c r="AY104">
        <v>96990</v>
      </c>
      <c r="AZ104">
        <v>87500</v>
      </c>
      <c r="BA104">
        <v>47200</v>
      </c>
      <c r="BC104" t="s">
        <v>1755</v>
      </c>
      <c r="BD104">
        <v>145729</v>
      </c>
      <c r="BE104">
        <v>270265</v>
      </c>
      <c r="BF104">
        <v>1047784</v>
      </c>
      <c r="BG104">
        <v>0</v>
      </c>
      <c r="BH104">
        <v>1047784</v>
      </c>
      <c r="BI104">
        <v>10.803010619651511</v>
      </c>
    </row>
    <row r="105" spans="1:61" x14ac:dyDescent="0.25">
      <c r="A105" t="s">
        <v>1565</v>
      </c>
      <c r="B105" t="s">
        <v>47</v>
      </c>
      <c r="C105" t="s">
        <v>1760</v>
      </c>
      <c r="D105" t="s">
        <v>2719</v>
      </c>
      <c r="E105" t="s">
        <v>307</v>
      </c>
      <c r="F105" t="s">
        <v>146</v>
      </c>
      <c r="I105" t="s">
        <v>354</v>
      </c>
      <c r="J105" t="s">
        <v>1772</v>
      </c>
      <c r="K105" t="str">
        <f>CONCATENATE(Shipment_Master_Database[[#This Row],[Exp '#]],"-",Shipment_Master_Database[[#This Row],[B. '#]])</f>
        <v>2278th-7th B</v>
      </c>
      <c r="L105" t="s">
        <v>357</v>
      </c>
      <c r="M105" t="s">
        <v>356</v>
      </c>
      <c r="N105" t="s">
        <v>32</v>
      </c>
      <c r="O105">
        <v>9</v>
      </c>
      <c r="P105">
        <v>9544</v>
      </c>
      <c r="Q105">
        <v>10745</v>
      </c>
      <c r="R105" t="s">
        <v>128</v>
      </c>
      <c r="S105" t="s">
        <v>129</v>
      </c>
      <c r="T105" t="s">
        <v>358</v>
      </c>
      <c r="U105" t="s">
        <v>6212</v>
      </c>
      <c r="AA105">
        <v>1</v>
      </c>
      <c r="AF105" s="19"/>
      <c r="AG105">
        <v>46059</v>
      </c>
      <c r="AH105">
        <v>46063</v>
      </c>
      <c r="AI105">
        <v>46068</v>
      </c>
      <c r="AJ105">
        <v>46088</v>
      </c>
      <c r="AK105">
        <v>46097</v>
      </c>
      <c r="AL105">
        <v>29</v>
      </c>
      <c r="AM105">
        <v>9</v>
      </c>
      <c r="AP105" t="s">
        <v>6061</v>
      </c>
      <c r="AQ105" t="s">
        <v>6061</v>
      </c>
      <c r="AR105" t="s">
        <v>360</v>
      </c>
      <c r="AT105" t="s">
        <v>6213</v>
      </c>
      <c r="AU105">
        <v>115520</v>
      </c>
      <c r="AV105">
        <v>37000</v>
      </c>
      <c r="AW105">
        <v>3500</v>
      </c>
      <c r="AX105">
        <v>14000</v>
      </c>
      <c r="AY105">
        <v>10745</v>
      </c>
      <c r="AZ105">
        <v>40750</v>
      </c>
      <c r="BA105">
        <v>13975</v>
      </c>
      <c r="BC105" t="s">
        <v>1755</v>
      </c>
      <c r="BD105">
        <v>75150</v>
      </c>
      <c r="BE105">
        <v>686706</v>
      </c>
      <c r="BF105">
        <v>997346</v>
      </c>
      <c r="BG105">
        <v>0</v>
      </c>
      <c r="BH105">
        <v>997346</v>
      </c>
      <c r="BI105">
        <v>92.819543973941364</v>
      </c>
    </row>
    <row r="106" spans="1:61" x14ac:dyDescent="0.25">
      <c r="A106" t="s">
        <v>1565</v>
      </c>
      <c r="B106" t="s">
        <v>47</v>
      </c>
      <c r="C106" t="s">
        <v>1771</v>
      </c>
      <c r="D106" t="s">
        <v>2719</v>
      </c>
      <c r="E106" t="s">
        <v>1755</v>
      </c>
      <c r="F106" t="s">
        <v>1755</v>
      </c>
      <c r="G106" t="s">
        <v>1755</v>
      </c>
      <c r="H106" t="s">
        <v>1755</v>
      </c>
      <c r="I106" t="s">
        <v>659</v>
      </c>
      <c r="J106" t="s">
        <v>1755</v>
      </c>
      <c r="K106" t="str">
        <f>CONCATENATE(Shipment_Master_Database[[#This Row],[Exp '#]],"-",Shipment_Master_Database[[#This Row],[B. '#]])</f>
        <v>2337th--</v>
      </c>
      <c r="L106" t="s">
        <v>5822</v>
      </c>
      <c r="M106" t="s">
        <v>660</v>
      </c>
      <c r="N106" t="s">
        <v>32</v>
      </c>
      <c r="O106">
        <v>1</v>
      </c>
      <c r="P106">
        <v>245</v>
      </c>
      <c r="Q106">
        <v>350</v>
      </c>
      <c r="R106" t="s">
        <v>1755</v>
      </c>
      <c r="S106" t="s">
        <v>1755</v>
      </c>
      <c r="T106" t="s">
        <v>1755</v>
      </c>
      <c r="U106" t="s">
        <v>1755</v>
      </c>
      <c r="AF106" s="19"/>
      <c r="AG106">
        <v>46059</v>
      </c>
      <c r="AH106" t="s">
        <v>1755</v>
      </c>
      <c r="AI106" t="s">
        <v>1755</v>
      </c>
      <c r="AJ106" t="s">
        <v>1755</v>
      </c>
      <c r="AK106">
        <v>46097</v>
      </c>
      <c r="AL106">
        <v>0</v>
      </c>
      <c r="AM106">
        <v>0</v>
      </c>
      <c r="AO106" t="s">
        <v>1755</v>
      </c>
      <c r="AP106" t="s">
        <v>1755</v>
      </c>
      <c r="AQ106" t="s">
        <v>1755</v>
      </c>
      <c r="AR106" t="s">
        <v>1755</v>
      </c>
      <c r="AT106" t="s">
        <v>1755</v>
      </c>
      <c r="AU106">
        <v>12000</v>
      </c>
      <c r="AV106">
        <v>2593</v>
      </c>
      <c r="AW106" t="s">
        <v>1755</v>
      </c>
      <c r="AX106" t="s">
        <v>1755</v>
      </c>
      <c r="AY106">
        <v>350</v>
      </c>
      <c r="AZ106" t="s">
        <v>1755</v>
      </c>
      <c r="BA106" t="s">
        <v>1755</v>
      </c>
      <c r="BC106" t="s">
        <v>1755</v>
      </c>
      <c r="BD106" t="s">
        <v>1755</v>
      </c>
      <c r="BF106">
        <v>14943</v>
      </c>
      <c r="BG106">
        <v>0</v>
      </c>
      <c r="BH106">
        <v>14943</v>
      </c>
      <c r="BI106">
        <v>42.694285714285712</v>
      </c>
    </row>
    <row r="107" spans="1:61" x14ac:dyDescent="0.25">
      <c r="A107" t="s">
        <v>1565</v>
      </c>
      <c r="B107" t="s">
        <v>47</v>
      </c>
      <c r="C107" t="s">
        <v>1760</v>
      </c>
      <c r="D107" t="s">
        <v>6214</v>
      </c>
      <c r="E107" t="s">
        <v>233</v>
      </c>
      <c r="F107" t="s">
        <v>1176</v>
      </c>
      <c r="G107" t="s">
        <v>125</v>
      </c>
      <c r="H107" t="s">
        <v>6063</v>
      </c>
      <c r="I107" t="s">
        <v>1171</v>
      </c>
      <c r="K107" t="str">
        <f>CONCATENATE(Shipment_Master_Database[[#This Row],[Exp '#]],"-",Shipment_Master_Database[[#This Row],[B. '#]])</f>
        <v>25-026-</v>
      </c>
      <c r="L107" t="s">
        <v>6215</v>
      </c>
      <c r="M107" t="s">
        <v>6216</v>
      </c>
      <c r="O107">
        <v>6</v>
      </c>
      <c r="P107">
        <v>8250</v>
      </c>
      <c r="Q107">
        <v>9420</v>
      </c>
      <c r="R107" t="s">
        <v>263</v>
      </c>
      <c r="S107" t="s">
        <v>148</v>
      </c>
      <c r="T107" t="s">
        <v>1166</v>
      </c>
      <c r="U107" t="s">
        <v>6217</v>
      </c>
      <c r="Z107">
        <v>1</v>
      </c>
      <c r="AF107" s="19"/>
      <c r="AG107">
        <v>46010</v>
      </c>
      <c r="AH107">
        <v>46010</v>
      </c>
      <c r="AI107">
        <v>46024</v>
      </c>
      <c r="AJ107">
        <v>46075</v>
      </c>
      <c r="AK107">
        <v>46103</v>
      </c>
      <c r="AL107">
        <v>79</v>
      </c>
      <c r="AM107">
        <v>28</v>
      </c>
      <c r="AO107" t="s">
        <v>1268</v>
      </c>
      <c r="AQ107" t="s">
        <v>6061</v>
      </c>
      <c r="AR107" t="s">
        <v>6218</v>
      </c>
      <c r="AT107" t="s">
        <v>6219</v>
      </c>
      <c r="AU107">
        <v>120770</v>
      </c>
      <c r="AV107">
        <v>82031</v>
      </c>
      <c r="AW107">
        <v>3500</v>
      </c>
      <c r="AX107">
        <v>9000</v>
      </c>
      <c r="AY107">
        <v>9420</v>
      </c>
      <c r="AZ107">
        <v>55250</v>
      </c>
      <c r="BA107">
        <v>11000</v>
      </c>
      <c r="BC107" t="s">
        <v>1755</v>
      </c>
      <c r="BD107">
        <v>45390</v>
      </c>
      <c r="BE107">
        <v>1359910</v>
      </c>
      <c r="BF107">
        <v>1696271</v>
      </c>
      <c r="BG107">
        <v>0</v>
      </c>
      <c r="BH107">
        <v>1696271</v>
      </c>
      <c r="BI107">
        <v>180.07123142250532</v>
      </c>
    </row>
    <row r="108" spans="1:61" x14ac:dyDescent="0.25">
      <c r="A108" t="s">
        <v>1565</v>
      </c>
      <c r="B108" t="s">
        <v>47</v>
      </c>
      <c r="C108" t="s">
        <v>1771</v>
      </c>
      <c r="D108" t="s">
        <v>510</v>
      </c>
      <c r="E108" t="s">
        <v>254</v>
      </c>
      <c r="F108" t="s">
        <v>253</v>
      </c>
      <c r="G108" t="s">
        <v>125</v>
      </c>
      <c r="H108" t="s">
        <v>6063</v>
      </c>
      <c r="I108" t="s">
        <v>509</v>
      </c>
      <c r="J108" t="s">
        <v>1755</v>
      </c>
      <c r="K108" t="str">
        <f>CONCATENATE(Shipment_Master_Database[[#This Row],[Exp '#]],"-",Shipment_Master_Database[[#This Row],[B. '#]])</f>
        <v>2311st--</v>
      </c>
      <c r="L108" t="s">
        <v>512</v>
      </c>
      <c r="M108" t="s">
        <v>511</v>
      </c>
      <c r="N108" t="s">
        <v>5796</v>
      </c>
      <c r="O108">
        <v>3</v>
      </c>
      <c r="P108">
        <v>6535</v>
      </c>
      <c r="Q108">
        <v>7655</v>
      </c>
      <c r="R108" t="s">
        <v>128</v>
      </c>
      <c r="S108" t="s">
        <v>129</v>
      </c>
      <c r="T108" t="s">
        <v>452</v>
      </c>
      <c r="U108">
        <v>79507699</v>
      </c>
      <c r="V108">
        <v>1</v>
      </c>
      <c r="AF108" s="19"/>
      <c r="AG108">
        <v>46052</v>
      </c>
      <c r="AH108">
        <v>46052</v>
      </c>
      <c r="AI108">
        <v>46057</v>
      </c>
      <c r="AJ108">
        <v>46110</v>
      </c>
      <c r="AK108">
        <v>46110</v>
      </c>
      <c r="AL108">
        <v>53</v>
      </c>
      <c r="AM108">
        <v>0</v>
      </c>
      <c r="AO108" t="s">
        <v>1268</v>
      </c>
      <c r="AP108" t="s">
        <v>6220</v>
      </c>
      <c r="AQ108" t="s">
        <v>6086</v>
      </c>
      <c r="AR108" t="s">
        <v>516</v>
      </c>
      <c r="AT108">
        <v>3190</v>
      </c>
      <c r="AU108">
        <v>96903</v>
      </c>
      <c r="AV108">
        <v>15936</v>
      </c>
      <c r="AW108">
        <v>3500</v>
      </c>
      <c r="AX108">
        <v>5000</v>
      </c>
      <c r="AY108">
        <v>7655</v>
      </c>
      <c r="AZ108">
        <v>42000</v>
      </c>
      <c r="BA108">
        <v>12475</v>
      </c>
      <c r="BE108">
        <v>1022622</v>
      </c>
      <c r="BF108">
        <v>1209281</v>
      </c>
      <c r="BG108">
        <v>3190</v>
      </c>
      <c r="BH108">
        <v>1206091</v>
      </c>
      <c r="BI108">
        <v>157.97269758327892</v>
      </c>
    </row>
    <row r="109" spans="1:61" x14ac:dyDescent="0.25">
      <c r="A109" t="s">
        <v>1565</v>
      </c>
      <c r="B109" t="s">
        <v>47</v>
      </c>
      <c r="C109" t="s">
        <v>1771</v>
      </c>
      <c r="D109" t="s">
        <v>5522</v>
      </c>
      <c r="E109" t="s">
        <v>170</v>
      </c>
      <c r="F109" t="s">
        <v>169</v>
      </c>
      <c r="I109" t="s">
        <v>164</v>
      </c>
      <c r="J109" t="s">
        <v>6221</v>
      </c>
      <c r="K109" t="str">
        <f>CONCATENATE(Shipment_Master_Database[[#This Row],[Exp '#]],"-",Shipment_Master_Database[[#This Row],[B. '#]])</f>
        <v xml:space="preserve">2224th-Ship with Export # 2287 2nd </v>
      </c>
      <c r="L109" t="s">
        <v>168</v>
      </c>
      <c r="M109" t="s">
        <v>167</v>
      </c>
      <c r="N109" t="s">
        <v>32</v>
      </c>
      <c r="O109">
        <v>3</v>
      </c>
      <c r="P109">
        <v>6135</v>
      </c>
      <c r="Q109">
        <v>7435</v>
      </c>
      <c r="R109" t="s">
        <v>263</v>
      </c>
      <c r="S109" t="s">
        <v>148</v>
      </c>
      <c r="T109" t="s">
        <v>171</v>
      </c>
      <c r="U109" t="s">
        <v>172</v>
      </c>
      <c r="V109">
        <v>1</v>
      </c>
      <c r="AA109">
        <v>2</v>
      </c>
      <c r="AF109" s="19"/>
      <c r="AG109">
        <v>46044</v>
      </c>
      <c r="AH109">
        <v>46047</v>
      </c>
      <c r="AI109">
        <v>46050</v>
      </c>
      <c r="AJ109">
        <v>46112</v>
      </c>
      <c r="AK109">
        <v>46112</v>
      </c>
      <c r="AL109">
        <v>62</v>
      </c>
      <c r="AM109">
        <v>0</v>
      </c>
      <c r="AO109" t="s">
        <v>1268</v>
      </c>
      <c r="AP109" t="s">
        <v>6222</v>
      </c>
      <c r="AQ109" t="s">
        <v>6086</v>
      </c>
      <c r="AR109" t="s">
        <v>174</v>
      </c>
      <c r="AT109" t="s">
        <v>1755</v>
      </c>
      <c r="AU109">
        <v>83625</v>
      </c>
      <c r="AV109">
        <v>53978</v>
      </c>
      <c r="AW109">
        <v>10500</v>
      </c>
      <c r="AX109">
        <v>44000</v>
      </c>
      <c r="AY109">
        <v>7435</v>
      </c>
      <c r="AZ109">
        <v>129000</v>
      </c>
      <c r="BA109">
        <v>14091</v>
      </c>
      <c r="BB109">
        <v>17542</v>
      </c>
      <c r="BD109">
        <v>108580</v>
      </c>
      <c r="BE109">
        <v>3232201</v>
      </c>
      <c r="BF109">
        <v>3700952</v>
      </c>
      <c r="BG109">
        <v>0</v>
      </c>
      <c r="BH109">
        <v>3700952</v>
      </c>
      <c r="BI109">
        <v>497.77431069266981</v>
      </c>
    </row>
    <row r="110" spans="1:61" x14ac:dyDescent="0.25">
      <c r="A110" t="s">
        <v>1565</v>
      </c>
      <c r="B110" t="s">
        <v>47</v>
      </c>
      <c r="C110" t="s">
        <v>1771</v>
      </c>
      <c r="D110" t="s">
        <v>5522</v>
      </c>
      <c r="E110" t="s">
        <v>1755</v>
      </c>
      <c r="F110" t="s">
        <v>1755</v>
      </c>
      <c r="I110" t="s">
        <v>409</v>
      </c>
      <c r="K110" t="str">
        <f>CONCATENATE(Shipment_Master_Database[[#This Row],[Exp '#]],"-",Shipment_Master_Database[[#This Row],[B. '#]])</f>
        <v>2287th-</v>
      </c>
      <c r="L110" t="s">
        <v>375</v>
      </c>
      <c r="M110" t="s">
        <v>410</v>
      </c>
      <c r="N110" t="s">
        <v>32</v>
      </c>
      <c r="O110">
        <v>4</v>
      </c>
      <c r="P110">
        <v>8740</v>
      </c>
      <c r="Q110">
        <v>9780</v>
      </c>
      <c r="R110" t="s">
        <v>1755</v>
      </c>
      <c r="S110" t="s">
        <v>1755</v>
      </c>
      <c r="T110" t="s">
        <v>1755</v>
      </c>
      <c r="U110" t="s">
        <v>1755</v>
      </c>
      <c r="AF110" s="19"/>
      <c r="AG110">
        <v>46044</v>
      </c>
      <c r="AH110">
        <v>46047</v>
      </c>
      <c r="AI110">
        <v>46050</v>
      </c>
      <c r="AJ110">
        <v>46112</v>
      </c>
      <c r="AK110">
        <v>46112</v>
      </c>
      <c r="AL110">
        <v>62</v>
      </c>
      <c r="AM110">
        <v>0</v>
      </c>
      <c r="AO110" t="s">
        <v>1268</v>
      </c>
      <c r="AP110" t="s">
        <v>6222</v>
      </c>
      <c r="AQ110" t="s">
        <v>6086</v>
      </c>
      <c r="AR110" t="s">
        <v>1755</v>
      </c>
      <c r="AT110" t="s">
        <v>1755</v>
      </c>
      <c r="AU110">
        <v>98333</v>
      </c>
      <c r="AV110">
        <v>71003</v>
      </c>
      <c r="AW110" t="s">
        <v>1755</v>
      </c>
      <c r="AX110" t="s">
        <v>1755</v>
      </c>
      <c r="AY110">
        <v>9780</v>
      </c>
      <c r="AZ110" t="s">
        <v>1755</v>
      </c>
      <c r="BA110">
        <v>14091</v>
      </c>
      <c r="BB110" t="s">
        <v>1755</v>
      </c>
      <c r="BD110" t="s">
        <v>1755</v>
      </c>
      <c r="BE110" t="s">
        <v>1755</v>
      </c>
      <c r="BF110">
        <v>193207</v>
      </c>
      <c r="BG110">
        <v>0</v>
      </c>
      <c r="BH110">
        <v>193207</v>
      </c>
      <c r="BI110">
        <v>19.755316973415134</v>
      </c>
    </row>
    <row r="111" spans="1:61" x14ac:dyDescent="0.25">
      <c r="A111" t="s">
        <v>1565</v>
      </c>
      <c r="B111" t="s">
        <v>47</v>
      </c>
      <c r="C111" t="s">
        <v>1771</v>
      </c>
      <c r="D111" t="s">
        <v>5522</v>
      </c>
      <c r="E111" t="s">
        <v>1755</v>
      </c>
      <c r="F111" t="s">
        <v>1755</v>
      </c>
      <c r="I111" t="s">
        <v>417</v>
      </c>
      <c r="J111" t="s">
        <v>6221</v>
      </c>
      <c r="K111" t="str">
        <f>CONCATENATE(Shipment_Master_Database[[#This Row],[Exp '#]],"-",Shipment_Master_Database[[#This Row],[B. '#]])</f>
        <v xml:space="preserve">2290th-Ship with Export # 2287 2nd </v>
      </c>
      <c r="L111" t="s">
        <v>419</v>
      </c>
      <c r="M111" t="s">
        <v>418</v>
      </c>
      <c r="N111" t="s">
        <v>32</v>
      </c>
      <c r="O111">
        <v>2</v>
      </c>
      <c r="P111">
        <v>37798</v>
      </c>
      <c r="Q111">
        <v>38990</v>
      </c>
      <c r="R111" t="s">
        <v>1755</v>
      </c>
      <c r="S111" t="s">
        <v>1755</v>
      </c>
      <c r="T111" t="s">
        <v>1755</v>
      </c>
      <c r="U111" t="s">
        <v>1755</v>
      </c>
      <c r="AF111" s="19"/>
      <c r="AG111">
        <v>46044</v>
      </c>
      <c r="AH111">
        <v>46047</v>
      </c>
      <c r="AI111">
        <v>46050</v>
      </c>
      <c r="AJ111">
        <v>46112</v>
      </c>
      <c r="AK111">
        <v>46112</v>
      </c>
      <c r="AL111">
        <v>62</v>
      </c>
      <c r="AM111">
        <v>0</v>
      </c>
      <c r="AO111" t="s">
        <v>1268</v>
      </c>
      <c r="AP111" t="s">
        <v>6222</v>
      </c>
      <c r="AQ111" t="s">
        <v>6086</v>
      </c>
      <c r="AR111" t="s">
        <v>1755</v>
      </c>
      <c r="AT111" t="s">
        <v>1755</v>
      </c>
      <c r="AU111">
        <v>48750</v>
      </c>
      <c r="AV111">
        <v>185000</v>
      </c>
      <c r="AW111" t="s">
        <v>1755</v>
      </c>
      <c r="AX111" t="s">
        <v>1755</v>
      </c>
      <c r="AY111">
        <v>38990</v>
      </c>
      <c r="AZ111" t="s">
        <v>1755</v>
      </c>
      <c r="BA111">
        <v>14091</v>
      </c>
      <c r="BB111" t="s">
        <v>1755</v>
      </c>
      <c r="BD111" t="s">
        <v>1755</v>
      </c>
      <c r="BE111" t="s">
        <v>1755</v>
      </c>
      <c r="BF111">
        <v>286831</v>
      </c>
      <c r="BG111">
        <v>0</v>
      </c>
      <c r="BH111">
        <v>286831</v>
      </c>
      <c r="BI111">
        <v>7.3565273146960761</v>
      </c>
    </row>
    <row r="112" spans="1:61" x14ac:dyDescent="0.25">
      <c r="A112" t="s">
        <v>1565</v>
      </c>
      <c r="B112" t="s">
        <v>47</v>
      </c>
      <c r="C112" t="s">
        <v>1760</v>
      </c>
      <c r="D112" t="s">
        <v>568</v>
      </c>
      <c r="E112" t="s">
        <v>307</v>
      </c>
      <c r="F112" t="s">
        <v>146</v>
      </c>
      <c r="G112" t="s">
        <v>125</v>
      </c>
      <c r="H112" t="s">
        <v>6063</v>
      </c>
      <c r="I112" t="s">
        <v>674</v>
      </c>
      <c r="J112" t="s">
        <v>1755</v>
      </c>
      <c r="K112" t="str">
        <f>CONCATENATE(Shipment_Master_Database[[#This Row],[Exp '#]],"-",Shipment_Master_Database[[#This Row],[B. '#]])</f>
        <v>2339th--</v>
      </c>
      <c r="L112" t="s">
        <v>676</v>
      </c>
      <c r="M112" t="s">
        <v>675</v>
      </c>
      <c r="N112" t="s">
        <v>4157</v>
      </c>
      <c r="O112">
        <v>1</v>
      </c>
      <c r="P112">
        <v>825</v>
      </c>
      <c r="Q112">
        <v>1035</v>
      </c>
      <c r="R112" t="s">
        <v>128</v>
      </c>
      <c r="S112" t="s">
        <v>129</v>
      </c>
      <c r="T112" t="s">
        <v>171</v>
      </c>
      <c r="U112">
        <v>39392047</v>
      </c>
      <c r="AA112">
        <v>1</v>
      </c>
      <c r="AF112" s="19"/>
      <c r="AG112">
        <v>46073</v>
      </c>
      <c r="AH112">
        <v>46073</v>
      </c>
      <c r="AI112">
        <v>46075</v>
      </c>
      <c r="AJ112">
        <v>46095</v>
      </c>
      <c r="AK112">
        <v>46114</v>
      </c>
      <c r="AL112">
        <v>39</v>
      </c>
      <c r="AM112">
        <v>19</v>
      </c>
      <c r="AO112" t="s">
        <v>1755</v>
      </c>
      <c r="AP112" t="s">
        <v>6100</v>
      </c>
      <c r="AQ112" t="s">
        <v>6061</v>
      </c>
      <c r="AR112" t="s">
        <v>680</v>
      </c>
      <c r="AT112">
        <v>3300</v>
      </c>
      <c r="AU112">
        <v>21135</v>
      </c>
      <c r="AV112">
        <v>5000</v>
      </c>
      <c r="AX112">
        <v>8000</v>
      </c>
      <c r="AY112">
        <v>1035</v>
      </c>
      <c r="AZ112">
        <v>24000</v>
      </c>
      <c r="BD112">
        <v>66481</v>
      </c>
      <c r="BE112">
        <v>1136578</v>
      </c>
      <c r="BF112">
        <v>1265529</v>
      </c>
    </row>
    <row r="113" spans="1:58" x14ac:dyDescent="0.25">
      <c r="A113" t="s">
        <v>1565</v>
      </c>
      <c r="B113" t="s">
        <v>47</v>
      </c>
      <c r="C113" t="s">
        <v>1771</v>
      </c>
      <c r="D113" t="s">
        <v>568</v>
      </c>
      <c r="E113" t="s">
        <v>1755</v>
      </c>
      <c r="F113" t="s">
        <v>1755</v>
      </c>
      <c r="G113" t="s">
        <v>125</v>
      </c>
      <c r="H113" t="s">
        <v>6063</v>
      </c>
      <c r="I113" t="s">
        <v>567</v>
      </c>
      <c r="J113" t="s">
        <v>1755</v>
      </c>
      <c r="K113" t="str">
        <f>CONCATENATE(Shipment_Master_Database[[#This Row],[Exp '#]],"-",Shipment_Master_Database[[#This Row],[B. '#]])</f>
        <v>2321st--</v>
      </c>
      <c r="L113" t="s">
        <v>570</v>
      </c>
      <c r="M113" t="s">
        <v>569</v>
      </c>
      <c r="N113" t="s">
        <v>4160</v>
      </c>
      <c r="O113">
        <v>3</v>
      </c>
      <c r="P113">
        <v>5260</v>
      </c>
      <c r="Q113">
        <v>5940</v>
      </c>
      <c r="R113" t="s">
        <v>1755</v>
      </c>
      <c r="S113" t="s">
        <v>1755</v>
      </c>
      <c r="T113" t="s">
        <v>1755</v>
      </c>
      <c r="U113" t="s">
        <v>1755</v>
      </c>
      <c r="AF113" s="19"/>
      <c r="AG113">
        <v>46073</v>
      </c>
      <c r="AH113" t="s">
        <v>1755</v>
      </c>
      <c r="AI113" t="s">
        <v>1755</v>
      </c>
      <c r="AJ113" t="s">
        <v>1755</v>
      </c>
      <c r="AK113">
        <v>46114</v>
      </c>
      <c r="AL113">
        <v>0</v>
      </c>
      <c r="AM113">
        <v>0</v>
      </c>
      <c r="AO113" t="s">
        <v>1755</v>
      </c>
      <c r="AP113" t="s">
        <v>1755</v>
      </c>
      <c r="AQ113" t="s">
        <v>1755</v>
      </c>
      <c r="AR113" t="s">
        <v>1755</v>
      </c>
      <c r="AT113" t="s">
        <v>1755</v>
      </c>
      <c r="AU113">
        <v>34234</v>
      </c>
      <c r="AV113">
        <v>83160</v>
      </c>
      <c r="AX113" t="s">
        <v>1755</v>
      </c>
      <c r="AY113">
        <v>5940</v>
      </c>
      <c r="AZ113" t="s">
        <v>1755</v>
      </c>
      <c r="BD113" t="s">
        <v>1755</v>
      </c>
      <c r="BE113" t="s">
        <v>1755</v>
      </c>
      <c r="BF113">
        <v>123334</v>
      </c>
    </row>
    <row r="114" spans="1:58" x14ac:dyDescent="0.25">
      <c r="A114" t="s">
        <v>1565</v>
      </c>
      <c r="B114" t="s">
        <v>47</v>
      </c>
      <c r="C114" t="s">
        <v>1771</v>
      </c>
      <c r="D114" t="s">
        <v>458</v>
      </c>
      <c r="E114" t="s">
        <v>1755</v>
      </c>
      <c r="F114" t="s">
        <v>1755</v>
      </c>
      <c r="G114" t="s">
        <v>125</v>
      </c>
      <c r="H114" t="s">
        <v>6063</v>
      </c>
      <c r="I114" t="s">
        <v>711</v>
      </c>
      <c r="J114" t="s">
        <v>1210</v>
      </c>
      <c r="K114" t="str">
        <f>CONCATENATE(Shipment_Master_Database[[#This Row],[Exp '#]],"-",Shipment_Master_Database[[#This Row],[B. '#]])</f>
        <v>2348th-1st B</v>
      </c>
      <c r="L114" t="s">
        <v>6223</v>
      </c>
      <c r="O114">
        <v>1</v>
      </c>
      <c r="P114">
        <v>1010</v>
      </c>
      <c r="Q114">
        <v>1410</v>
      </c>
      <c r="R114" t="s">
        <v>1755</v>
      </c>
      <c r="S114" t="s">
        <v>1755</v>
      </c>
      <c r="T114" t="s">
        <v>1755</v>
      </c>
      <c r="U114" t="s">
        <v>1755</v>
      </c>
      <c r="AF114" s="19"/>
      <c r="AG114">
        <v>46073</v>
      </c>
      <c r="AH114" t="s">
        <v>1755</v>
      </c>
      <c r="AI114" t="s">
        <v>1755</v>
      </c>
      <c r="AJ114" t="s">
        <v>1755</v>
      </c>
      <c r="AK114">
        <v>46114</v>
      </c>
      <c r="AL114">
        <v>0</v>
      </c>
      <c r="AM114">
        <v>0</v>
      </c>
      <c r="AO114" t="s">
        <v>1755</v>
      </c>
      <c r="AP114" t="s">
        <v>1755</v>
      </c>
      <c r="AQ114" t="s">
        <v>1755</v>
      </c>
      <c r="AR114" t="s">
        <v>1755</v>
      </c>
      <c r="AT114" t="s">
        <v>1755</v>
      </c>
      <c r="AU114">
        <v>46276</v>
      </c>
      <c r="AV114">
        <v>19740</v>
      </c>
      <c r="AX114" t="s">
        <v>1755</v>
      </c>
      <c r="AY114">
        <v>1410</v>
      </c>
      <c r="AZ114" t="s">
        <v>1755</v>
      </c>
      <c r="BD114" t="s">
        <v>1755</v>
      </c>
      <c r="BE114" t="s">
        <v>1755</v>
      </c>
      <c r="BF114">
        <v>67426</v>
      </c>
    </row>
    <row r="115" spans="1:58" x14ac:dyDescent="0.25">
      <c r="A115" t="s">
        <v>1565</v>
      </c>
      <c r="B115" t="s">
        <v>47</v>
      </c>
      <c r="C115" t="s">
        <v>1771</v>
      </c>
      <c r="D115" t="s">
        <v>702</v>
      </c>
      <c r="E115" t="s">
        <v>1755</v>
      </c>
      <c r="F115" t="s">
        <v>1755</v>
      </c>
      <c r="G115" t="s">
        <v>125</v>
      </c>
      <c r="H115" t="s">
        <v>6069</v>
      </c>
      <c r="I115" t="s">
        <v>701</v>
      </c>
      <c r="J115" t="s">
        <v>1755</v>
      </c>
      <c r="K115" t="str">
        <f>CONCATENATE(Shipment_Master_Database[[#This Row],[Exp '#]],"-",Shipment_Master_Database[[#This Row],[B. '#]])</f>
        <v>2344th--</v>
      </c>
      <c r="L115" t="s">
        <v>561</v>
      </c>
      <c r="O115">
        <v>2</v>
      </c>
      <c r="P115">
        <v>1018</v>
      </c>
      <c r="Q115">
        <v>1215</v>
      </c>
      <c r="R115" t="s">
        <v>1755</v>
      </c>
      <c r="S115" t="s">
        <v>1755</v>
      </c>
      <c r="T115" t="s">
        <v>1755</v>
      </c>
      <c r="U115" t="s">
        <v>1755</v>
      </c>
      <c r="AF115" s="19"/>
      <c r="AG115">
        <v>46073</v>
      </c>
      <c r="AH115" t="s">
        <v>1755</v>
      </c>
      <c r="AI115" t="s">
        <v>1755</v>
      </c>
      <c r="AJ115" t="s">
        <v>1755</v>
      </c>
      <c r="AK115">
        <v>46114</v>
      </c>
      <c r="AL115">
        <v>0</v>
      </c>
      <c r="AM115">
        <v>0</v>
      </c>
      <c r="AO115" t="s">
        <v>1755</v>
      </c>
      <c r="AP115" t="s">
        <v>1755</v>
      </c>
      <c r="AQ115" t="s">
        <v>1755</v>
      </c>
      <c r="AR115" t="s">
        <v>1755</v>
      </c>
      <c r="AT115" t="s">
        <v>1755</v>
      </c>
      <c r="AU115">
        <v>20500</v>
      </c>
      <c r="AV115">
        <v>26730</v>
      </c>
      <c r="AX115" t="s">
        <v>1755</v>
      </c>
      <c r="AY115">
        <v>1215</v>
      </c>
      <c r="AZ115" t="s">
        <v>1755</v>
      </c>
      <c r="BD115" t="s">
        <v>1755</v>
      </c>
      <c r="BE115" t="s">
        <v>1755</v>
      </c>
      <c r="BF115">
        <v>48445</v>
      </c>
    </row>
    <row r="116" spans="1:58" x14ac:dyDescent="0.25">
      <c r="A116" t="s">
        <v>1565</v>
      </c>
      <c r="B116" t="s">
        <v>47</v>
      </c>
      <c r="C116" t="s">
        <v>1771</v>
      </c>
      <c r="D116" t="s">
        <v>702</v>
      </c>
      <c r="E116" t="s">
        <v>1755</v>
      </c>
      <c r="F116" t="s">
        <v>1755</v>
      </c>
      <c r="G116" t="s">
        <v>125</v>
      </c>
      <c r="H116" t="s">
        <v>6069</v>
      </c>
      <c r="I116" t="s">
        <v>715</v>
      </c>
      <c r="J116" t="s">
        <v>1755</v>
      </c>
      <c r="K116" t="str">
        <f>CONCATENATE(Shipment_Master_Database[[#This Row],[Exp '#]],"-",Shipment_Master_Database[[#This Row],[B. '#]])</f>
        <v>2349th--</v>
      </c>
      <c r="L116" t="s">
        <v>716</v>
      </c>
      <c r="O116">
        <v>3</v>
      </c>
      <c r="P116">
        <v>1385</v>
      </c>
      <c r="Q116">
        <v>1680</v>
      </c>
      <c r="R116" t="s">
        <v>1755</v>
      </c>
      <c r="S116" t="s">
        <v>1755</v>
      </c>
      <c r="T116" t="s">
        <v>1755</v>
      </c>
      <c r="U116" t="s">
        <v>1755</v>
      </c>
      <c r="AF116" s="19"/>
      <c r="AG116">
        <v>46073</v>
      </c>
      <c r="AH116" t="s">
        <v>1755</v>
      </c>
      <c r="AI116" t="s">
        <v>1755</v>
      </c>
      <c r="AJ116" t="s">
        <v>1755</v>
      </c>
      <c r="AK116">
        <v>46114</v>
      </c>
      <c r="AL116">
        <v>0</v>
      </c>
      <c r="AM116">
        <v>0</v>
      </c>
      <c r="AO116" t="s">
        <v>1755</v>
      </c>
      <c r="AP116" t="s">
        <v>1755</v>
      </c>
      <c r="AQ116" t="s">
        <v>1755</v>
      </c>
      <c r="AR116" t="s">
        <v>1755</v>
      </c>
      <c r="AT116" t="s">
        <v>1755</v>
      </c>
      <c r="AU116">
        <v>32371</v>
      </c>
      <c r="AV116">
        <v>22000</v>
      </c>
      <c r="AX116" t="s">
        <v>1755</v>
      </c>
      <c r="AY116">
        <v>1680</v>
      </c>
      <c r="AZ116" t="s">
        <v>1755</v>
      </c>
      <c r="BD116" t="s">
        <v>1755</v>
      </c>
      <c r="BE116" t="s">
        <v>1755</v>
      </c>
      <c r="BF116">
        <v>56051</v>
      </c>
    </row>
    <row r="117" spans="1:58" x14ac:dyDescent="0.25">
      <c r="A117" t="s">
        <v>1565</v>
      </c>
      <c r="B117" t="s">
        <v>47</v>
      </c>
      <c r="C117" t="s">
        <v>1771</v>
      </c>
      <c r="D117" t="s">
        <v>44</v>
      </c>
      <c r="E117" t="s">
        <v>1755</v>
      </c>
      <c r="F117" t="s">
        <v>1755</v>
      </c>
      <c r="G117" t="s">
        <v>125</v>
      </c>
      <c r="H117" t="s">
        <v>6063</v>
      </c>
      <c r="I117" t="s">
        <v>627</v>
      </c>
      <c r="J117" t="s">
        <v>1755</v>
      </c>
      <c r="K117" t="str">
        <f>CONCATENATE(Shipment_Master_Database[[#This Row],[Exp '#]],"-",Shipment_Master_Database[[#This Row],[B. '#]])</f>
        <v>2330th--</v>
      </c>
      <c r="L117" t="s">
        <v>628</v>
      </c>
      <c r="O117">
        <v>3</v>
      </c>
      <c r="P117">
        <v>5260</v>
      </c>
      <c r="Q117">
        <v>5940</v>
      </c>
      <c r="R117" t="s">
        <v>1755</v>
      </c>
      <c r="S117" t="s">
        <v>1755</v>
      </c>
      <c r="T117" t="s">
        <v>1755</v>
      </c>
      <c r="U117" t="s">
        <v>1755</v>
      </c>
      <c r="AF117" s="19"/>
      <c r="AG117">
        <v>46073</v>
      </c>
      <c r="AH117" t="s">
        <v>1755</v>
      </c>
      <c r="AI117" t="s">
        <v>1755</v>
      </c>
      <c r="AJ117" t="s">
        <v>1755</v>
      </c>
      <c r="AK117">
        <v>46114</v>
      </c>
      <c r="AL117">
        <v>0</v>
      </c>
      <c r="AM117">
        <v>0</v>
      </c>
      <c r="AO117" t="s">
        <v>1755</v>
      </c>
      <c r="AP117" t="s">
        <v>1755</v>
      </c>
      <c r="AQ117" t="s">
        <v>1755</v>
      </c>
      <c r="AR117" t="s">
        <v>1755</v>
      </c>
      <c r="AT117" t="s">
        <v>1755</v>
      </c>
      <c r="AU117">
        <v>62240</v>
      </c>
      <c r="AV117">
        <v>29700</v>
      </c>
      <c r="AX117" t="s">
        <v>1755</v>
      </c>
      <c r="AY117">
        <v>5940</v>
      </c>
      <c r="AZ117" t="s">
        <v>1755</v>
      </c>
      <c r="BD117" t="s">
        <v>1755</v>
      </c>
      <c r="BE117" t="s">
        <v>1755</v>
      </c>
      <c r="BF117">
        <v>97880</v>
      </c>
    </row>
    <row r="118" spans="1:58" x14ac:dyDescent="0.25">
      <c r="A118" t="s">
        <v>1565</v>
      </c>
      <c r="B118" t="s">
        <v>47</v>
      </c>
      <c r="C118" t="s">
        <v>1760</v>
      </c>
      <c r="D118" t="s">
        <v>908</v>
      </c>
      <c r="E118" t="s">
        <v>244</v>
      </c>
      <c r="F118" t="s">
        <v>243</v>
      </c>
      <c r="G118" t="s">
        <v>181</v>
      </c>
      <c r="H118" t="s">
        <v>1764</v>
      </c>
      <c r="I118" t="s">
        <v>237</v>
      </c>
      <c r="J118" t="s">
        <v>1755</v>
      </c>
      <c r="K118" t="str">
        <f>CONCATENATE(Shipment_Master_Database[[#This Row],[Exp '#]],"-",Shipment_Master_Database[[#This Row],[B. '#]])</f>
        <v>2250th--</v>
      </c>
      <c r="L118" t="s">
        <v>240</v>
      </c>
      <c r="M118" t="s">
        <v>239</v>
      </c>
      <c r="N118" t="s">
        <v>3361</v>
      </c>
      <c r="O118">
        <v>8</v>
      </c>
      <c r="P118">
        <v>58875</v>
      </c>
      <c r="Q118">
        <v>60570</v>
      </c>
      <c r="R118" t="s">
        <v>128</v>
      </c>
      <c r="S118" t="s">
        <v>148</v>
      </c>
      <c r="T118" t="s">
        <v>149</v>
      </c>
      <c r="U118" t="s">
        <v>245</v>
      </c>
      <c r="W118">
        <v>1</v>
      </c>
      <c r="AB118">
        <v>1</v>
      </c>
      <c r="AF118" s="19"/>
      <c r="AG118">
        <v>46039</v>
      </c>
      <c r="AH118">
        <v>46040</v>
      </c>
      <c r="AI118">
        <v>46043</v>
      </c>
      <c r="AJ118">
        <v>46105</v>
      </c>
      <c r="AK118">
        <v>46118</v>
      </c>
      <c r="AL118">
        <v>75</v>
      </c>
      <c r="AM118">
        <v>13</v>
      </c>
      <c r="AO118" t="s">
        <v>1268</v>
      </c>
      <c r="AP118" t="s">
        <v>6086</v>
      </c>
      <c r="AQ118" t="s">
        <v>6086</v>
      </c>
      <c r="AR118" t="s">
        <v>246</v>
      </c>
      <c r="AT118" t="s">
        <v>1755</v>
      </c>
      <c r="AU118">
        <v>148063</v>
      </c>
      <c r="AV118">
        <v>320000</v>
      </c>
      <c r="AY118">
        <v>60570</v>
      </c>
      <c r="BA118">
        <v>19400</v>
      </c>
      <c r="BD118" t="s">
        <v>1755</v>
      </c>
      <c r="BE118" t="s">
        <v>1755</v>
      </c>
      <c r="BF118">
        <v>548033</v>
      </c>
    </row>
    <row r="119" spans="1:58" x14ac:dyDescent="0.25">
      <c r="A119" t="s">
        <v>1565</v>
      </c>
      <c r="B119" t="s">
        <v>47</v>
      </c>
      <c r="C119" t="s">
        <v>1771</v>
      </c>
      <c r="D119" t="s">
        <v>664</v>
      </c>
      <c r="E119" t="s">
        <v>669</v>
      </c>
      <c r="F119" t="s">
        <v>668</v>
      </c>
      <c r="G119" t="s">
        <v>125</v>
      </c>
      <c r="H119" t="s">
        <v>6069</v>
      </c>
      <c r="I119" t="s">
        <v>663</v>
      </c>
      <c r="J119" t="s">
        <v>1755</v>
      </c>
      <c r="K119" t="str">
        <f>CONCATENATE(Shipment_Master_Database[[#This Row],[Exp '#]],"-",Shipment_Master_Database[[#This Row],[B. '#]])</f>
        <v>2338th--</v>
      </c>
      <c r="L119" t="s">
        <v>497</v>
      </c>
      <c r="M119" t="s">
        <v>665</v>
      </c>
      <c r="N119" t="s">
        <v>4130</v>
      </c>
      <c r="O119">
        <v>1</v>
      </c>
      <c r="P119">
        <v>1425</v>
      </c>
      <c r="Q119">
        <v>1645</v>
      </c>
      <c r="R119" t="s">
        <v>128</v>
      </c>
      <c r="S119" t="s">
        <v>129</v>
      </c>
      <c r="T119" t="s">
        <v>670</v>
      </c>
      <c r="U119" t="s">
        <v>671</v>
      </c>
      <c r="AD119">
        <v>1</v>
      </c>
      <c r="AF119" s="19"/>
      <c r="AG119">
        <v>46053</v>
      </c>
      <c r="AH119">
        <v>46056</v>
      </c>
      <c r="AI119">
        <v>46062</v>
      </c>
      <c r="AJ119">
        <v>46111</v>
      </c>
      <c r="AK119">
        <v>46108</v>
      </c>
      <c r="AL119">
        <v>46</v>
      </c>
      <c r="AM119">
        <v>-3</v>
      </c>
      <c r="AO119" t="s">
        <v>1268</v>
      </c>
      <c r="AR119" t="s">
        <v>672</v>
      </c>
      <c r="AT119" t="s">
        <v>1755</v>
      </c>
      <c r="BE119">
        <v>196650</v>
      </c>
      <c r="BF119">
        <v>196650</v>
      </c>
    </row>
    <row r="120" spans="1:58" x14ac:dyDescent="0.25">
      <c r="A120" t="s">
        <v>1565</v>
      </c>
      <c r="B120" t="s">
        <v>47</v>
      </c>
      <c r="C120" t="s">
        <v>1771</v>
      </c>
      <c r="D120" t="s">
        <v>1195</v>
      </c>
      <c r="E120" t="s">
        <v>254</v>
      </c>
      <c r="F120" t="s">
        <v>1387</v>
      </c>
      <c r="G120" t="s">
        <v>6185</v>
      </c>
      <c r="H120" t="s">
        <v>6063</v>
      </c>
      <c r="I120" t="s">
        <v>1381</v>
      </c>
      <c r="K120" t="str">
        <f>CONCATENATE(Shipment_Master_Database[[#This Row],[Exp '#]],"-",Shipment_Master_Database[[#This Row],[B. '#]])</f>
        <v>MO-0138-</v>
      </c>
      <c r="L120" t="s">
        <v>6224</v>
      </c>
      <c r="M120" t="s">
        <v>6225</v>
      </c>
      <c r="N120" t="s">
        <v>1147</v>
      </c>
      <c r="O120">
        <v>2</v>
      </c>
      <c r="P120">
        <v>1470</v>
      </c>
      <c r="Q120">
        <v>1770</v>
      </c>
      <c r="R120" t="s">
        <v>739</v>
      </c>
      <c r="S120" t="s">
        <v>128</v>
      </c>
      <c r="T120" t="s">
        <v>1389</v>
      </c>
      <c r="U120" t="s">
        <v>6226</v>
      </c>
      <c r="AE120">
        <v>1</v>
      </c>
      <c r="AF120" s="19"/>
      <c r="AG120">
        <v>46091</v>
      </c>
      <c r="AH120">
        <v>46091</v>
      </c>
      <c r="AI120">
        <v>46093</v>
      </c>
      <c r="AJ120" t="s">
        <v>1755</v>
      </c>
      <c r="AK120">
        <v>46108</v>
      </c>
      <c r="AL120">
        <v>15</v>
      </c>
      <c r="AM120">
        <v>0</v>
      </c>
      <c r="AO120" t="s">
        <v>1268</v>
      </c>
      <c r="AP120" t="s">
        <v>1268</v>
      </c>
      <c r="AQ120" t="s">
        <v>6227</v>
      </c>
      <c r="AR120" t="s">
        <v>1755</v>
      </c>
      <c r="AT120" t="s">
        <v>157</v>
      </c>
      <c r="BA120">
        <v>22620</v>
      </c>
      <c r="BF120">
        <v>22620</v>
      </c>
    </row>
    <row r="121" spans="1:58" x14ac:dyDescent="0.25">
      <c r="A121" t="s">
        <v>1565</v>
      </c>
      <c r="B121" t="s">
        <v>47</v>
      </c>
      <c r="C121" t="s">
        <v>1771</v>
      </c>
      <c r="D121" t="s">
        <v>1138</v>
      </c>
      <c r="E121" t="s">
        <v>254</v>
      </c>
      <c r="F121" t="s">
        <v>1301</v>
      </c>
      <c r="G121" t="s">
        <v>157</v>
      </c>
      <c r="H121" t="s">
        <v>1755</v>
      </c>
      <c r="I121" t="s">
        <v>1298</v>
      </c>
      <c r="J121" t="s">
        <v>1755</v>
      </c>
      <c r="K121" t="str">
        <f>CONCATENATE(Shipment_Master_Database[[#This Row],[Exp '#]],"-",Shipment_Master_Database[[#This Row],[B. '#]])</f>
        <v>25-132--</v>
      </c>
      <c r="L121" t="s">
        <v>1300</v>
      </c>
      <c r="M121" t="s">
        <v>1299</v>
      </c>
      <c r="O121">
        <v>1</v>
      </c>
      <c r="P121">
        <v>690</v>
      </c>
      <c r="Q121">
        <v>810</v>
      </c>
      <c r="R121" t="s">
        <v>1139</v>
      </c>
      <c r="S121" t="s">
        <v>148</v>
      </c>
      <c r="T121" t="s">
        <v>1755</v>
      </c>
      <c r="U121" t="s">
        <v>1755</v>
      </c>
      <c r="AD121">
        <v>1</v>
      </c>
      <c r="AF121" s="19"/>
      <c r="AG121">
        <v>46043</v>
      </c>
      <c r="AH121">
        <v>46043</v>
      </c>
      <c r="AI121">
        <v>46047</v>
      </c>
      <c r="AJ121" t="s">
        <v>1755</v>
      </c>
      <c r="AK121">
        <v>46102</v>
      </c>
      <c r="AL121">
        <v>55</v>
      </c>
      <c r="AM121">
        <v>0</v>
      </c>
      <c r="AO121" t="s">
        <v>1268</v>
      </c>
      <c r="AP121" t="s">
        <v>1268</v>
      </c>
      <c r="AQ121" t="s">
        <v>6061</v>
      </c>
      <c r="AR121" t="s">
        <v>1302</v>
      </c>
      <c r="AT121" t="s">
        <v>157</v>
      </c>
      <c r="BF121">
        <v>0</v>
      </c>
    </row>
    <row r="122" spans="1:58" x14ac:dyDescent="0.25">
      <c r="A122" t="s">
        <v>1565</v>
      </c>
      <c r="B122" t="s">
        <v>47</v>
      </c>
      <c r="C122" t="s">
        <v>1760</v>
      </c>
      <c r="D122" t="s">
        <v>35</v>
      </c>
      <c r="E122" t="s">
        <v>594</v>
      </c>
      <c r="F122" t="s">
        <v>593</v>
      </c>
      <c r="G122" t="s">
        <v>157</v>
      </c>
      <c r="H122" t="s">
        <v>6063</v>
      </c>
      <c r="I122" t="s">
        <v>652</v>
      </c>
      <c r="J122" t="s">
        <v>1755</v>
      </c>
      <c r="K122" t="str">
        <f>CONCATENATE(Shipment_Master_Database[[#This Row],[Exp '#]],"-",Shipment_Master_Database[[#This Row],[B. '#]])</f>
        <v>2336th--</v>
      </c>
      <c r="L122" t="s">
        <v>654</v>
      </c>
      <c r="M122" t="s">
        <v>6228</v>
      </c>
      <c r="N122" t="s">
        <v>5809</v>
      </c>
      <c r="O122">
        <v>1</v>
      </c>
      <c r="P122">
        <v>260</v>
      </c>
      <c r="Q122">
        <v>355</v>
      </c>
      <c r="R122" t="s">
        <v>182</v>
      </c>
      <c r="S122" t="s">
        <v>129</v>
      </c>
      <c r="T122" t="s">
        <v>182</v>
      </c>
      <c r="U122" t="s">
        <v>657</v>
      </c>
      <c r="V122">
        <v>1</v>
      </c>
      <c r="AF122" s="19"/>
      <c r="AG122">
        <v>46072</v>
      </c>
      <c r="AH122">
        <v>46072</v>
      </c>
      <c r="AI122">
        <v>46075</v>
      </c>
      <c r="AJ122">
        <v>46112</v>
      </c>
      <c r="AK122">
        <v>46136</v>
      </c>
      <c r="AL122">
        <v>61</v>
      </c>
      <c r="AM122">
        <v>24</v>
      </c>
      <c r="AO122" t="s">
        <v>1268</v>
      </c>
      <c r="AP122" t="s">
        <v>6229</v>
      </c>
      <c r="AQ122" t="s">
        <v>6061</v>
      </c>
      <c r="AR122" t="s">
        <v>658</v>
      </c>
      <c r="AT122" t="s">
        <v>157</v>
      </c>
      <c r="AU122">
        <v>9854</v>
      </c>
      <c r="AV122">
        <v>1775</v>
      </c>
      <c r="AX122">
        <v>2000</v>
      </c>
      <c r="AY122">
        <v>355</v>
      </c>
      <c r="AZ122">
        <v>1600</v>
      </c>
      <c r="BD122">
        <v>67569</v>
      </c>
      <c r="BE122">
        <v>33785</v>
      </c>
      <c r="BF122">
        <v>116938</v>
      </c>
    </row>
    <row r="123" spans="1:58" x14ac:dyDescent="0.25">
      <c r="A123" t="s">
        <v>1565</v>
      </c>
      <c r="B123" t="s">
        <v>47</v>
      </c>
      <c r="C123" t="s">
        <v>1760</v>
      </c>
      <c r="D123" t="s">
        <v>35</v>
      </c>
      <c r="E123" t="s">
        <v>1755</v>
      </c>
      <c r="F123" t="s">
        <v>1755</v>
      </c>
      <c r="G123" t="s">
        <v>157</v>
      </c>
      <c r="H123" t="s">
        <v>6063</v>
      </c>
      <c r="I123" t="s">
        <v>504</v>
      </c>
      <c r="J123" t="s">
        <v>1755</v>
      </c>
      <c r="K123" t="str">
        <f>CONCATENATE(Shipment_Master_Database[[#This Row],[Exp '#]],"-",Shipment_Master_Database[[#This Row],[B. '#]])</f>
        <v>2310th--</v>
      </c>
      <c r="L123" t="s">
        <v>506</v>
      </c>
      <c r="M123" t="s">
        <v>6230</v>
      </c>
      <c r="N123" t="s">
        <v>5816</v>
      </c>
      <c r="O123">
        <v>1</v>
      </c>
      <c r="P123">
        <v>1083</v>
      </c>
      <c r="Q123">
        <v>1228</v>
      </c>
      <c r="R123" t="s">
        <v>182</v>
      </c>
      <c r="S123" t="s">
        <v>129</v>
      </c>
      <c r="T123" t="s">
        <v>182</v>
      </c>
      <c r="U123" t="s">
        <v>1755</v>
      </c>
      <c r="AF123" s="19"/>
      <c r="AG123">
        <v>46072</v>
      </c>
      <c r="AH123" t="s">
        <v>1755</v>
      </c>
      <c r="AI123">
        <v>46075</v>
      </c>
      <c r="AJ123">
        <v>46112</v>
      </c>
      <c r="AK123">
        <v>46136</v>
      </c>
      <c r="AL123">
        <v>61</v>
      </c>
      <c r="AM123">
        <v>24</v>
      </c>
      <c r="AO123" t="s">
        <v>1755</v>
      </c>
      <c r="AP123" t="s">
        <v>1755</v>
      </c>
      <c r="AQ123" t="s">
        <v>1755</v>
      </c>
      <c r="AR123" t="s">
        <v>1755</v>
      </c>
      <c r="AT123" t="s">
        <v>157</v>
      </c>
      <c r="AU123">
        <v>12260</v>
      </c>
      <c r="AV123">
        <v>6140</v>
      </c>
      <c r="AX123" t="s">
        <v>1755</v>
      </c>
      <c r="AY123">
        <v>1228</v>
      </c>
      <c r="AZ123" t="s">
        <v>1755</v>
      </c>
      <c r="BA123">
        <v>18075</v>
      </c>
      <c r="BD123" t="s">
        <v>1755</v>
      </c>
      <c r="BE123">
        <v>33785</v>
      </c>
      <c r="BF123">
        <v>71488</v>
      </c>
    </row>
    <row r="124" spans="1:58" x14ac:dyDescent="0.25">
      <c r="A124" t="s">
        <v>1565</v>
      </c>
      <c r="B124" t="s">
        <v>47</v>
      </c>
      <c r="C124" t="s">
        <v>1760</v>
      </c>
      <c r="D124" t="s">
        <v>154</v>
      </c>
      <c r="E124" t="s">
        <v>594</v>
      </c>
      <c r="F124" t="s">
        <v>593</v>
      </c>
      <c r="G124" t="s">
        <v>157</v>
      </c>
      <c r="H124" t="s">
        <v>6069</v>
      </c>
      <c r="I124" t="s">
        <v>589</v>
      </c>
      <c r="J124" t="s">
        <v>1755</v>
      </c>
      <c r="K124" t="str">
        <f>CONCATENATE(Shipment_Master_Database[[#This Row],[Exp '#]],"-",Shipment_Master_Database[[#This Row],[B. '#]])</f>
        <v>2325th--</v>
      </c>
      <c r="L124" t="s">
        <v>591</v>
      </c>
      <c r="M124" t="s">
        <v>497</v>
      </c>
      <c r="N124" t="s">
        <v>3796</v>
      </c>
      <c r="O124">
        <v>1</v>
      </c>
      <c r="P124">
        <v>2190</v>
      </c>
      <c r="Q124">
        <v>2450</v>
      </c>
      <c r="R124" t="s">
        <v>182</v>
      </c>
      <c r="S124" t="s">
        <v>129</v>
      </c>
      <c r="T124" t="s">
        <v>182</v>
      </c>
      <c r="U124" t="s">
        <v>595</v>
      </c>
      <c r="V124">
        <v>1</v>
      </c>
      <c r="AF124" s="19"/>
      <c r="AG124">
        <v>46083</v>
      </c>
      <c r="AH124">
        <v>46093</v>
      </c>
      <c r="AI124">
        <v>46096</v>
      </c>
      <c r="AJ124">
        <v>46133</v>
      </c>
      <c r="AK124">
        <v>46141</v>
      </c>
      <c r="AL124">
        <v>45</v>
      </c>
      <c r="AM124">
        <v>8</v>
      </c>
      <c r="AO124" t="s">
        <v>1755</v>
      </c>
      <c r="AP124" t="s">
        <v>6231</v>
      </c>
      <c r="AQ124" t="s">
        <v>6113</v>
      </c>
      <c r="AR124" t="s">
        <v>597</v>
      </c>
      <c r="AT124" t="s">
        <v>157</v>
      </c>
      <c r="AU124">
        <v>32052</v>
      </c>
      <c r="AV124">
        <v>14700</v>
      </c>
      <c r="AX124">
        <v>1000</v>
      </c>
      <c r="AY124">
        <v>2450</v>
      </c>
      <c r="AZ124">
        <v>16500</v>
      </c>
      <c r="BA124">
        <v>13475</v>
      </c>
      <c r="BD124">
        <v>37462</v>
      </c>
      <c r="BE124">
        <v>37462</v>
      </c>
      <c r="BF124">
        <v>155101</v>
      </c>
    </row>
    <row r="125" spans="1:58" x14ac:dyDescent="0.25">
      <c r="A125" t="s">
        <v>1565</v>
      </c>
      <c r="B125" t="s">
        <v>47</v>
      </c>
      <c r="C125" t="s">
        <v>1771</v>
      </c>
      <c r="D125" t="s">
        <v>6232</v>
      </c>
      <c r="E125" t="s">
        <v>307</v>
      </c>
      <c r="F125" t="s">
        <v>146</v>
      </c>
      <c r="G125" t="s">
        <v>157</v>
      </c>
      <c r="H125" t="s">
        <v>6063</v>
      </c>
      <c r="I125" t="s">
        <v>1204</v>
      </c>
      <c r="J125" t="s">
        <v>1755</v>
      </c>
      <c r="K125" t="str">
        <f>CONCATENATE(Shipment_Master_Database[[#This Row],[Exp '#]],"-",Shipment_Master_Database[[#This Row],[B. '#]])</f>
        <v>25-034--</v>
      </c>
      <c r="L125" t="s">
        <v>1207</v>
      </c>
      <c r="M125" t="s">
        <v>1206</v>
      </c>
      <c r="O125">
        <v>3</v>
      </c>
      <c r="P125">
        <v>2200</v>
      </c>
      <c r="Q125">
        <v>2635</v>
      </c>
      <c r="R125" t="s">
        <v>263</v>
      </c>
      <c r="S125" t="s">
        <v>129</v>
      </c>
      <c r="T125" t="s">
        <v>171</v>
      </c>
      <c r="U125">
        <v>36094818</v>
      </c>
      <c r="W125">
        <v>1</v>
      </c>
      <c r="AF125" s="19"/>
      <c r="AG125">
        <v>46108</v>
      </c>
      <c r="AH125">
        <v>46108</v>
      </c>
      <c r="AI125">
        <v>46114</v>
      </c>
      <c r="AJ125">
        <v>46136</v>
      </c>
      <c r="AK125">
        <v>46136</v>
      </c>
      <c r="AL125">
        <v>22</v>
      </c>
      <c r="AM125">
        <v>0</v>
      </c>
      <c r="AO125" t="s">
        <v>1755</v>
      </c>
      <c r="AP125" t="s">
        <v>1268</v>
      </c>
      <c r="AQ125" t="s">
        <v>6061</v>
      </c>
      <c r="AR125" t="s">
        <v>1208</v>
      </c>
      <c r="AT125">
        <v>2900</v>
      </c>
      <c r="AU125">
        <v>113254</v>
      </c>
      <c r="AV125">
        <v>130000</v>
      </c>
      <c r="AY125">
        <v>2635</v>
      </c>
      <c r="AZ125">
        <v>19000</v>
      </c>
      <c r="BD125">
        <v>60440</v>
      </c>
      <c r="BE125">
        <v>1000018</v>
      </c>
      <c r="BF125">
        <v>1328247</v>
      </c>
    </row>
    <row r="126" spans="1:58" x14ac:dyDescent="0.25">
      <c r="A126" t="s">
        <v>1565</v>
      </c>
      <c r="B126" t="s">
        <v>47</v>
      </c>
      <c r="C126" t="s">
        <v>1771</v>
      </c>
      <c r="D126" t="s">
        <v>6233</v>
      </c>
      <c r="E126" t="s">
        <v>1186</v>
      </c>
      <c r="F126" t="s">
        <v>1185</v>
      </c>
      <c r="G126" t="s">
        <v>157</v>
      </c>
      <c r="H126" t="s">
        <v>6063</v>
      </c>
      <c r="I126" t="s">
        <v>1179</v>
      </c>
      <c r="K126" t="str">
        <f>CONCATENATE(Shipment_Master_Database[[#This Row],[Exp '#]],"-",Shipment_Master_Database[[#This Row],[B. '#]])</f>
        <v>25-029-</v>
      </c>
      <c r="L126" t="s">
        <v>6234</v>
      </c>
      <c r="M126" t="s">
        <v>6235</v>
      </c>
      <c r="N126" t="s">
        <v>1147</v>
      </c>
      <c r="O126">
        <v>2</v>
      </c>
      <c r="P126">
        <v>3675</v>
      </c>
      <c r="Q126">
        <v>3885</v>
      </c>
      <c r="R126" t="s">
        <v>1187</v>
      </c>
      <c r="S126" t="s">
        <v>148</v>
      </c>
      <c r="T126" t="s">
        <v>787</v>
      </c>
      <c r="U126" t="s">
        <v>1188</v>
      </c>
      <c r="AD126">
        <v>1</v>
      </c>
      <c r="AF126" s="19"/>
      <c r="AG126">
        <v>46067</v>
      </c>
      <c r="AH126">
        <v>46066</v>
      </c>
      <c r="AI126">
        <v>46074</v>
      </c>
      <c r="AJ126" t="s">
        <v>1755</v>
      </c>
      <c r="AK126" t="s">
        <v>1755</v>
      </c>
      <c r="AL126">
        <v>0</v>
      </c>
      <c r="AM126">
        <v>0</v>
      </c>
      <c r="AO126" t="s">
        <v>1268</v>
      </c>
      <c r="AP126" t="s">
        <v>1268</v>
      </c>
      <c r="AQ126" t="s">
        <v>6236</v>
      </c>
      <c r="AR126" t="s">
        <v>1189</v>
      </c>
      <c r="AT126" t="s">
        <v>157</v>
      </c>
      <c r="BB126">
        <v>19575</v>
      </c>
      <c r="BF126">
        <v>19575</v>
      </c>
    </row>
    <row r="127" spans="1:58" x14ac:dyDescent="0.25">
      <c r="A127" t="s">
        <v>1565</v>
      </c>
      <c r="B127" t="s">
        <v>47</v>
      </c>
      <c r="C127" t="s">
        <v>1771</v>
      </c>
      <c r="D127" t="s">
        <v>6233</v>
      </c>
      <c r="E127" t="s">
        <v>1755</v>
      </c>
      <c r="F127" t="s">
        <v>1755</v>
      </c>
      <c r="G127" t="s">
        <v>157</v>
      </c>
      <c r="H127" t="s">
        <v>6063</v>
      </c>
      <c r="I127" t="s">
        <v>1190</v>
      </c>
      <c r="K127" t="str">
        <f>CONCATENATE(Shipment_Master_Database[[#This Row],[Exp '#]],"-",Shipment_Master_Database[[#This Row],[B. '#]])</f>
        <v>25-030-</v>
      </c>
      <c r="L127" t="s">
        <v>6237</v>
      </c>
      <c r="M127" t="s">
        <v>6235</v>
      </c>
      <c r="N127" t="s">
        <v>1147</v>
      </c>
      <c r="O127">
        <v>2</v>
      </c>
      <c r="P127">
        <v>3402</v>
      </c>
      <c r="Q127">
        <v>3680</v>
      </c>
      <c r="R127" t="s">
        <v>1187</v>
      </c>
      <c r="S127" t="s">
        <v>148</v>
      </c>
      <c r="T127" t="s">
        <v>787</v>
      </c>
      <c r="U127" t="s">
        <v>1755</v>
      </c>
      <c r="AF127" s="19"/>
      <c r="AG127">
        <v>46067</v>
      </c>
      <c r="AH127" t="s">
        <v>1755</v>
      </c>
      <c r="AI127">
        <v>46074</v>
      </c>
      <c r="AJ127" t="s">
        <v>1755</v>
      </c>
      <c r="AK127" t="s">
        <v>1755</v>
      </c>
      <c r="AL127">
        <v>0</v>
      </c>
      <c r="AM127">
        <v>0</v>
      </c>
      <c r="AO127" t="s">
        <v>1755</v>
      </c>
      <c r="AP127" t="s">
        <v>1755</v>
      </c>
      <c r="AQ127" t="s">
        <v>1755</v>
      </c>
      <c r="AR127" t="s">
        <v>1755</v>
      </c>
      <c r="AT127" t="s">
        <v>157</v>
      </c>
      <c r="BB127" t="s">
        <v>1755</v>
      </c>
      <c r="BF127">
        <v>0</v>
      </c>
    </row>
    <row r="128" spans="1:58" x14ac:dyDescent="0.25">
      <c r="A128" t="s">
        <v>1565</v>
      </c>
      <c r="B128" t="s">
        <v>47</v>
      </c>
      <c r="C128" t="s">
        <v>1771</v>
      </c>
      <c r="D128" t="s">
        <v>1180</v>
      </c>
      <c r="E128" t="s">
        <v>1353</v>
      </c>
      <c r="F128" t="s">
        <v>1352</v>
      </c>
      <c r="G128" t="s">
        <v>157</v>
      </c>
      <c r="H128" t="s">
        <v>6063</v>
      </c>
      <c r="I128" t="s">
        <v>1347</v>
      </c>
      <c r="J128" t="s">
        <v>1755</v>
      </c>
      <c r="K128" t="str">
        <f>CONCATENATE(Shipment_Master_Database[[#This Row],[Exp '#]],"-",Shipment_Master_Database[[#This Row],[B. '#]])</f>
        <v>MO-0133--</v>
      </c>
      <c r="L128" t="s">
        <v>1349</v>
      </c>
      <c r="M128" t="s">
        <v>1348</v>
      </c>
      <c r="O128">
        <v>2</v>
      </c>
      <c r="P128">
        <v>3420</v>
      </c>
      <c r="Q128">
        <v>3600</v>
      </c>
      <c r="R128" t="s">
        <v>1170</v>
      </c>
      <c r="S128" t="s">
        <v>129</v>
      </c>
      <c r="T128" t="s">
        <v>1354</v>
      </c>
      <c r="U128" t="s">
        <v>1355</v>
      </c>
      <c r="AD128">
        <v>1</v>
      </c>
      <c r="AF128" s="19"/>
      <c r="AG128">
        <v>46080</v>
      </c>
      <c r="AH128">
        <v>46080</v>
      </c>
      <c r="AI128">
        <v>46086</v>
      </c>
      <c r="AJ128">
        <v>46135</v>
      </c>
      <c r="AK128">
        <v>46141</v>
      </c>
      <c r="AL128">
        <v>55</v>
      </c>
      <c r="AM128">
        <v>6</v>
      </c>
      <c r="AO128" t="s">
        <v>1755</v>
      </c>
      <c r="AP128" t="s">
        <v>1268</v>
      </c>
      <c r="AQ128" t="s">
        <v>6061</v>
      </c>
      <c r="AR128" t="s">
        <v>1356</v>
      </c>
      <c r="AT128" t="s">
        <v>157</v>
      </c>
      <c r="AU128">
        <v>27696</v>
      </c>
      <c r="AV128">
        <v>59500</v>
      </c>
      <c r="AW128">
        <v>3500</v>
      </c>
      <c r="AX128" t="s">
        <v>1755</v>
      </c>
      <c r="AY128">
        <v>3600</v>
      </c>
      <c r="AZ128">
        <v>10000</v>
      </c>
      <c r="BA128">
        <v>13475</v>
      </c>
      <c r="BD128">
        <v>49160</v>
      </c>
      <c r="BE128">
        <v>49160</v>
      </c>
      <c r="BF128">
        <v>216091</v>
      </c>
    </row>
    <row r="129" spans="1:58" x14ac:dyDescent="0.25">
      <c r="A129" t="s">
        <v>1565</v>
      </c>
      <c r="B129" t="s">
        <v>47</v>
      </c>
      <c r="C129" t="s">
        <v>1771</v>
      </c>
      <c r="D129" t="s">
        <v>1328</v>
      </c>
      <c r="E129" t="s">
        <v>747</v>
      </c>
      <c r="F129" t="s">
        <v>746</v>
      </c>
      <c r="G129" t="s">
        <v>181</v>
      </c>
      <c r="H129" t="s">
        <v>6069</v>
      </c>
      <c r="I129" t="s">
        <v>742</v>
      </c>
      <c r="J129" t="s">
        <v>1755</v>
      </c>
      <c r="K129" t="str">
        <f>CONCATENATE(Shipment_Master_Database[[#This Row],[Exp '#]],"-",Shipment_Master_Database[[#This Row],[B. '#]])</f>
        <v>2356th--</v>
      </c>
      <c r="L129" t="s">
        <v>744</v>
      </c>
      <c r="O129">
        <v>2</v>
      </c>
      <c r="P129">
        <v>1785</v>
      </c>
      <c r="Q129">
        <v>2090</v>
      </c>
      <c r="R129" t="s">
        <v>128</v>
      </c>
      <c r="S129" t="s">
        <v>129</v>
      </c>
      <c r="T129" t="s">
        <v>748</v>
      </c>
      <c r="U129" t="s">
        <v>749</v>
      </c>
      <c r="AD129">
        <v>1</v>
      </c>
      <c r="AF129" s="19"/>
      <c r="AG129">
        <v>46080</v>
      </c>
      <c r="AH129">
        <v>46081</v>
      </c>
      <c r="AI129">
        <v>46088</v>
      </c>
      <c r="AJ129" t="s">
        <v>1755</v>
      </c>
      <c r="AK129" t="s">
        <v>1755</v>
      </c>
      <c r="AL129">
        <v>0</v>
      </c>
      <c r="AM129">
        <v>0</v>
      </c>
      <c r="AO129" t="s">
        <v>1755</v>
      </c>
      <c r="AP129" t="s">
        <v>1268</v>
      </c>
      <c r="AQ129" t="s">
        <v>6061</v>
      </c>
      <c r="AR129" t="s">
        <v>750</v>
      </c>
      <c r="AT129" t="s">
        <v>1755</v>
      </c>
      <c r="BA129">
        <v>14475</v>
      </c>
      <c r="BB129">
        <v>13272</v>
      </c>
      <c r="BE129">
        <v>237808</v>
      </c>
      <c r="BF129">
        <v>265555</v>
      </c>
    </row>
    <row r="130" spans="1:58" x14ac:dyDescent="0.25">
      <c r="A130" t="s">
        <v>1565</v>
      </c>
      <c r="B130" t="s">
        <v>47</v>
      </c>
      <c r="C130" t="s">
        <v>1760</v>
      </c>
      <c r="D130" t="s">
        <v>6054</v>
      </c>
      <c r="E130" t="s">
        <v>127</v>
      </c>
      <c r="F130" t="s">
        <v>126</v>
      </c>
      <c r="G130" t="s">
        <v>157</v>
      </c>
      <c r="H130" t="s">
        <v>6063</v>
      </c>
      <c r="I130" t="s">
        <v>6238</v>
      </c>
      <c r="K130" t="str">
        <f>CONCATENATE(Shipment_Master_Database[[#This Row],[Exp '#]],"-",Shipment_Master_Database[[#This Row],[B. '#]])</f>
        <v>MO-0131 -</v>
      </c>
      <c r="L130" t="s">
        <v>6239</v>
      </c>
      <c r="M130" t="s">
        <v>6240</v>
      </c>
      <c r="N130" t="s">
        <v>1147</v>
      </c>
      <c r="O130">
        <v>9</v>
      </c>
      <c r="P130">
        <v>15364</v>
      </c>
      <c r="Q130">
        <v>16934</v>
      </c>
      <c r="R130" t="s">
        <v>1344</v>
      </c>
      <c r="S130" t="s">
        <v>129</v>
      </c>
      <c r="T130" t="s">
        <v>289</v>
      </c>
      <c r="U130" t="s">
        <v>1345</v>
      </c>
      <c r="V130">
        <v>1</v>
      </c>
      <c r="AF130" s="19"/>
      <c r="AG130">
        <v>46069</v>
      </c>
      <c r="AH130">
        <v>46069</v>
      </c>
      <c r="AI130">
        <v>46072</v>
      </c>
      <c r="AJ130">
        <v>46124</v>
      </c>
      <c r="AK130">
        <v>46142</v>
      </c>
      <c r="AL130">
        <v>70</v>
      </c>
      <c r="AM130">
        <v>18</v>
      </c>
      <c r="AO130" t="s">
        <v>1268</v>
      </c>
      <c r="AP130" t="s">
        <v>6241</v>
      </c>
      <c r="AQ130" t="s">
        <v>6085</v>
      </c>
      <c r="AR130" t="s">
        <v>1755</v>
      </c>
      <c r="AT130" t="s">
        <v>1755</v>
      </c>
      <c r="BA130">
        <v>12475</v>
      </c>
      <c r="BF130">
        <v>12475</v>
      </c>
    </row>
    <row r="131" spans="1:58" x14ac:dyDescent="0.25">
      <c r="A131" t="s">
        <v>1565</v>
      </c>
      <c r="B131" t="s">
        <v>47</v>
      </c>
      <c r="C131" t="s">
        <v>1760</v>
      </c>
      <c r="D131" t="s">
        <v>499</v>
      </c>
      <c r="E131" t="s">
        <v>127</v>
      </c>
      <c r="F131" t="s">
        <v>126</v>
      </c>
      <c r="G131" t="s">
        <v>125</v>
      </c>
      <c r="H131" t="s">
        <v>6069</v>
      </c>
      <c r="I131" t="s">
        <v>498</v>
      </c>
      <c r="J131" t="s">
        <v>1755</v>
      </c>
      <c r="K131" t="str">
        <f>CONCATENATE(Shipment_Master_Database[[#This Row],[Exp '#]],"-",Shipment_Master_Database[[#This Row],[B. '#]])</f>
        <v>2308th--</v>
      </c>
      <c r="M131" t="s">
        <v>500</v>
      </c>
      <c r="O131" t="s">
        <v>827</v>
      </c>
      <c r="P131">
        <v>33669</v>
      </c>
      <c r="Q131">
        <v>34640</v>
      </c>
      <c r="R131" t="s">
        <v>263</v>
      </c>
      <c r="S131" t="s">
        <v>129</v>
      </c>
      <c r="T131" t="s">
        <v>452</v>
      </c>
      <c r="U131">
        <v>18067149</v>
      </c>
      <c r="W131">
        <v>2</v>
      </c>
      <c r="AF131" s="19"/>
      <c r="AG131">
        <v>46055</v>
      </c>
      <c r="AH131">
        <v>46059</v>
      </c>
      <c r="AI131">
        <v>46064</v>
      </c>
      <c r="AJ131">
        <v>46140</v>
      </c>
      <c r="AK131">
        <v>46154</v>
      </c>
      <c r="AL131">
        <v>90</v>
      </c>
      <c r="AM131">
        <v>14</v>
      </c>
      <c r="AO131" t="s">
        <v>1268</v>
      </c>
      <c r="AP131" t="s">
        <v>6086</v>
      </c>
      <c r="AQ131" t="s">
        <v>6086</v>
      </c>
      <c r="AR131" t="s">
        <v>485</v>
      </c>
      <c r="AT131">
        <v>7940</v>
      </c>
      <c r="AU131">
        <v>66980</v>
      </c>
      <c r="AV131">
        <v>18000</v>
      </c>
      <c r="AW131">
        <v>7000</v>
      </c>
      <c r="AX131">
        <v>18000</v>
      </c>
      <c r="AY131">
        <v>34640</v>
      </c>
      <c r="AZ131">
        <v>68000</v>
      </c>
      <c r="BA131">
        <v>20875</v>
      </c>
      <c r="BB131" t="s">
        <v>1755</v>
      </c>
      <c r="BC131" t="s">
        <v>1755</v>
      </c>
      <c r="BD131">
        <v>73050</v>
      </c>
      <c r="BE131">
        <v>2365202</v>
      </c>
      <c r="BF131">
        <v>2679687</v>
      </c>
    </row>
    <row r="132" spans="1:58" x14ac:dyDescent="0.25">
      <c r="A132" t="s">
        <v>1565</v>
      </c>
      <c r="B132" t="s">
        <v>47</v>
      </c>
      <c r="C132" t="s">
        <v>1760</v>
      </c>
      <c r="D132" t="s">
        <v>487</v>
      </c>
      <c r="E132" t="s">
        <v>191</v>
      </c>
      <c r="F132" t="s">
        <v>490</v>
      </c>
      <c r="G132" t="s">
        <v>125</v>
      </c>
      <c r="H132" t="s">
        <v>6063</v>
      </c>
      <c r="I132" t="s">
        <v>486</v>
      </c>
      <c r="J132" t="s">
        <v>1755</v>
      </c>
      <c r="K132" t="str">
        <f>CONCATENATE(Shipment_Master_Database[[#This Row],[Exp '#]],"-",Shipment_Master_Database[[#This Row],[B. '#]])</f>
        <v>2306th--</v>
      </c>
      <c r="L132" t="s">
        <v>295</v>
      </c>
      <c r="M132" t="s">
        <v>488</v>
      </c>
      <c r="N132" t="s">
        <v>5826</v>
      </c>
      <c r="O132">
        <v>2</v>
      </c>
      <c r="P132">
        <v>31360</v>
      </c>
      <c r="Q132">
        <v>31800</v>
      </c>
      <c r="R132" t="s">
        <v>263</v>
      </c>
      <c r="S132" t="s">
        <v>6242</v>
      </c>
      <c r="T132" t="s">
        <v>491</v>
      </c>
      <c r="U132">
        <v>266881448</v>
      </c>
      <c r="AB132">
        <v>1</v>
      </c>
      <c r="AF132" s="19"/>
      <c r="AG132">
        <v>46083</v>
      </c>
      <c r="AH132">
        <v>46088</v>
      </c>
      <c r="AI132">
        <v>46093</v>
      </c>
      <c r="AJ132">
        <v>46126</v>
      </c>
      <c r="AK132">
        <v>46147</v>
      </c>
      <c r="AL132">
        <v>54</v>
      </c>
      <c r="AM132">
        <v>21</v>
      </c>
      <c r="AO132" t="s">
        <v>1755</v>
      </c>
      <c r="AP132" t="s">
        <v>6191</v>
      </c>
      <c r="AQ132" t="s">
        <v>6061</v>
      </c>
      <c r="AR132" t="s">
        <v>1755</v>
      </c>
      <c r="AT132">
        <v>1625</v>
      </c>
      <c r="AU132">
        <v>35625</v>
      </c>
      <c r="AV132">
        <v>160000</v>
      </c>
      <c r="AW132">
        <v>3500</v>
      </c>
      <c r="AX132">
        <v>19500</v>
      </c>
      <c r="AY132">
        <v>31800</v>
      </c>
      <c r="AZ132">
        <v>38900</v>
      </c>
      <c r="BA132">
        <v>63377</v>
      </c>
      <c r="BB132" t="s">
        <v>1755</v>
      </c>
      <c r="BC132">
        <v>12980</v>
      </c>
      <c r="BD132">
        <v>42029</v>
      </c>
      <c r="BE132">
        <v>937922</v>
      </c>
      <c r="BF132">
        <v>1347258</v>
      </c>
    </row>
    <row r="133" spans="1:58" x14ac:dyDescent="0.25">
      <c r="A133" t="s">
        <v>1565</v>
      </c>
      <c r="B133" t="s">
        <v>47</v>
      </c>
      <c r="C133" t="s">
        <v>1760</v>
      </c>
      <c r="D133" t="s">
        <v>908</v>
      </c>
      <c r="E133" t="s">
        <v>233</v>
      </c>
      <c r="F133" t="s">
        <v>232</v>
      </c>
      <c r="G133" t="s">
        <v>181</v>
      </c>
      <c r="H133" t="s">
        <v>6069</v>
      </c>
      <c r="I133" t="s">
        <v>432</v>
      </c>
      <c r="J133" t="s">
        <v>1755</v>
      </c>
      <c r="K133" t="str">
        <f>CONCATENATE(Shipment_Master_Database[[#This Row],[Exp '#]],"-",Shipment_Master_Database[[#This Row],[B. '#]])</f>
        <v>2292nd--</v>
      </c>
      <c r="L133" t="s">
        <v>434</v>
      </c>
      <c r="M133" t="s">
        <v>433</v>
      </c>
      <c r="N133" t="s">
        <v>5833</v>
      </c>
      <c r="O133">
        <v>10</v>
      </c>
      <c r="P133">
        <v>32816</v>
      </c>
      <c r="Q133">
        <v>35665</v>
      </c>
      <c r="R133" t="s">
        <v>263</v>
      </c>
      <c r="S133" t="s">
        <v>148</v>
      </c>
      <c r="T133" t="s">
        <v>171</v>
      </c>
      <c r="U133">
        <v>37557431</v>
      </c>
      <c r="AB133">
        <v>1</v>
      </c>
      <c r="AF133" s="19"/>
      <c r="AG133">
        <v>46066</v>
      </c>
      <c r="AH133">
        <v>46066</v>
      </c>
      <c r="AI133">
        <v>46071</v>
      </c>
      <c r="AJ133">
        <v>46133</v>
      </c>
      <c r="AK133">
        <v>46153</v>
      </c>
      <c r="AL133">
        <v>82</v>
      </c>
      <c r="AM133">
        <v>20</v>
      </c>
      <c r="AO133" t="s">
        <v>1268</v>
      </c>
      <c r="AP133" t="s">
        <v>6243</v>
      </c>
      <c r="AQ133" t="s">
        <v>6086</v>
      </c>
      <c r="AR133" t="s">
        <v>436</v>
      </c>
      <c r="AT133">
        <v>4200</v>
      </c>
      <c r="AU133">
        <v>265615</v>
      </c>
      <c r="AV133">
        <v>137667</v>
      </c>
      <c r="AW133">
        <v>3500</v>
      </c>
      <c r="AX133">
        <v>19500</v>
      </c>
      <c r="AY133">
        <v>35665</v>
      </c>
      <c r="AZ133">
        <v>35400</v>
      </c>
      <c r="BA133">
        <v>12000</v>
      </c>
      <c r="BB133">
        <v>14875</v>
      </c>
      <c r="BC133">
        <v>17760.900000000001</v>
      </c>
      <c r="BD133">
        <v>100965</v>
      </c>
      <c r="BE133">
        <v>1339953</v>
      </c>
      <c r="BF133">
        <v>1987100.9</v>
      </c>
    </row>
    <row r="134" spans="1:58" x14ac:dyDescent="0.25">
      <c r="A134" t="s">
        <v>1565</v>
      </c>
      <c r="B134" t="s">
        <v>47</v>
      </c>
      <c r="C134" t="s">
        <v>1760</v>
      </c>
      <c r="D134" t="s">
        <v>109</v>
      </c>
      <c r="E134" t="s">
        <v>233</v>
      </c>
      <c r="F134" t="s">
        <v>232</v>
      </c>
      <c r="G134" t="s">
        <v>125</v>
      </c>
      <c r="H134" t="s">
        <v>6069</v>
      </c>
      <c r="I134" t="s">
        <v>228</v>
      </c>
      <c r="J134" t="s">
        <v>1755</v>
      </c>
      <c r="K134" t="str">
        <f>CONCATENATE(Shipment_Master_Database[[#This Row],[Exp '#]],"-",Shipment_Master_Database[[#This Row],[B. '#]])</f>
        <v>2247th--</v>
      </c>
      <c r="L134" t="s">
        <v>6244</v>
      </c>
      <c r="M134" t="s">
        <v>230</v>
      </c>
      <c r="N134" t="s">
        <v>3578</v>
      </c>
      <c r="O134">
        <v>7</v>
      </c>
      <c r="P134">
        <v>35940</v>
      </c>
      <c r="Q134">
        <v>37940</v>
      </c>
      <c r="R134" t="s">
        <v>263</v>
      </c>
      <c r="S134" t="s">
        <v>148</v>
      </c>
      <c r="T134" t="s">
        <v>182</v>
      </c>
      <c r="U134" t="s">
        <v>234</v>
      </c>
      <c r="W134">
        <v>1</v>
      </c>
      <c r="AB134">
        <v>1</v>
      </c>
      <c r="AF134" s="19"/>
      <c r="AG134">
        <v>46067</v>
      </c>
      <c r="AH134">
        <v>46070</v>
      </c>
      <c r="AI134">
        <v>46076</v>
      </c>
      <c r="AJ134">
        <v>46131</v>
      </c>
      <c r="AK134">
        <v>46152</v>
      </c>
      <c r="AL134">
        <v>76</v>
      </c>
      <c r="AM134">
        <v>21</v>
      </c>
      <c r="AO134" t="s">
        <v>1268</v>
      </c>
      <c r="AP134" t="s">
        <v>6112</v>
      </c>
      <c r="AQ134" t="s">
        <v>6245</v>
      </c>
      <c r="AR134" t="s">
        <v>236</v>
      </c>
      <c r="AT134">
        <v>8000</v>
      </c>
      <c r="AU134">
        <v>190719</v>
      </c>
      <c r="AV134">
        <v>123800</v>
      </c>
      <c r="AW134">
        <v>7000</v>
      </c>
      <c r="AX134">
        <v>28500</v>
      </c>
      <c r="AY134">
        <v>37940</v>
      </c>
      <c r="AZ134">
        <v>120050</v>
      </c>
      <c r="BA134">
        <v>14875</v>
      </c>
      <c r="BB134" t="s">
        <v>1755</v>
      </c>
      <c r="BC134" t="s">
        <v>1755</v>
      </c>
      <c r="BD134">
        <v>162270</v>
      </c>
      <c r="BE134">
        <v>2717271</v>
      </c>
      <c r="BF134">
        <v>3410425</v>
      </c>
    </row>
    <row r="135" spans="1:58" x14ac:dyDescent="0.25">
      <c r="A135" t="s">
        <v>1565</v>
      </c>
      <c r="B135" t="s">
        <v>47</v>
      </c>
      <c r="C135" t="s">
        <v>1771</v>
      </c>
      <c r="D135" t="s">
        <v>109</v>
      </c>
      <c r="E135" t="s">
        <v>1755</v>
      </c>
      <c r="F135" t="s">
        <v>1755</v>
      </c>
      <c r="G135" t="s">
        <v>1755</v>
      </c>
      <c r="H135" t="s">
        <v>6069</v>
      </c>
      <c r="I135" t="s">
        <v>317</v>
      </c>
      <c r="J135" t="s">
        <v>5692</v>
      </c>
      <c r="K135" t="str">
        <f>CONCATENATE(Shipment_Master_Database[[#This Row],[Exp '#]],"-",Shipment_Master_Database[[#This Row],[B. '#]])</f>
        <v>2270th-Ship with Export # 2247</v>
      </c>
      <c r="L135" t="s">
        <v>319</v>
      </c>
      <c r="M135" t="s">
        <v>318</v>
      </c>
      <c r="N135" t="s">
        <v>945</v>
      </c>
      <c r="O135">
        <v>1</v>
      </c>
      <c r="P135">
        <v>3560</v>
      </c>
      <c r="Q135">
        <v>4020</v>
      </c>
      <c r="R135" t="s">
        <v>1755</v>
      </c>
      <c r="S135" t="s">
        <v>1755</v>
      </c>
      <c r="T135" t="s">
        <v>1755</v>
      </c>
      <c r="U135" t="s">
        <v>1755</v>
      </c>
      <c r="AF135" s="19"/>
      <c r="AG135">
        <v>46067</v>
      </c>
      <c r="AH135" t="s">
        <v>1755</v>
      </c>
      <c r="AI135" t="s">
        <v>1755</v>
      </c>
      <c r="AJ135" t="s">
        <v>1755</v>
      </c>
      <c r="AK135">
        <v>46152</v>
      </c>
      <c r="AL135">
        <v>0</v>
      </c>
      <c r="AM135">
        <v>0</v>
      </c>
      <c r="AO135" t="s">
        <v>1755</v>
      </c>
      <c r="AP135" t="s">
        <v>1755</v>
      </c>
      <c r="AQ135" t="s">
        <v>1755</v>
      </c>
      <c r="AR135" t="s">
        <v>1755</v>
      </c>
      <c r="AT135" t="s">
        <v>1755</v>
      </c>
      <c r="AU135">
        <v>35677</v>
      </c>
      <c r="AV135">
        <v>27000</v>
      </c>
      <c r="AW135" t="s">
        <v>1755</v>
      </c>
      <c r="AX135" t="s">
        <v>1755</v>
      </c>
      <c r="AY135">
        <v>4020</v>
      </c>
      <c r="AZ135" t="s">
        <v>1755</v>
      </c>
      <c r="BA135">
        <v>13475</v>
      </c>
      <c r="BB135">
        <v>3862</v>
      </c>
      <c r="BC135" t="s">
        <v>1755</v>
      </c>
      <c r="BD135" t="s">
        <v>1755</v>
      </c>
      <c r="BE135" t="s">
        <v>1755</v>
      </c>
      <c r="BF135">
        <v>84034</v>
      </c>
    </row>
    <row r="136" spans="1:58" x14ac:dyDescent="0.25">
      <c r="A136" t="s">
        <v>1565</v>
      </c>
      <c r="B136" t="s">
        <v>47</v>
      </c>
      <c r="C136" t="s">
        <v>1771</v>
      </c>
      <c r="D136" t="s">
        <v>109</v>
      </c>
      <c r="E136" t="s">
        <v>1755</v>
      </c>
      <c r="F136" t="s">
        <v>1755</v>
      </c>
      <c r="G136" t="s">
        <v>1755</v>
      </c>
      <c r="H136" t="s">
        <v>6063</v>
      </c>
      <c r="I136" t="s">
        <v>108</v>
      </c>
      <c r="J136" t="s">
        <v>5692</v>
      </c>
      <c r="K136" t="str">
        <f>CONCATENATE(Shipment_Master_Database[[#This Row],[Exp '#]],"-",Shipment_Master_Database[[#This Row],[B. '#]])</f>
        <v>1995 (IOL MEMO NO 210)-Ship with Export # 2247</v>
      </c>
      <c r="L136" t="s">
        <v>111</v>
      </c>
      <c r="M136" t="s">
        <v>110</v>
      </c>
      <c r="N136" t="s">
        <v>6246</v>
      </c>
      <c r="O136">
        <v>1</v>
      </c>
      <c r="P136">
        <v>8095</v>
      </c>
      <c r="Q136">
        <v>8290</v>
      </c>
      <c r="R136" t="s">
        <v>1755</v>
      </c>
      <c r="S136" t="s">
        <v>1755</v>
      </c>
      <c r="T136" t="s">
        <v>1755</v>
      </c>
      <c r="U136" t="s">
        <v>1755</v>
      </c>
      <c r="AF136" s="19"/>
      <c r="AG136">
        <v>46067</v>
      </c>
      <c r="AH136" t="s">
        <v>1755</v>
      </c>
      <c r="AI136" t="s">
        <v>1755</v>
      </c>
      <c r="AJ136" t="s">
        <v>1755</v>
      </c>
      <c r="AK136">
        <v>46152</v>
      </c>
      <c r="AL136">
        <v>0</v>
      </c>
      <c r="AM136">
        <v>0</v>
      </c>
      <c r="AO136" t="s">
        <v>1755</v>
      </c>
      <c r="AP136" t="s">
        <v>1755</v>
      </c>
      <c r="AQ136" t="s">
        <v>1755</v>
      </c>
      <c r="AR136" t="s">
        <v>1755</v>
      </c>
      <c r="AT136" t="s">
        <v>1755</v>
      </c>
      <c r="AU136">
        <v>14560</v>
      </c>
      <c r="AV136" t="s">
        <v>1755</v>
      </c>
      <c r="AW136" t="s">
        <v>1755</v>
      </c>
      <c r="AX136" t="s">
        <v>1755</v>
      </c>
      <c r="AY136">
        <v>8290</v>
      </c>
      <c r="AZ136" t="s">
        <v>1755</v>
      </c>
      <c r="BA136" t="s">
        <v>1755</v>
      </c>
      <c r="BB136" t="s">
        <v>1755</v>
      </c>
      <c r="BC136" t="s">
        <v>1755</v>
      </c>
      <c r="BD136" t="s">
        <v>1755</v>
      </c>
      <c r="BE136" t="s">
        <v>1755</v>
      </c>
      <c r="BF136">
        <v>22850</v>
      </c>
    </row>
    <row r="137" spans="1:58" x14ac:dyDescent="0.25">
      <c r="A137" t="s">
        <v>1565</v>
      </c>
      <c r="B137" t="s">
        <v>47</v>
      </c>
      <c r="C137" t="s">
        <v>1760</v>
      </c>
      <c r="D137" t="s">
        <v>3387</v>
      </c>
      <c r="E137" t="s">
        <v>307</v>
      </c>
      <c r="F137" t="s">
        <v>146</v>
      </c>
      <c r="G137" t="s">
        <v>125</v>
      </c>
      <c r="H137" t="s">
        <v>6069</v>
      </c>
      <c r="I137" t="s">
        <v>600</v>
      </c>
      <c r="K137" t="str">
        <f>CONCATENATE(Shipment_Master_Database[[#This Row],[Exp '#]],"-",Shipment_Master_Database[[#This Row],[B. '#]])</f>
        <v>2327th-</v>
      </c>
      <c r="L137" t="s">
        <v>603</v>
      </c>
      <c r="M137" t="s">
        <v>602</v>
      </c>
      <c r="N137" t="s">
        <v>32</v>
      </c>
      <c r="O137">
        <v>26</v>
      </c>
      <c r="P137">
        <v>59333</v>
      </c>
      <c r="Q137">
        <v>66936</v>
      </c>
      <c r="R137" t="s">
        <v>263</v>
      </c>
      <c r="S137" t="s">
        <v>129</v>
      </c>
      <c r="T137" t="s">
        <v>171</v>
      </c>
      <c r="U137" t="s">
        <v>605</v>
      </c>
      <c r="W137">
        <v>2</v>
      </c>
      <c r="AA137">
        <v>1</v>
      </c>
      <c r="AF137" s="19"/>
      <c r="AG137">
        <v>46097</v>
      </c>
      <c r="AH137">
        <v>46097</v>
      </c>
      <c r="AI137">
        <v>46141</v>
      </c>
      <c r="AJ137">
        <v>46146</v>
      </c>
      <c r="AK137">
        <v>46164</v>
      </c>
      <c r="AL137">
        <v>23</v>
      </c>
      <c r="AM137">
        <v>18</v>
      </c>
      <c r="AO137" t="s">
        <v>1268</v>
      </c>
      <c r="AP137" t="s">
        <v>6061</v>
      </c>
      <c r="AQ137" t="s">
        <v>6061</v>
      </c>
      <c r="AR137" t="s">
        <v>607</v>
      </c>
      <c r="AU137">
        <v>748120</v>
      </c>
      <c r="AV137">
        <v>168552</v>
      </c>
      <c r="AX137">
        <v>29000</v>
      </c>
      <c r="AY137">
        <v>66936</v>
      </c>
      <c r="AZ137">
        <v>84000</v>
      </c>
      <c r="BA137">
        <v>54875</v>
      </c>
      <c r="BB137" t="s">
        <v>1755</v>
      </c>
      <c r="BC137" t="s">
        <v>1755</v>
      </c>
      <c r="BD137">
        <v>404910</v>
      </c>
      <c r="BE137" t="s">
        <v>1755</v>
      </c>
      <c r="BF137">
        <v>1556393</v>
      </c>
    </row>
    <row r="138" spans="1:58" x14ac:dyDescent="0.25">
      <c r="A138" t="s">
        <v>1565</v>
      </c>
      <c r="B138" t="s">
        <v>47</v>
      </c>
      <c r="C138" t="s">
        <v>1771</v>
      </c>
      <c r="D138" t="s">
        <v>1103</v>
      </c>
      <c r="E138" t="s">
        <v>1755</v>
      </c>
      <c r="F138" t="s">
        <v>1755</v>
      </c>
      <c r="G138" t="s">
        <v>125</v>
      </c>
      <c r="H138" t="s">
        <v>6063</v>
      </c>
      <c r="I138" t="s">
        <v>711</v>
      </c>
      <c r="J138" t="s">
        <v>422</v>
      </c>
      <c r="K138" t="str">
        <f>CONCATENATE(Shipment_Master_Database[[#This Row],[Exp '#]],"-",Shipment_Master_Database[[#This Row],[B. '#]])</f>
        <v>2348th-2nd</v>
      </c>
      <c r="L138" t="s">
        <v>713</v>
      </c>
      <c r="M138" t="s">
        <v>712</v>
      </c>
      <c r="N138" t="s">
        <v>1042</v>
      </c>
      <c r="O138">
        <v>1</v>
      </c>
      <c r="P138">
        <v>340</v>
      </c>
      <c r="Q138">
        <v>440</v>
      </c>
      <c r="R138" t="s">
        <v>1755</v>
      </c>
      <c r="S138" t="s">
        <v>1755</v>
      </c>
      <c r="T138" t="s">
        <v>1755</v>
      </c>
      <c r="U138" t="s">
        <v>1755</v>
      </c>
      <c r="AF138" s="19"/>
      <c r="AG138">
        <v>46097</v>
      </c>
      <c r="AH138" t="s">
        <v>1755</v>
      </c>
      <c r="AI138" t="s">
        <v>1755</v>
      </c>
      <c r="AJ138" t="s">
        <v>1755</v>
      </c>
      <c r="AK138">
        <v>46164</v>
      </c>
      <c r="AL138">
        <v>0</v>
      </c>
      <c r="AM138">
        <v>0</v>
      </c>
      <c r="AO138" t="s">
        <v>1755</v>
      </c>
      <c r="AP138" t="s">
        <v>1755</v>
      </c>
      <c r="AQ138" t="s">
        <v>1755</v>
      </c>
      <c r="AR138" t="s">
        <v>1755</v>
      </c>
      <c r="AT138" t="s">
        <v>1755</v>
      </c>
      <c r="AU138">
        <v>46276</v>
      </c>
      <c r="AV138">
        <v>9000</v>
      </c>
      <c r="AW138" t="s">
        <v>1755</v>
      </c>
      <c r="AX138" t="s">
        <v>1755</v>
      </c>
      <c r="AY138">
        <v>440</v>
      </c>
      <c r="AZ138" t="s">
        <v>1755</v>
      </c>
      <c r="BA138" t="s">
        <v>1755</v>
      </c>
      <c r="BB138" t="s">
        <v>1755</v>
      </c>
      <c r="BC138" t="s">
        <v>1755</v>
      </c>
      <c r="BD138" t="s">
        <v>1755</v>
      </c>
      <c r="BE138" t="s">
        <v>1755</v>
      </c>
      <c r="BF138">
        <v>55716</v>
      </c>
    </row>
    <row r="139" spans="1:58" x14ac:dyDescent="0.25">
      <c r="A139" t="s">
        <v>1565</v>
      </c>
      <c r="B139" t="s">
        <v>47</v>
      </c>
      <c r="C139" t="s">
        <v>1771</v>
      </c>
      <c r="D139" t="s">
        <v>330</v>
      </c>
      <c r="E139" t="s">
        <v>1755</v>
      </c>
      <c r="F139" t="s">
        <v>1755</v>
      </c>
      <c r="G139" t="s">
        <v>125</v>
      </c>
      <c r="H139" t="s">
        <v>6063</v>
      </c>
      <c r="I139" t="s">
        <v>698</v>
      </c>
      <c r="J139" t="s">
        <v>1755</v>
      </c>
      <c r="K139" t="str">
        <f>CONCATENATE(Shipment_Master_Database[[#This Row],[Exp '#]],"-",Shipment_Master_Database[[#This Row],[B. '#]])</f>
        <v>2343rd--</v>
      </c>
      <c r="L139" t="s">
        <v>6247</v>
      </c>
      <c r="M139" t="s">
        <v>699</v>
      </c>
      <c r="N139" t="s">
        <v>1059</v>
      </c>
      <c r="O139">
        <v>2</v>
      </c>
      <c r="P139">
        <v>1720</v>
      </c>
      <c r="Q139">
        <v>2080</v>
      </c>
      <c r="R139" t="s">
        <v>1755</v>
      </c>
      <c r="S139" t="s">
        <v>1755</v>
      </c>
      <c r="T139" t="s">
        <v>1755</v>
      </c>
      <c r="U139" t="s">
        <v>1755</v>
      </c>
      <c r="AF139" s="19"/>
      <c r="AG139">
        <v>46097</v>
      </c>
      <c r="AH139" t="s">
        <v>1755</v>
      </c>
      <c r="AI139" t="s">
        <v>1755</v>
      </c>
      <c r="AJ139" t="s">
        <v>1755</v>
      </c>
      <c r="AK139">
        <v>46164</v>
      </c>
      <c r="AL139">
        <v>0</v>
      </c>
      <c r="AM139">
        <v>0</v>
      </c>
      <c r="AO139" t="s">
        <v>1755</v>
      </c>
      <c r="AP139" t="s">
        <v>1755</v>
      </c>
      <c r="AQ139" t="s">
        <v>1755</v>
      </c>
      <c r="AR139" t="s">
        <v>1755</v>
      </c>
      <c r="AT139" t="s">
        <v>1755</v>
      </c>
      <c r="AU139">
        <v>4458</v>
      </c>
      <c r="AV139">
        <v>24000</v>
      </c>
      <c r="AW139" t="s">
        <v>1755</v>
      </c>
      <c r="AX139" t="s">
        <v>1755</v>
      </c>
      <c r="AY139">
        <v>2080</v>
      </c>
      <c r="AZ139" t="s">
        <v>1755</v>
      </c>
      <c r="BA139" t="s">
        <v>1755</v>
      </c>
      <c r="BB139" t="s">
        <v>1755</v>
      </c>
      <c r="BC139" t="s">
        <v>1755</v>
      </c>
      <c r="BD139" t="s">
        <v>1755</v>
      </c>
      <c r="BE139" t="s">
        <v>1755</v>
      </c>
      <c r="BF139">
        <v>30538</v>
      </c>
    </row>
    <row r="140" spans="1:58" x14ac:dyDescent="0.25">
      <c r="A140" t="s">
        <v>1565</v>
      </c>
      <c r="B140" t="s">
        <v>47</v>
      </c>
      <c r="C140" t="s">
        <v>1771</v>
      </c>
      <c r="D140" t="s">
        <v>2719</v>
      </c>
      <c r="E140" t="s">
        <v>1755</v>
      </c>
      <c r="F140" t="s">
        <v>1755</v>
      </c>
      <c r="G140" t="s">
        <v>125</v>
      </c>
      <c r="H140" t="s">
        <v>6063</v>
      </c>
      <c r="I140" t="s">
        <v>659</v>
      </c>
      <c r="J140" t="s">
        <v>6145</v>
      </c>
      <c r="K140" t="str">
        <f>CONCATENATE(Shipment_Master_Database[[#This Row],[Exp '#]],"-",Shipment_Master_Database[[#This Row],[B. '#]])</f>
        <v xml:space="preserve">2337th-2nd </v>
      </c>
      <c r="L140" t="s">
        <v>660</v>
      </c>
      <c r="M140" t="s">
        <v>1755</v>
      </c>
      <c r="O140">
        <v>1</v>
      </c>
      <c r="P140">
        <v>235</v>
      </c>
      <c r="Q140">
        <v>295</v>
      </c>
      <c r="R140" t="s">
        <v>1755</v>
      </c>
      <c r="S140" t="s">
        <v>1755</v>
      </c>
      <c r="T140" t="s">
        <v>1755</v>
      </c>
      <c r="U140" t="s">
        <v>1755</v>
      </c>
      <c r="AF140" s="19"/>
      <c r="AG140">
        <v>46097</v>
      </c>
      <c r="AH140" t="s">
        <v>1755</v>
      </c>
      <c r="AI140" t="s">
        <v>1755</v>
      </c>
      <c r="AJ140" t="s">
        <v>1755</v>
      </c>
      <c r="AK140">
        <v>46164</v>
      </c>
      <c r="AL140">
        <v>0</v>
      </c>
      <c r="AM140">
        <v>0</v>
      </c>
      <c r="AO140" t="s">
        <v>1755</v>
      </c>
      <c r="AP140" t="s">
        <v>1755</v>
      </c>
      <c r="AQ140" t="s">
        <v>1755</v>
      </c>
      <c r="AR140" t="s">
        <v>1755</v>
      </c>
      <c r="AT140" t="s">
        <v>1755</v>
      </c>
      <c r="AU140">
        <v>5583</v>
      </c>
      <c r="AV140">
        <v>2100</v>
      </c>
      <c r="AW140" t="s">
        <v>1755</v>
      </c>
      <c r="AX140" t="s">
        <v>1755</v>
      </c>
      <c r="AY140">
        <v>295</v>
      </c>
      <c r="AZ140" t="s">
        <v>1755</v>
      </c>
      <c r="BA140" t="s">
        <v>1755</v>
      </c>
      <c r="BB140" t="s">
        <v>1755</v>
      </c>
      <c r="BC140" t="s">
        <v>1755</v>
      </c>
      <c r="BD140" t="s">
        <v>1755</v>
      </c>
      <c r="BE140" t="s">
        <v>1755</v>
      </c>
      <c r="BF140">
        <v>7978</v>
      </c>
    </row>
    <row r="141" spans="1:58" x14ac:dyDescent="0.25">
      <c r="A141" t="s">
        <v>1565</v>
      </c>
      <c r="B141" t="s">
        <v>47</v>
      </c>
      <c r="C141" t="s">
        <v>1771</v>
      </c>
      <c r="D141" t="s">
        <v>917</v>
      </c>
      <c r="E141" t="s">
        <v>1755</v>
      </c>
      <c r="F141" t="s">
        <v>1755</v>
      </c>
      <c r="G141" t="s">
        <v>125</v>
      </c>
      <c r="H141" t="s">
        <v>6063</v>
      </c>
      <c r="I141" t="s">
        <v>757</v>
      </c>
      <c r="J141" t="s">
        <v>1755</v>
      </c>
      <c r="K141" t="str">
        <f>CONCATENATE(Shipment_Master_Database[[#This Row],[Exp '#]],"-",Shipment_Master_Database[[#This Row],[B. '#]])</f>
        <v>2358th--</v>
      </c>
      <c r="L141" t="s">
        <v>332</v>
      </c>
      <c r="M141" t="s">
        <v>1755</v>
      </c>
      <c r="O141">
        <v>2</v>
      </c>
      <c r="P141">
        <v>1160</v>
      </c>
      <c r="Q141">
        <v>1640</v>
      </c>
      <c r="R141" t="s">
        <v>1755</v>
      </c>
      <c r="S141" t="s">
        <v>1755</v>
      </c>
      <c r="T141" t="s">
        <v>1755</v>
      </c>
      <c r="U141" t="s">
        <v>1755</v>
      </c>
      <c r="AF141" s="19"/>
      <c r="AG141">
        <v>46097</v>
      </c>
      <c r="AH141" t="s">
        <v>1755</v>
      </c>
      <c r="AI141" t="s">
        <v>1755</v>
      </c>
      <c r="AJ141" t="s">
        <v>1755</v>
      </c>
      <c r="AK141">
        <v>46164</v>
      </c>
      <c r="AL141">
        <v>0</v>
      </c>
      <c r="AM141">
        <v>0</v>
      </c>
      <c r="AO141" t="s">
        <v>1755</v>
      </c>
      <c r="AP141" t="s">
        <v>1755</v>
      </c>
      <c r="AQ141" t="s">
        <v>1755</v>
      </c>
      <c r="AR141" t="s">
        <v>1755</v>
      </c>
      <c r="AT141" t="s">
        <v>1755</v>
      </c>
      <c r="AU141">
        <v>41411</v>
      </c>
      <c r="AV141">
        <v>12000</v>
      </c>
      <c r="AW141" t="s">
        <v>1755</v>
      </c>
      <c r="AX141" t="s">
        <v>1755</v>
      </c>
      <c r="AY141">
        <v>1640</v>
      </c>
      <c r="AZ141" t="s">
        <v>1755</v>
      </c>
      <c r="BA141" t="s">
        <v>1755</v>
      </c>
      <c r="BB141" t="s">
        <v>1755</v>
      </c>
      <c r="BC141" t="s">
        <v>1755</v>
      </c>
      <c r="BD141" t="s">
        <v>1755</v>
      </c>
      <c r="BE141" t="s">
        <v>1755</v>
      </c>
      <c r="BF141">
        <v>55051</v>
      </c>
    </row>
    <row r="142" spans="1:58" x14ac:dyDescent="0.25">
      <c r="A142" t="s">
        <v>1565</v>
      </c>
      <c r="B142" t="s">
        <v>47</v>
      </c>
      <c r="C142" t="s">
        <v>1771</v>
      </c>
      <c r="D142" t="s">
        <v>5043</v>
      </c>
      <c r="E142" t="s">
        <v>1364</v>
      </c>
      <c r="F142" t="s">
        <v>1363</v>
      </c>
      <c r="G142" t="s">
        <v>125</v>
      </c>
      <c r="H142" t="s">
        <v>6063</v>
      </c>
      <c r="I142" t="s">
        <v>1358</v>
      </c>
      <c r="J142" t="s">
        <v>1755</v>
      </c>
      <c r="K142" t="str">
        <f>CONCATENATE(Shipment_Master_Database[[#This Row],[Exp '#]],"-",Shipment_Master_Database[[#This Row],[B. '#]])</f>
        <v>MO-0134--</v>
      </c>
      <c r="L142" t="s">
        <v>1361</v>
      </c>
      <c r="M142" t="s">
        <v>1360</v>
      </c>
      <c r="N142" t="s">
        <v>1755</v>
      </c>
      <c r="O142">
        <v>1</v>
      </c>
      <c r="P142">
        <v>800</v>
      </c>
      <c r="Q142">
        <v>900</v>
      </c>
      <c r="R142" t="s">
        <v>263</v>
      </c>
      <c r="S142" t="s">
        <v>129</v>
      </c>
      <c r="T142" t="s">
        <v>670</v>
      </c>
      <c r="U142" t="s">
        <v>1365</v>
      </c>
      <c r="AD142">
        <v>1</v>
      </c>
      <c r="AF142" s="19"/>
      <c r="AG142">
        <v>46090</v>
      </c>
      <c r="AH142">
        <v>46092</v>
      </c>
      <c r="AI142">
        <v>46098</v>
      </c>
      <c r="AJ142">
        <v>46164</v>
      </c>
      <c r="AK142">
        <v>46164</v>
      </c>
      <c r="AL142">
        <v>66</v>
      </c>
      <c r="AM142">
        <v>0</v>
      </c>
      <c r="AO142" t="s">
        <v>1755</v>
      </c>
      <c r="AP142" t="s">
        <v>1268</v>
      </c>
      <c r="AQ142" t="s">
        <v>6061</v>
      </c>
      <c r="AR142" t="s">
        <v>1755</v>
      </c>
      <c r="AT142">
        <v>150</v>
      </c>
      <c r="AU142">
        <v>10353</v>
      </c>
      <c r="AV142">
        <v>5000</v>
      </c>
      <c r="AW142">
        <v>13500</v>
      </c>
      <c r="AX142" t="s">
        <v>1755</v>
      </c>
      <c r="AY142">
        <v>900</v>
      </c>
      <c r="AZ142">
        <v>2500</v>
      </c>
      <c r="BA142">
        <v>10600</v>
      </c>
      <c r="BB142" t="s">
        <v>1755</v>
      </c>
      <c r="BC142" t="s">
        <v>1755</v>
      </c>
      <c r="BD142">
        <v>30453</v>
      </c>
      <c r="BF142">
        <v>73456</v>
      </c>
    </row>
    <row r="143" spans="1:58" x14ac:dyDescent="0.25">
      <c r="A143" t="s">
        <v>1565</v>
      </c>
      <c r="B143" t="s">
        <v>47</v>
      </c>
      <c r="C143" t="s">
        <v>1760</v>
      </c>
      <c r="D143" t="s">
        <v>281</v>
      </c>
      <c r="E143" t="s">
        <v>484</v>
      </c>
      <c r="F143" t="s">
        <v>483</v>
      </c>
      <c r="G143" t="s">
        <v>125</v>
      </c>
      <c r="H143" t="s">
        <v>6069</v>
      </c>
      <c r="I143" t="s">
        <v>481</v>
      </c>
      <c r="J143" t="s">
        <v>1755</v>
      </c>
      <c r="K143" t="str">
        <f>CONCATENATE(Shipment_Master_Database[[#This Row],[Exp '#]],"-",Shipment_Master_Database[[#This Row],[B. '#]])</f>
        <v>2305th--</v>
      </c>
      <c r="L143" t="s">
        <v>482</v>
      </c>
      <c r="M143" t="s">
        <v>115</v>
      </c>
      <c r="N143" t="s">
        <v>32</v>
      </c>
      <c r="O143">
        <v>5</v>
      </c>
      <c r="P143">
        <v>10856</v>
      </c>
      <c r="Q143">
        <v>12056</v>
      </c>
      <c r="R143" t="s">
        <v>263</v>
      </c>
      <c r="S143" t="s">
        <v>129</v>
      </c>
      <c r="T143" t="s">
        <v>452</v>
      </c>
      <c r="U143">
        <v>94397797</v>
      </c>
      <c r="Z143">
        <v>1</v>
      </c>
      <c r="AF143" s="19"/>
      <c r="AG143">
        <v>46055</v>
      </c>
      <c r="AH143">
        <v>46055</v>
      </c>
      <c r="AI143">
        <v>46061</v>
      </c>
      <c r="AJ143">
        <v>46157</v>
      </c>
      <c r="AK143">
        <v>46168</v>
      </c>
      <c r="AL143">
        <v>107</v>
      </c>
      <c r="AM143">
        <v>11</v>
      </c>
      <c r="AO143" t="s">
        <v>1268</v>
      </c>
      <c r="AP143" t="s">
        <v>6085</v>
      </c>
      <c r="AQ143" t="s">
        <v>6061</v>
      </c>
      <c r="AR143" t="s">
        <v>485</v>
      </c>
      <c r="AT143">
        <v>3530</v>
      </c>
      <c r="AU143">
        <v>137031</v>
      </c>
      <c r="AV143">
        <v>77500</v>
      </c>
      <c r="AW143" t="s">
        <v>1755</v>
      </c>
      <c r="AX143" t="s">
        <v>1755</v>
      </c>
      <c r="AY143">
        <v>12056</v>
      </c>
      <c r="AZ143">
        <v>22000</v>
      </c>
      <c r="BA143">
        <v>13475</v>
      </c>
      <c r="BB143" t="s">
        <v>1755</v>
      </c>
      <c r="BC143" t="s">
        <v>1755</v>
      </c>
      <c r="BD143">
        <v>26976</v>
      </c>
      <c r="BE143">
        <v>1085672</v>
      </c>
      <c r="BF143">
        <v>1378240</v>
      </c>
    </row>
    <row r="144" spans="1:58" x14ac:dyDescent="0.25">
      <c r="A144" t="s">
        <v>1565</v>
      </c>
      <c r="B144" t="s">
        <v>47</v>
      </c>
      <c r="C144" t="s">
        <v>1771</v>
      </c>
      <c r="D144" t="s">
        <v>281</v>
      </c>
      <c r="E144" t="s">
        <v>1755</v>
      </c>
      <c r="F144" t="s">
        <v>1755</v>
      </c>
      <c r="G144" t="s">
        <v>1755</v>
      </c>
      <c r="H144" t="s">
        <v>6069</v>
      </c>
      <c r="I144" t="s">
        <v>585</v>
      </c>
      <c r="J144" t="s">
        <v>5815</v>
      </c>
      <c r="K144" t="str">
        <f>CONCATENATE(Shipment_Master_Database[[#This Row],[Exp '#]],"-",Shipment_Master_Database[[#This Row],[B. '#]])</f>
        <v>2324th-Ship with Export # 2305</v>
      </c>
      <c r="L144" t="s">
        <v>586</v>
      </c>
      <c r="M144" t="s">
        <v>115</v>
      </c>
      <c r="N144" t="s">
        <v>4322</v>
      </c>
      <c r="O144">
        <v>1</v>
      </c>
      <c r="P144">
        <v>1310</v>
      </c>
      <c r="Q144">
        <v>1510</v>
      </c>
      <c r="R144" t="s">
        <v>1755</v>
      </c>
      <c r="S144" t="s">
        <v>1755</v>
      </c>
      <c r="T144" t="s">
        <v>1755</v>
      </c>
      <c r="U144" t="s">
        <v>1755</v>
      </c>
      <c r="AF144" s="19"/>
      <c r="AG144">
        <v>46055</v>
      </c>
      <c r="AH144" t="s">
        <v>1755</v>
      </c>
      <c r="AI144" t="s">
        <v>1755</v>
      </c>
      <c r="AJ144" t="s">
        <v>1755</v>
      </c>
      <c r="AK144">
        <v>46168</v>
      </c>
      <c r="AL144">
        <v>0</v>
      </c>
      <c r="AM144">
        <v>0</v>
      </c>
      <c r="AO144" t="s">
        <v>1755</v>
      </c>
      <c r="AP144" t="s">
        <v>1755</v>
      </c>
      <c r="AQ144" t="s">
        <v>1755</v>
      </c>
      <c r="AR144" t="s">
        <v>1755</v>
      </c>
      <c r="AT144" t="s">
        <v>1755</v>
      </c>
      <c r="AU144">
        <v>19813</v>
      </c>
      <c r="AV144">
        <v>60280</v>
      </c>
      <c r="AW144">
        <v>3500</v>
      </c>
      <c r="AX144">
        <v>9000</v>
      </c>
      <c r="AY144">
        <v>1510</v>
      </c>
      <c r="AZ144" t="s">
        <v>1755</v>
      </c>
      <c r="BA144">
        <v>8691</v>
      </c>
      <c r="BB144" t="s">
        <v>1755</v>
      </c>
      <c r="BC144" t="s">
        <v>1755</v>
      </c>
      <c r="BD144" t="s">
        <v>1755</v>
      </c>
      <c r="BE144" t="s">
        <v>1755</v>
      </c>
      <c r="BF144">
        <v>102794</v>
      </c>
    </row>
    <row r="145" spans="1:58" x14ac:dyDescent="0.25">
      <c r="A145" t="s">
        <v>1565</v>
      </c>
      <c r="B145" t="s">
        <v>47</v>
      </c>
      <c r="C145" t="s">
        <v>1771</v>
      </c>
      <c r="D145" t="s">
        <v>281</v>
      </c>
      <c r="E145" t="s">
        <v>1755</v>
      </c>
      <c r="F145" t="s">
        <v>1755</v>
      </c>
      <c r="G145" t="s">
        <v>1755</v>
      </c>
      <c r="H145" t="s">
        <v>6063</v>
      </c>
      <c r="I145" t="s">
        <v>205</v>
      </c>
      <c r="J145" t="s">
        <v>5815</v>
      </c>
      <c r="K145" t="str">
        <f>CONCATENATE(Shipment_Master_Database[[#This Row],[Exp '#]],"-",Shipment_Master_Database[[#This Row],[B. '#]])</f>
        <v>2242nd-Ship with Export # 2305</v>
      </c>
      <c r="L145" t="s">
        <v>208</v>
      </c>
      <c r="M145" t="s">
        <v>207</v>
      </c>
      <c r="N145" t="s">
        <v>3372</v>
      </c>
      <c r="O145">
        <v>2</v>
      </c>
      <c r="P145">
        <v>1490</v>
      </c>
      <c r="Q145">
        <v>1650</v>
      </c>
      <c r="R145" t="s">
        <v>1755</v>
      </c>
      <c r="S145" t="s">
        <v>1755</v>
      </c>
      <c r="T145" t="s">
        <v>1755</v>
      </c>
      <c r="U145" t="s">
        <v>1755</v>
      </c>
      <c r="AF145" s="19"/>
      <c r="AG145">
        <v>46055</v>
      </c>
      <c r="AH145" t="s">
        <v>1755</v>
      </c>
      <c r="AI145" t="s">
        <v>1755</v>
      </c>
      <c r="AJ145" t="s">
        <v>1755</v>
      </c>
      <c r="AK145">
        <v>46168</v>
      </c>
      <c r="AL145">
        <v>0</v>
      </c>
      <c r="AM145">
        <v>0</v>
      </c>
      <c r="AO145" t="s">
        <v>1755</v>
      </c>
      <c r="AP145" t="s">
        <v>1755</v>
      </c>
      <c r="AQ145" t="s">
        <v>1755</v>
      </c>
      <c r="AR145" t="s">
        <v>1755</v>
      </c>
      <c r="AT145" t="s">
        <v>1755</v>
      </c>
      <c r="AU145">
        <v>8854</v>
      </c>
      <c r="AV145">
        <v>7550</v>
      </c>
      <c r="AW145" t="s">
        <v>1755</v>
      </c>
      <c r="AX145" t="s">
        <v>1755</v>
      </c>
      <c r="AY145">
        <v>1650</v>
      </c>
      <c r="AZ145" t="s">
        <v>1755</v>
      </c>
      <c r="BA145">
        <v>8691</v>
      </c>
      <c r="BB145" t="s">
        <v>1755</v>
      </c>
      <c r="BC145" t="s">
        <v>1755</v>
      </c>
      <c r="BD145" t="s">
        <v>1755</v>
      </c>
      <c r="BE145" t="s">
        <v>1755</v>
      </c>
      <c r="BF145">
        <v>26745</v>
      </c>
    </row>
    <row r="146" spans="1:58" x14ac:dyDescent="0.25">
      <c r="A146" t="s">
        <v>1565</v>
      </c>
      <c r="B146" t="s">
        <v>47</v>
      </c>
      <c r="C146" t="s">
        <v>1760</v>
      </c>
      <c r="D146" t="s">
        <v>4110</v>
      </c>
      <c r="E146" t="s">
        <v>272</v>
      </c>
      <c r="F146" t="s">
        <v>271</v>
      </c>
      <c r="G146" t="s">
        <v>125</v>
      </c>
      <c r="H146" t="s">
        <v>6069</v>
      </c>
      <c r="I146" t="s">
        <v>646</v>
      </c>
      <c r="J146" t="s">
        <v>1755</v>
      </c>
      <c r="K146" t="str">
        <f>CONCATENATE(Shipment_Master_Database[[#This Row],[Exp '#]],"-",Shipment_Master_Database[[#This Row],[B. '#]])</f>
        <v>2335th--</v>
      </c>
      <c r="L146" t="s">
        <v>647</v>
      </c>
      <c r="M146" t="s">
        <v>156</v>
      </c>
      <c r="N146" t="s">
        <v>3578</v>
      </c>
      <c r="O146">
        <v>2</v>
      </c>
      <c r="P146">
        <v>21140</v>
      </c>
      <c r="Q146">
        <v>21390</v>
      </c>
      <c r="R146" t="s">
        <v>263</v>
      </c>
      <c r="S146" t="s">
        <v>129</v>
      </c>
      <c r="T146" t="s">
        <v>171</v>
      </c>
      <c r="U146">
        <v>21616363</v>
      </c>
      <c r="W146">
        <v>1</v>
      </c>
      <c r="AF146" s="19"/>
      <c r="AG146">
        <v>46053</v>
      </c>
      <c r="AH146">
        <v>46053</v>
      </c>
      <c r="AI146">
        <v>46075</v>
      </c>
      <c r="AJ146">
        <v>46113</v>
      </c>
      <c r="AK146">
        <v>46173</v>
      </c>
      <c r="AL146">
        <v>98</v>
      </c>
      <c r="AM146">
        <v>60</v>
      </c>
      <c r="AO146" t="s">
        <v>1268</v>
      </c>
      <c r="AP146" t="s">
        <v>6203</v>
      </c>
      <c r="AQ146" t="s">
        <v>6130</v>
      </c>
      <c r="AR146" t="s">
        <v>276</v>
      </c>
      <c r="AT146">
        <v>2545</v>
      </c>
      <c r="BF146">
        <v>2545</v>
      </c>
    </row>
    <row r="147" spans="1:58" x14ac:dyDescent="0.25">
      <c r="A147" t="s">
        <v>1565</v>
      </c>
      <c r="B147" t="s">
        <v>47</v>
      </c>
      <c r="C147" t="s">
        <v>1771</v>
      </c>
      <c r="D147" t="s">
        <v>1326</v>
      </c>
      <c r="E147" t="s">
        <v>738</v>
      </c>
      <c r="F147" t="s">
        <v>737</v>
      </c>
      <c r="G147" t="s">
        <v>181</v>
      </c>
      <c r="H147" t="s">
        <v>6063</v>
      </c>
      <c r="I147" t="s">
        <v>733</v>
      </c>
      <c r="J147" t="s">
        <v>1755</v>
      </c>
      <c r="K147" t="str">
        <f>CONCATENATE(Shipment_Master_Database[[#This Row],[Exp '#]],"-",Shipment_Master_Database[[#This Row],[B. '#]])</f>
        <v>2355th--</v>
      </c>
      <c r="L147" t="s">
        <v>660</v>
      </c>
      <c r="M147" t="s">
        <v>735</v>
      </c>
      <c r="N147" t="s">
        <v>5852</v>
      </c>
      <c r="O147">
        <v>2</v>
      </c>
      <c r="P147">
        <v>690</v>
      </c>
      <c r="Q147">
        <v>930</v>
      </c>
      <c r="R147" t="s">
        <v>263</v>
      </c>
      <c r="S147" t="s">
        <v>129</v>
      </c>
      <c r="T147" t="s">
        <v>739</v>
      </c>
      <c r="U147" t="s">
        <v>740</v>
      </c>
      <c r="AD147">
        <v>1</v>
      </c>
      <c r="AF147" s="19"/>
      <c r="AG147">
        <v>46086</v>
      </c>
      <c r="AH147">
        <v>46090</v>
      </c>
      <c r="AI147">
        <v>46095</v>
      </c>
      <c r="AJ147">
        <v>46172</v>
      </c>
      <c r="AK147">
        <v>46173</v>
      </c>
      <c r="AL147">
        <v>78</v>
      </c>
      <c r="AM147">
        <v>1</v>
      </c>
      <c r="AO147" t="s">
        <v>1268</v>
      </c>
      <c r="AP147" t="s">
        <v>1268</v>
      </c>
      <c r="AQ147" t="s">
        <v>6061</v>
      </c>
      <c r="AR147" t="s">
        <v>1755</v>
      </c>
      <c r="AT147" t="s">
        <v>1755</v>
      </c>
      <c r="AU147">
        <v>25625</v>
      </c>
      <c r="AV147">
        <v>17000</v>
      </c>
      <c r="AW147">
        <v>13500</v>
      </c>
      <c r="AX147" t="s">
        <v>1755</v>
      </c>
      <c r="AY147">
        <v>930</v>
      </c>
      <c r="AZ147">
        <v>2000</v>
      </c>
      <c r="BA147">
        <v>13475</v>
      </c>
      <c r="BB147" t="s">
        <v>1755</v>
      </c>
      <c r="BC147" t="s">
        <v>1755</v>
      </c>
      <c r="BD147">
        <v>36733</v>
      </c>
      <c r="BE147">
        <v>835850</v>
      </c>
      <c r="BF147">
        <v>945113</v>
      </c>
    </row>
    <row r="148" spans="1:58" x14ac:dyDescent="0.25">
      <c r="A148" t="s">
        <v>1565</v>
      </c>
      <c r="B148" t="s">
        <v>47</v>
      </c>
      <c r="C148" t="s">
        <v>1760</v>
      </c>
      <c r="D148" t="s">
        <v>664</v>
      </c>
      <c r="E148" t="s">
        <v>669</v>
      </c>
      <c r="F148" t="s">
        <v>668</v>
      </c>
      <c r="G148" t="s">
        <v>125</v>
      </c>
      <c r="H148" t="s">
        <v>6069</v>
      </c>
      <c r="I148" t="s">
        <v>868</v>
      </c>
      <c r="J148" t="s">
        <v>1755</v>
      </c>
      <c r="K148" t="str">
        <f>CONCATENATE(Shipment_Master_Database[[#This Row],[Exp '#]],"-",Shipment_Master_Database[[#This Row],[B. '#]])</f>
        <v>2381st--</v>
      </c>
      <c r="L148" t="s">
        <v>168</v>
      </c>
      <c r="M148" t="s">
        <v>869</v>
      </c>
      <c r="N148" t="s">
        <v>3435</v>
      </c>
      <c r="O148">
        <v>6</v>
      </c>
      <c r="P148">
        <v>7023</v>
      </c>
      <c r="Q148">
        <v>8490</v>
      </c>
      <c r="R148" t="s">
        <v>263</v>
      </c>
      <c r="S148" t="s">
        <v>129</v>
      </c>
      <c r="T148" t="s">
        <v>182</v>
      </c>
      <c r="U148" t="s">
        <v>870</v>
      </c>
      <c r="V148">
        <v>1</v>
      </c>
      <c r="AF148" s="19"/>
      <c r="AG148">
        <v>46133</v>
      </c>
      <c r="AH148">
        <v>46133</v>
      </c>
      <c r="AI148">
        <v>46137</v>
      </c>
      <c r="AJ148">
        <v>46168</v>
      </c>
      <c r="AK148">
        <v>46175</v>
      </c>
      <c r="AL148">
        <v>38</v>
      </c>
      <c r="AM148">
        <v>7</v>
      </c>
      <c r="AO148" t="s">
        <v>1268</v>
      </c>
      <c r="AP148" t="s">
        <v>6103</v>
      </c>
      <c r="AQ148" t="s">
        <v>6086</v>
      </c>
      <c r="AR148" t="s">
        <v>872</v>
      </c>
      <c r="AT148" t="s">
        <v>6248</v>
      </c>
      <c r="AU148">
        <v>138969</v>
      </c>
      <c r="AV148">
        <v>88000</v>
      </c>
      <c r="AW148" t="s">
        <v>1755</v>
      </c>
      <c r="AX148">
        <v>3000</v>
      </c>
      <c r="AY148">
        <v>8490</v>
      </c>
      <c r="AZ148">
        <v>44900</v>
      </c>
      <c r="BA148">
        <v>13475</v>
      </c>
      <c r="BD148">
        <v>27860</v>
      </c>
      <c r="BE148">
        <v>69764</v>
      </c>
      <c r="BF148">
        <v>394458</v>
      </c>
    </row>
    <row r="149" spans="1:58" x14ac:dyDescent="0.25">
      <c r="A149" t="s">
        <v>1565</v>
      </c>
      <c r="B149" t="s">
        <v>47</v>
      </c>
      <c r="C149" t="s">
        <v>1771</v>
      </c>
      <c r="D149" t="s">
        <v>5531</v>
      </c>
      <c r="E149" t="s">
        <v>738</v>
      </c>
      <c r="F149" t="s">
        <v>737</v>
      </c>
      <c r="G149" t="s">
        <v>181</v>
      </c>
      <c r="H149" t="s">
        <v>6063</v>
      </c>
      <c r="I149" t="s">
        <v>783</v>
      </c>
      <c r="J149" t="s">
        <v>1755</v>
      </c>
      <c r="K149" t="str">
        <f>CONCATENATE(Shipment_Master_Database[[#This Row],[Exp '#]],"-",Shipment_Master_Database[[#This Row],[B. '#]])</f>
        <v>2362nd--</v>
      </c>
      <c r="L149" t="s">
        <v>786</v>
      </c>
      <c r="M149" t="s">
        <v>785</v>
      </c>
      <c r="N149" t="s">
        <v>4306</v>
      </c>
      <c r="O149">
        <v>1</v>
      </c>
      <c r="P149">
        <v>700</v>
      </c>
      <c r="Q149">
        <v>770</v>
      </c>
      <c r="R149" t="s">
        <v>263</v>
      </c>
      <c r="S149" t="s">
        <v>129</v>
      </c>
      <c r="T149" t="s">
        <v>787</v>
      </c>
      <c r="U149" t="s">
        <v>788</v>
      </c>
      <c r="AD149">
        <v>1</v>
      </c>
      <c r="AF149" s="19"/>
      <c r="AG149">
        <v>46097</v>
      </c>
      <c r="AH149">
        <v>46097</v>
      </c>
      <c r="AI149">
        <v>46102</v>
      </c>
      <c r="AJ149">
        <v>46172</v>
      </c>
      <c r="AK149">
        <v>46178</v>
      </c>
      <c r="AL149">
        <v>76</v>
      </c>
      <c r="AM149">
        <v>6</v>
      </c>
      <c r="AO149" t="s">
        <v>1268</v>
      </c>
      <c r="AP149" t="s">
        <v>1268</v>
      </c>
      <c r="AQ149" t="s">
        <v>6061</v>
      </c>
      <c r="AR149" t="s">
        <v>789</v>
      </c>
      <c r="AT149" t="s">
        <v>1755</v>
      </c>
      <c r="AU149">
        <v>10573</v>
      </c>
      <c r="AV149">
        <v>4000</v>
      </c>
      <c r="AW149" t="s">
        <v>1755</v>
      </c>
      <c r="AX149" t="s">
        <v>1755</v>
      </c>
      <c r="AY149">
        <v>770</v>
      </c>
      <c r="AZ149">
        <v>2500</v>
      </c>
      <c r="BB149">
        <v>22000</v>
      </c>
      <c r="BC149">
        <v>2499</v>
      </c>
      <c r="BD149">
        <v>29918</v>
      </c>
      <c r="BE149">
        <v>112496</v>
      </c>
      <c r="BF149">
        <v>184756</v>
      </c>
    </row>
    <row r="150" spans="1:58" x14ac:dyDescent="0.25">
      <c r="A150" t="s">
        <v>1565</v>
      </c>
      <c r="B150" t="s">
        <v>47</v>
      </c>
      <c r="C150" t="s">
        <v>1771</v>
      </c>
      <c r="D150" t="s">
        <v>3387</v>
      </c>
      <c r="E150" t="s">
        <v>307</v>
      </c>
      <c r="F150" t="s">
        <v>146</v>
      </c>
      <c r="G150" t="s">
        <v>125</v>
      </c>
      <c r="H150" t="s">
        <v>6063</v>
      </c>
      <c r="I150" t="s">
        <v>600</v>
      </c>
      <c r="J150" t="s">
        <v>422</v>
      </c>
      <c r="K150" t="str">
        <f>CONCATENATE(Shipment_Master_Database[[#This Row],[Exp '#]],"-",Shipment_Master_Database[[#This Row],[B. '#]])</f>
        <v>2327th-2nd</v>
      </c>
      <c r="L150" t="s">
        <v>4274</v>
      </c>
      <c r="M150" t="s">
        <v>602</v>
      </c>
      <c r="N150" t="s">
        <v>1147</v>
      </c>
      <c r="O150">
        <v>1</v>
      </c>
      <c r="P150" t="s">
        <v>1755</v>
      </c>
      <c r="Q150" t="s">
        <v>1755</v>
      </c>
      <c r="R150" t="s">
        <v>263</v>
      </c>
      <c r="S150" t="s">
        <v>129</v>
      </c>
      <c r="T150" t="s">
        <v>171</v>
      </c>
      <c r="U150">
        <v>26257463</v>
      </c>
      <c r="AA150">
        <v>1</v>
      </c>
      <c r="AF150" s="19"/>
      <c r="AG150">
        <v>46147</v>
      </c>
      <c r="AH150">
        <v>46147</v>
      </c>
      <c r="AI150">
        <v>46162</v>
      </c>
      <c r="AJ150">
        <v>46182</v>
      </c>
      <c r="AK150">
        <v>46182</v>
      </c>
      <c r="AL150">
        <v>20</v>
      </c>
      <c r="AM150">
        <v>0</v>
      </c>
      <c r="AO150" t="s">
        <v>1268</v>
      </c>
      <c r="AP150" t="s">
        <v>6061</v>
      </c>
      <c r="AQ150" t="s">
        <v>6061</v>
      </c>
      <c r="AR150" t="s">
        <v>6249</v>
      </c>
      <c r="AS150" t="s">
        <v>6250</v>
      </c>
      <c r="AT150" t="s">
        <v>6250</v>
      </c>
      <c r="AU150">
        <v>15789</v>
      </c>
      <c r="AV150">
        <v>179725</v>
      </c>
      <c r="AW150" t="s">
        <v>1755</v>
      </c>
      <c r="AX150">
        <v>29000</v>
      </c>
      <c r="AY150" t="s">
        <v>1755</v>
      </c>
      <c r="AZ150">
        <v>359558</v>
      </c>
      <c r="BD150">
        <v>159072</v>
      </c>
      <c r="BE150">
        <v>1022778</v>
      </c>
      <c r="BF150">
        <v>1765922</v>
      </c>
    </row>
    <row r="151" spans="1:58" x14ac:dyDescent="0.25">
      <c r="A151" t="s">
        <v>1565</v>
      </c>
      <c r="B151" t="s">
        <v>47</v>
      </c>
      <c r="C151" t="s">
        <v>1771</v>
      </c>
      <c r="D151" t="s">
        <v>1004</v>
      </c>
      <c r="E151" t="s">
        <v>1755</v>
      </c>
      <c r="F151" t="s">
        <v>1755</v>
      </c>
      <c r="G151" t="s">
        <v>125</v>
      </c>
      <c r="H151" t="s">
        <v>6063</v>
      </c>
      <c r="I151" t="s">
        <v>928</v>
      </c>
      <c r="J151" t="s">
        <v>1755</v>
      </c>
      <c r="K151" t="str">
        <f>CONCATENATE(Shipment_Master_Database[[#This Row],[Exp '#]],"-",Shipment_Master_Database[[#This Row],[B. '#]])</f>
        <v>2392nd--</v>
      </c>
      <c r="L151" t="s">
        <v>660</v>
      </c>
      <c r="M151" t="s">
        <v>929</v>
      </c>
      <c r="N151" t="s">
        <v>1147</v>
      </c>
      <c r="O151">
        <v>2</v>
      </c>
      <c r="P151">
        <v>740</v>
      </c>
      <c r="Q151">
        <v>860</v>
      </c>
      <c r="R151" t="s">
        <v>1755</v>
      </c>
      <c r="S151" t="s">
        <v>1755</v>
      </c>
      <c r="T151" t="s">
        <v>1755</v>
      </c>
      <c r="U151" t="s">
        <v>1755</v>
      </c>
      <c r="V151" t="s">
        <v>1755</v>
      </c>
      <c r="W151" t="s">
        <v>1755</v>
      </c>
      <c r="X151" t="s">
        <v>1755</v>
      </c>
      <c r="Y151" t="s">
        <v>1755</v>
      </c>
      <c r="Z151" t="s">
        <v>1755</v>
      </c>
      <c r="AA151" t="s">
        <v>1755</v>
      </c>
      <c r="AB151" t="s">
        <v>1755</v>
      </c>
      <c r="AC151" t="s">
        <v>1755</v>
      </c>
      <c r="AD151" t="s">
        <v>1755</v>
      </c>
      <c r="AE151" t="s">
        <v>1755</v>
      </c>
      <c r="AF151" s="19"/>
      <c r="AG151">
        <v>46147</v>
      </c>
      <c r="AH151">
        <v>46147</v>
      </c>
      <c r="AI151">
        <v>46162</v>
      </c>
      <c r="AJ151">
        <v>46182</v>
      </c>
      <c r="AK151">
        <v>46182</v>
      </c>
      <c r="AL151">
        <v>20</v>
      </c>
      <c r="AM151">
        <v>0</v>
      </c>
      <c r="AO151" t="s">
        <v>1755</v>
      </c>
      <c r="AP151" t="s">
        <v>1755</v>
      </c>
      <c r="AQ151" t="s">
        <v>1755</v>
      </c>
      <c r="AR151" t="s">
        <v>1755</v>
      </c>
      <c r="AT151" t="s">
        <v>1755</v>
      </c>
      <c r="AU151">
        <v>25717</v>
      </c>
      <c r="AV151">
        <v>7273.2</v>
      </c>
      <c r="AW151" t="s">
        <v>1755</v>
      </c>
      <c r="AX151">
        <v>8000</v>
      </c>
      <c r="AY151">
        <v>860</v>
      </c>
      <c r="AZ151">
        <v>42337</v>
      </c>
      <c r="BD151">
        <v>43663</v>
      </c>
      <c r="BE151" t="s">
        <v>1755</v>
      </c>
      <c r="BF151">
        <v>127850.2</v>
      </c>
    </row>
    <row r="152" spans="1:58" x14ac:dyDescent="0.25">
      <c r="A152" t="s">
        <v>1565</v>
      </c>
      <c r="B152" t="s">
        <v>47</v>
      </c>
      <c r="C152" t="s">
        <v>1771</v>
      </c>
      <c r="D152" t="s">
        <v>1032</v>
      </c>
      <c r="E152" t="s">
        <v>1755</v>
      </c>
      <c r="F152" t="s">
        <v>1755</v>
      </c>
      <c r="G152" t="s">
        <v>125</v>
      </c>
      <c r="H152" t="s">
        <v>6063</v>
      </c>
      <c r="I152" t="s">
        <v>863</v>
      </c>
      <c r="J152" t="s">
        <v>1755</v>
      </c>
      <c r="K152" t="str">
        <f>CONCATENATE(Shipment_Master_Database[[#This Row],[Exp '#]],"-",Shipment_Master_Database[[#This Row],[B. '#]])</f>
        <v>2380th--</v>
      </c>
      <c r="L152" t="s">
        <v>865</v>
      </c>
      <c r="M152" t="s">
        <v>864</v>
      </c>
      <c r="N152" t="s">
        <v>3173</v>
      </c>
      <c r="O152">
        <v>2</v>
      </c>
      <c r="P152">
        <v>990</v>
      </c>
      <c r="Q152">
        <v>1430</v>
      </c>
      <c r="R152" t="s">
        <v>1755</v>
      </c>
      <c r="S152" t="s">
        <v>1755</v>
      </c>
      <c r="T152" t="s">
        <v>1755</v>
      </c>
      <c r="U152" t="s">
        <v>1755</v>
      </c>
      <c r="V152" t="s">
        <v>1755</v>
      </c>
      <c r="W152" t="s">
        <v>1755</v>
      </c>
      <c r="X152" t="s">
        <v>1755</v>
      </c>
      <c r="Y152" t="s">
        <v>1755</v>
      </c>
      <c r="Z152" t="s">
        <v>1755</v>
      </c>
      <c r="AA152" t="s">
        <v>1755</v>
      </c>
      <c r="AB152" t="s">
        <v>1755</v>
      </c>
      <c r="AC152" t="s">
        <v>1755</v>
      </c>
      <c r="AD152" t="s">
        <v>1755</v>
      </c>
      <c r="AE152" t="s">
        <v>1755</v>
      </c>
      <c r="AF152" s="19"/>
      <c r="AG152">
        <v>46147</v>
      </c>
      <c r="AH152">
        <v>46147</v>
      </c>
      <c r="AI152">
        <v>46162</v>
      </c>
      <c r="AJ152">
        <v>46182</v>
      </c>
      <c r="AK152">
        <v>46182</v>
      </c>
      <c r="AL152">
        <v>20</v>
      </c>
      <c r="AM152">
        <v>0</v>
      </c>
      <c r="AO152" t="s">
        <v>1755</v>
      </c>
      <c r="AP152" t="s">
        <v>1755</v>
      </c>
      <c r="AQ152" t="s">
        <v>1755</v>
      </c>
      <c r="AR152" t="s">
        <v>1755</v>
      </c>
      <c r="AT152" t="s">
        <v>1755</v>
      </c>
      <c r="AU152">
        <v>41292</v>
      </c>
      <c r="AV152">
        <v>9123.4</v>
      </c>
      <c r="AW152" t="s">
        <v>1755</v>
      </c>
      <c r="AX152" t="s">
        <v>1755</v>
      </c>
      <c r="AY152">
        <v>1430</v>
      </c>
      <c r="AZ152" t="s">
        <v>1755</v>
      </c>
      <c r="BD152" t="s">
        <v>1755</v>
      </c>
      <c r="BE152" t="s">
        <v>1755</v>
      </c>
      <c r="BF152">
        <v>51845.4</v>
      </c>
    </row>
    <row r="153" spans="1:58" x14ac:dyDescent="0.25">
      <c r="A153" t="s">
        <v>1565</v>
      </c>
      <c r="B153" t="s">
        <v>47</v>
      </c>
      <c r="C153" t="s">
        <v>1771</v>
      </c>
      <c r="D153" t="s">
        <v>1004</v>
      </c>
      <c r="E153" t="s">
        <v>1755</v>
      </c>
      <c r="F153" t="s">
        <v>1755</v>
      </c>
      <c r="G153" t="s">
        <v>125</v>
      </c>
      <c r="H153" t="s">
        <v>6063</v>
      </c>
      <c r="I153" t="s">
        <v>1003</v>
      </c>
      <c r="J153" t="s">
        <v>761</v>
      </c>
      <c r="K153" t="str">
        <f>CONCATENATE(Shipment_Master_Database[[#This Row],[Exp '#]],"-",Shipment_Master_Database[[#This Row],[B. '#]])</f>
        <v>2412nd-1st</v>
      </c>
      <c r="L153" t="s">
        <v>6251</v>
      </c>
      <c r="M153" t="s">
        <v>6252</v>
      </c>
      <c r="N153" t="s">
        <v>3227</v>
      </c>
      <c r="O153">
        <v>4</v>
      </c>
      <c r="P153">
        <v>4000</v>
      </c>
      <c r="Q153">
        <v>7000</v>
      </c>
      <c r="R153" t="s">
        <v>1755</v>
      </c>
      <c r="S153" t="s">
        <v>1755</v>
      </c>
      <c r="T153" t="s">
        <v>1755</v>
      </c>
      <c r="U153" t="s">
        <v>1755</v>
      </c>
      <c r="V153" t="s">
        <v>1755</v>
      </c>
      <c r="W153" t="s">
        <v>1755</v>
      </c>
      <c r="X153" t="s">
        <v>1755</v>
      </c>
      <c r="Y153" t="s">
        <v>1755</v>
      </c>
      <c r="Z153" t="s">
        <v>1755</v>
      </c>
      <c r="AA153" t="s">
        <v>1755</v>
      </c>
      <c r="AB153" t="s">
        <v>1755</v>
      </c>
      <c r="AC153" t="s">
        <v>1755</v>
      </c>
      <c r="AD153" t="s">
        <v>1755</v>
      </c>
      <c r="AE153" t="s">
        <v>1755</v>
      </c>
      <c r="AF153" s="19"/>
      <c r="AG153">
        <v>46147</v>
      </c>
      <c r="AH153">
        <v>46147</v>
      </c>
      <c r="AI153">
        <v>46162</v>
      </c>
      <c r="AJ153">
        <v>46182</v>
      </c>
      <c r="AK153">
        <v>46182</v>
      </c>
      <c r="AL153">
        <v>20</v>
      </c>
      <c r="AM153">
        <v>0</v>
      </c>
      <c r="AO153" t="s">
        <v>1755</v>
      </c>
      <c r="AP153" t="s">
        <v>1755</v>
      </c>
      <c r="AQ153" t="s">
        <v>1755</v>
      </c>
      <c r="AR153" t="s">
        <v>1755</v>
      </c>
      <c r="AT153" t="s">
        <v>1755</v>
      </c>
      <c r="AU153">
        <v>66500</v>
      </c>
      <c r="AV153">
        <v>68393.600000000006</v>
      </c>
      <c r="AW153" t="s">
        <v>1755</v>
      </c>
      <c r="AX153" t="s">
        <v>1755</v>
      </c>
      <c r="AY153">
        <v>7000</v>
      </c>
      <c r="AZ153" t="s">
        <v>1755</v>
      </c>
      <c r="BD153" t="s">
        <v>1755</v>
      </c>
      <c r="BE153" t="s">
        <v>1755</v>
      </c>
      <c r="BF153">
        <v>141893.6</v>
      </c>
    </row>
    <row r="154" spans="1:58" x14ac:dyDescent="0.25">
      <c r="A154" t="s">
        <v>1565</v>
      </c>
      <c r="B154" t="s">
        <v>47</v>
      </c>
      <c r="C154" t="s">
        <v>1771</v>
      </c>
      <c r="D154" t="s">
        <v>3558</v>
      </c>
      <c r="E154" t="s">
        <v>1755</v>
      </c>
      <c r="F154" t="s">
        <v>1755</v>
      </c>
      <c r="G154" t="s">
        <v>125</v>
      </c>
      <c r="H154" t="s">
        <v>6063</v>
      </c>
      <c r="I154" t="s">
        <v>962</v>
      </c>
      <c r="J154" t="s">
        <v>1755</v>
      </c>
      <c r="K154" t="str">
        <f>CONCATENATE(Shipment_Master_Database[[#This Row],[Exp '#]],"-",Shipment_Master_Database[[#This Row],[B. '#]])</f>
        <v>2402nd--</v>
      </c>
      <c r="L154" t="s">
        <v>964</v>
      </c>
      <c r="M154" t="s">
        <v>963</v>
      </c>
      <c r="N154" t="s">
        <v>4288</v>
      </c>
      <c r="O154">
        <v>1</v>
      </c>
      <c r="P154">
        <v>360</v>
      </c>
      <c r="Q154">
        <v>460</v>
      </c>
      <c r="R154" t="s">
        <v>1755</v>
      </c>
      <c r="S154" t="s">
        <v>1755</v>
      </c>
      <c r="T154" t="s">
        <v>1755</v>
      </c>
      <c r="U154" t="s">
        <v>1755</v>
      </c>
      <c r="V154" t="s">
        <v>1755</v>
      </c>
      <c r="W154" t="s">
        <v>1755</v>
      </c>
      <c r="X154" t="s">
        <v>1755</v>
      </c>
      <c r="Y154" t="s">
        <v>1755</v>
      </c>
      <c r="Z154" t="s">
        <v>1755</v>
      </c>
      <c r="AA154" t="s">
        <v>1755</v>
      </c>
      <c r="AB154" t="s">
        <v>1755</v>
      </c>
      <c r="AC154" t="s">
        <v>1755</v>
      </c>
      <c r="AD154" t="s">
        <v>1755</v>
      </c>
      <c r="AE154" t="s">
        <v>1755</v>
      </c>
      <c r="AF154" s="19"/>
      <c r="AG154">
        <v>46147</v>
      </c>
      <c r="AH154">
        <v>46147</v>
      </c>
      <c r="AI154">
        <v>46162</v>
      </c>
      <c r="AJ154">
        <v>46182</v>
      </c>
      <c r="AK154">
        <v>46182</v>
      </c>
      <c r="AL154">
        <v>20</v>
      </c>
      <c r="AM154">
        <v>0</v>
      </c>
      <c r="AO154" t="s">
        <v>1755</v>
      </c>
      <c r="AP154" t="s">
        <v>1755</v>
      </c>
      <c r="AQ154" t="s">
        <v>1755</v>
      </c>
      <c r="AR154" t="s">
        <v>1755</v>
      </c>
      <c r="AT154" t="s">
        <v>1755</v>
      </c>
      <c r="AU154">
        <v>9050</v>
      </c>
      <c r="AV154">
        <v>3317.6</v>
      </c>
      <c r="AW154" t="s">
        <v>1755</v>
      </c>
      <c r="AX154" t="s">
        <v>1755</v>
      </c>
      <c r="AY154">
        <v>460</v>
      </c>
      <c r="AZ154" t="s">
        <v>1755</v>
      </c>
      <c r="BD154" t="s">
        <v>1755</v>
      </c>
      <c r="BE154" t="s">
        <v>1755</v>
      </c>
      <c r="BF154">
        <v>12827.6</v>
      </c>
    </row>
    <row r="155" spans="1:58" x14ac:dyDescent="0.25">
      <c r="A155" t="s">
        <v>1565</v>
      </c>
      <c r="B155" t="s">
        <v>47</v>
      </c>
      <c r="C155" t="s">
        <v>1771</v>
      </c>
      <c r="D155" t="s">
        <v>3558</v>
      </c>
      <c r="E155" t="s">
        <v>1755</v>
      </c>
      <c r="F155" t="s">
        <v>1755</v>
      </c>
      <c r="G155" t="s">
        <v>125</v>
      </c>
      <c r="H155" t="s">
        <v>6063</v>
      </c>
      <c r="I155" t="s">
        <v>923</v>
      </c>
      <c r="J155" t="s">
        <v>1755</v>
      </c>
      <c r="K155" t="str">
        <f>CONCATENATE(Shipment_Master_Database[[#This Row],[Exp '#]],"-",Shipment_Master_Database[[#This Row],[B. '#]])</f>
        <v>2390th--</v>
      </c>
      <c r="L155" t="s">
        <v>899</v>
      </c>
      <c r="M155" t="s">
        <v>924</v>
      </c>
      <c r="N155" t="s">
        <v>3426</v>
      </c>
      <c r="O155">
        <v>1</v>
      </c>
      <c r="P155">
        <v>730</v>
      </c>
      <c r="Q155">
        <v>825</v>
      </c>
      <c r="R155" t="s">
        <v>1755</v>
      </c>
      <c r="S155" t="s">
        <v>1755</v>
      </c>
      <c r="T155" t="s">
        <v>1755</v>
      </c>
      <c r="U155" t="s">
        <v>1755</v>
      </c>
      <c r="V155" t="s">
        <v>1755</v>
      </c>
      <c r="W155" t="s">
        <v>1755</v>
      </c>
      <c r="X155" t="s">
        <v>1755</v>
      </c>
      <c r="Y155" t="s">
        <v>1755</v>
      </c>
      <c r="Z155" t="s">
        <v>1755</v>
      </c>
      <c r="AA155" t="s">
        <v>1755</v>
      </c>
      <c r="AB155" t="s">
        <v>1755</v>
      </c>
      <c r="AC155" t="s">
        <v>1755</v>
      </c>
      <c r="AD155" t="s">
        <v>1755</v>
      </c>
      <c r="AE155" t="s">
        <v>1755</v>
      </c>
      <c r="AF155" s="19"/>
      <c r="AG155">
        <v>46147</v>
      </c>
      <c r="AH155">
        <v>46147</v>
      </c>
      <c r="AI155">
        <v>46162</v>
      </c>
      <c r="AJ155">
        <v>46182</v>
      </c>
      <c r="AK155">
        <v>46182</v>
      </c>
      <c r="AL155">
        <v>20</v>
      </c>
      <c r="AM155">
        <v>0</v>
      </c>
      <c r="AO155" t="s">
        <v>1755</v>
      </c>
      <c r="AP155" t="s">
        <v>1755</v>
      </c>
      <c r="AQ155" t="s">
        <v>1755</v>
      </c>
      <c r="AR155" t="s">
        <v>1755</v>
      </c>
      <c r="AT155" t="s">
        <v>1755</v>
      </c>
      <c r="AU155">
        <v>11580</v>
      </c>
      <c r="AV155">
        <v>25600</v>
      </c>
      <c r="AW155" t="s">
        <v>1755</v>
      </c>
      <c r="AX155" t="s">
        <v>1755</v>
      </c>
      <c r="AY155">
        <v>825</v>
      </c>
      <c r="AZ155" t="s">
        <v>1755</v>
      </c>
      <c r="BD155" t="s">
        <v>1755</v>
      </c>
      <c r="BE155" t="s">
        <v>1755</v>
      </c>
      <c r="BF155">
        <v>38005</v>
      </c>
    </row>
    <row r="156" spans="1:58" x14ac:dyDescent="0.25">
      <c r="A156" t="s">
        <v>1565</v>
      </c>
      <c r="B156" t="s">
        <v>47</v>
      </c>
      <c r="C156" t="s">
        <v>1771</v>
      </c>
      <c r="D156" t="s">
        <v>917</v>
      </c>
      <c r="E156" t="s">
        <v>1755</v>
      </c>
      <c r="F156" t="s">
        <v>1755</v>
      </c>
      <c r="G156" t="s">
        <v>125</v>
      </c>
      <c r="H156" t="s">
        <v>6063</v>
      </c>
      <c r="I156" t="s">
        <v>916</v>
      </c>
      <c r="J156" t="s">
        <v>1755</v>
      </c>
      <c r="K156" t="str">
        <f>CONCATENATE(Shipment_Master_Database[[#This Row],[Exp '#]],"-",Shipment_Master_Database[[#This Row],[B. '#]])</f>
        <v>2389th--</v>
      </c>
      <c r="L156" t="s">
        <v>660</v>
      </c>
      <c r="M156" t="s">
        <v>918</v>
      </c>
      <c r="N156" t="s">
        <v>4304</v>
      </c>
      <c r="O156">
        <v>3</v>
      </c>
      <c r="P156">
        <v>1015</v>
      </c>
      <c r="Q156">
        <v>1445</v>
      </c>
      <c r="R156" t="s">
        <v>1755</v>
      </c>
      <c r="S156" t="s">
        <v>1755</v>
      </c>
      <c r="T156" t="s">
        <v>1755</v>
      </c>
      <c r="U156" t="s">
        <v>1755</v>
      </c>
      <c r="V156" t="s">
        <v>1755</v>
      </c>
      <c r="W156" t="s">
        <v>1755</v>
      </c>
      <c r="X156" t="s">
        <v>1755</v>
      </c>
      <c r="Y156" t="s">
        <v>1755</v>
      </c>
      <c r="Z156" t="s">
        <v>1755</v>
      </c>
      <c r="AA156" t="s">
        <v>1755</v>
      </c>
      <c r="AB156" t="s">
        <v>1755</v>
      </c>
      <c r="AC156" t="s">
        <v>1755</v>
      </c>
      <c r="AD156" t="s">
        <v>1755</v>
      </c>
      <c r="AE156" t="s">
        <v>1755</v>
      </c>
      <c r="AF156" s="19"/>
      <c r="AG156">
        <v>46147</v>
      </c>
      <c r="AH156">
        <v>46147</v>
      </c>
      <c r="AI156">
        <v>46162</v>
      </c>
      <c r="AJ156">
        <v>46182</v>
      </c>
      <c r="AK156">
        <v>46182</v>
      </c>
      <c r="AL156">
        <v>20</v>
      </c>
      <c r="AM156">
        <v>0</v>
      </c>
      <c r="AO156" t="s">
        <v>1755</v>
      </c>
      <c r="AP156" t="s">
        <v>1755</v>
      </c>
      <c r="AQ156" t="s">
        <v>1755</v>
      </c>
      <c r="AR156" t="s">
        <v>1755</v>
      </c>
      <c r="AT156" t="s">
        <v>1755</v>
      </c>
      <c r="AU156">
        <v>26458</v>
      </c>
      <c r="AV156">
        <v>36800</v>
      </c>
      <c r="AW156" t="s">
        <v>1755</v>
      </c>
      <c r="AX156" t="s">
        <v>1755</v>
      </c>
      <c r="AY156">
        <v>1445</v>
      </c>
      <c r="AZ156" t="s">
        <v>1755</v>
      </c>
      <c r="BD156" t="s">
        <v>1755</v>
      </c>
      <c r="BE156" t="s">
        <v>1755</v>
      </c>
      <c r="BF156">
        <v>64703</v>
      </c>
    </row>
    <row r="157" spans="1:58" x14ac:dyDescent="0.25">
      <c r="A157" t="s">
        <v>1565</v>
      </c>
      <c r="B157" t="s">
        <v>47</v>
      </c>
      <c r="C157" t="s">
        <v>1771</v>
      </c>
      <c r="D157" t="s">
        <v>3558</v>
      </c>
      <c r="E157" t="s">
        <v>1755</v>
      </c>
      <c r="F157" t="s">
        <v>1755</v>
      </c>
      <c r="G157" t="s">
        <v>125</v>
      </c>
      <c r="H157" t="s">
        <v>6063</v>
      </c>
      <c r="I157" t="s">
        <v>936</v>
      </c>
      <c r="J157" t="s">
        <v>1755</v>
      </c>
      <c r="K157" t="str">
        <f>CONCATENATE(Shipment_Master_Database[[#This Row],[Exp '#]],"-",Shipment_Master_Database[[#This Row],[B. '#]])</f>
        <v>2395th--</v>
      </c>
      <c r="L157" t="s">
        <v>6253</v>
      </c>
      <c r="M157" t="s">
        <v>937</v>
      </c>
      <c r="N157" t="s">
        <v>32</v>
      </c>
      <c r="O157">
        <v>1</v>
      </c>
      <c r="P157">
        <v>50</v>
      </c>
      <c r="Q157">
        <v>60</v>
      </c>
      <c r="R157" t="s">
        <v>1755</v>
      </c>
      <c r="S157" t="s">
        <v>1755</v>
      </c>
      <c r="T157" t="s">
        <v>1755</v>
      </c>
      <c r="U157" t="s">
        <v>1755</v>
      </c>
      <c r="V157" t="s">
        <v>1755</v>
      </c>
      <c r="W157" t="s">
        <v>1755</v>
      </c>
      <c r="X157" t="s">
        <v>1755</v>
      </c>
      <c r="Y157" t="s">
        <v>1755</v>
      </c>
      <c r="Z157" t="s">
        <v>1755</v>
      </c>
      <c r="AA157" t="s">
        <v>1755</v>
      </c>
      <c r="AB157" t="s">
        <v>1755</v>
      </c>
      <c r="AC157" t="s">
        <v>1755</v>
      </c>
      <c r="AD157" t="s">
        <v>1755</v>
      </c>
      <c r="AE157" t="s">
        <v>1755</v>
      </c>
      <c r="AF157" s="19"/>
      <c r="AG157">
        <v>46147</v>
      </c>
      <c r="AH157">
        <v>46147</v>
      </c>
      <c r="AI157">
        <v>46162</v>
      </c>
      <c r="AJ157">
        <v>46182</v>
      </c>
      <c r="AK157">
        <v>46182</v>
      </c>
      <c r="AL157">
        <v>20</v>
      </c>
      <c r="AM157">
        <v>0</v>
      </c>
      <c r="AO157" t="s">
        <v>1755</v>
      </c>
      <c r="AP157" t="s">
        <v>1755</v>
      </c>
      <c r="AQ157" t="s">
        <v>1755</v>
      </c>
      <c r="AR157" t="s">
        <v>1755</v>
      </c>
      <c r="AT157" t="s">
        <v>1755</v>
      </c>
      <c r="AU157">
        <v>12580</v>
      </c>
      <c r="AV157">
        <v>2560</v>
      </c>
      <c r="AW157" t="s">
        <v>1755</v>
      </c>
      <c r="AX157" t="s">
        <v>1755</v>
      </c>
      <c r="AY157">
        <v>60</v>
      </c>
      <c r="AZ157" t="s">
        <v>1755</v>
      </c>
      <c r="BD157" t="s">
        <v>1755</v>
      </c>
      <c r="BE157" t="s">
        <v>1755</v>
      </c>
      <c r="BF157">
        <v>15200</v>
      </c>
    </row>
    <row r="158" spans="1:58" x14ac:dyDescent="0.25">
      <c r="A158" t="s">
        <v>1565</v>
      </c>
      <c r="B158" t="s">
        <v>47</v>
      </c>
      <c r="C158" t="s">
        <v>1771</v>
      </c>
      <c r="D158" t="s">
        <v>3558</v>
      </c>
      <c r="E158" t="s">
        <v>1755</v>
      </c>
      <c r="F158" t="s">
        <v>1755</v>
      </c>
      <c r="G158" t="s">
        <v>125</v>
      </c>
      <c r="H158" t="s">
        <v>6069</v>
      </c>
      <c r="I158" t="s">
        <v>843</v>
      </c>
      <c r="J158" t="s">
        <v>1755</v>
      </c>
      <c r="K158" t="str">
        <f>CONCATENATE(Shipment_Master_Database[[#This Row],[Exp '#]],"-",Shipment_Master_Database[[#This Row],[B. '#]])</f>
        <v>2375th--</v>
      </c>
      <c r="L158" t="s">
        <v>846</v>
      </c>
      <c r="M158" t="s">
        <v>845</v>
      </c>
      <c r="N158" t="s">
        <v>32</v>
      </c>
      <c r="O158">
        <v>3</v>
      </c>
      <c r="P158">
        <v>929</v>
      </c>
      <c r="Q158">
        <v>1105</v>
      </c>
      <c r="R158" t="s">
        <v>1755</v>
      </c>
      <c r="S158" t="s">
        <v>1755</v>
      </c>
      <c r="T158" t="s">
        <v>1755</v>
      </c>
      <c r="U158" t="s">
        <v>1755</v>
      </c>
      <c r="V158" t="s">
        <v>1755</v>
      </c>
      <c r="W158" t="s">
        <v>1755</v>
      </c>
      <c r="X158" t="s">
        <v>1755</v>
      </c>
      <c r="Y158" t="s">
        <v>1755</v>
      </c>
      <c r="Z158" t="s">
        <v>1755</v>
      </c>
      <c r="AA158" t="s">
        <v>1755</v>
      </c>
      <c r="AB158" t="s">
        <v>1755</v>
      </c>
      <c r="AC158" t="s">
        <v>1755</v>
      </c>
      <c r="AD158" t="s">
        <v>1755</v>
      </c>
      <c r="AE158" t="s">
        <v>1755</v>
      </c>
      <c r="AF158" s="19"/>
      <c r="AG158">
        <v>46147</v>
      </c>
      <c r="AH158">
        <v>46147</v>
      </c>
      <c r="AI158">
        <v>46162</v>
      </c>
      <c r="AJ158">
        <v>46182</v>
      </c>
      <c r="AK158">
        <v>46182</v>
      </c>
      <c r="AL158">
        <v>20</v>
      </c>
      <c r="AM158">
        <v>0</v>
      </c>
      <c r="AO158" t="s">
        <v>1755</v>
      </c>
      <c r="AP158" t="s">
        <v>1755</v>
      </c>
      <c r="AQ158" t="s">
        <v>1755</v>
      </c>
      <c r="AR158" t="s">
        <v>1755</v>
      </c>
      <c r="AT158" t="s">
        <v>1755</v>
      </c>
      <c r="AU158">
        <v>48796</v>
      </c>
      <c r="AV158">
        <v>33120</v>
      </c>
      <c r="AW158" t="s">
        <v>1755</v>
      </c>
      <c r="AX158" t="s">
        <v>1755</v>
      </c>
      <c r="AY158">
        <v>1105</v>
      </c>
      <c r="AZ158" t="s">
        <v>1755</v>
      </c>
      <c r="BD158" t="s">
        <v>1755</v>
      </c>
      <c r="BE158" t="s">
        <v>1755</v>
      </c>
      <c r="BF158">
        <v>83021</v>
      </c>
    </row>
    <row r="159" spans="1:58" x14ac:dyDescent="0.25">
      <c r="A159" t="s">
        <v>1565</v>
      </c>
      <c r="B159" t="s">
        <v>47</v>
      </c>
      <c r="C159" t="s">
        <v>1760</v>
      </c>
      <c r="D159" t="s">
        <v>38</v>
      </c>
      <c r="E159" t="s">
        <v>441</v>
      </c>
      <c r="F159" t="s">
        <v>6254</v>
      </c>
      <c r="G159" t="s">
        <v>181</v>
      </c>
      <c r="H159" t="s">
        <v>6069</v>
      </c>
      <c r="I159" t="s">
        <v>526</v>
      </c>
      <c r="J159" t="s">
        <v>5634</v>
      </c>
      <c r="K159" t="str">
        <f>CONCATENATE(Shipment_Master_Database[[#This Row],[Exp '#]],"-",Shipment_Master_Database[[#This Row],[B. '#]])</f>
        <v>2313rd-LC</v>
      </c>
      <c r="L159" t="s">
        <v>115</v>
      </c>
      <c r="M159" t="s">
        <v>527</v>
      </c>
      <c r="N159" t="s">
        <v>978</v>
      </c>
      <c r="O159">
        <v>2</v>
      </c>
      <c r="P159">
        <v>8238</v>
      </c>
      <c r="Q159">
        <v>8900</v>
      </c>
      <c r="R159" t="s">
        <v>263</v>
      </c>
      <c r="S159" t="s">
        <v>129</v>
      </c>
      <c r="T159" t="s">
        <v>182</v>
      </c>
      <c r="U159" t="s">
        <v>528</v>
      </c>
      <c r="V159">
        <v>1</v>
      </c>
      <c r="AF159" s="19"/>
      <c r="AG159">
        <v>46129</v>
      </c>
      <c r="AH159">
        <v>46132</v>
      </c>
      <c r="AI159">
        <v>46143</v>
      </c>
      <c r="AJ159">
        <v>46172</v>
      </c>
      <c r="AK159">
        <v>46184</v>
      </c>
      <c r="AL159">
        <v>41</v>
      </c>
      <c r="AM159">
        <v>12</v>
      </c>
      <c r="AO159" t="s">
        <v>1268</v>
      </c>
      <c r="AP159" t="s">
        <v>6077</v>
      </c>
      <c r="AQ159" t="s">
        <v>6061</v>
      </c>
      <c r="AR159" t="s">
        <v>530</v>
      </c>
      <c r="AT159" t="s">
        <v>6255</v>
      </c>
      <c r="AU159">
        <v>66896</v>
      </c>
      <c r="AV159">
        <v>8250</v>
      </c>
      <c r="AW159" t="s">
        <v>1755</v>
      </c>
      <c r="AX159">
        <v>2000</v>
      </c>
      <c r="AY159">
        <v>8900</v>
      </c>
      <c r="AZ159">
        <v>21500</v>
      </c>
      <c r="BA159">
        <v>8691</v>
      </c>
      <c r="BC159">
        <v>27384</v>
      </c>
      <c r="BD159">
        <v>33334</v>
      </c>
      <c r="BE159">
        <v>345692</v>
      </c>
      <c r="BF159">
        <v>522647</v>
      </c>
    </row>
    <row r="160" spans="1:58" x14ac:dyDescent="0.25">
      <c r="A160" t="s">
        <v>1565</v>
      </c>
      <c r="B160" t="s">
        <v>47</v>
      </c>
      <c r="C160" t="s">
        <v>1760</v>
      </c>
      <c r="D160" t="s">
        <v>38</v>
      </c>
      <c r="E160" t="s">
        <v>441</v>
      </c>
      <c r="F160" t="s">
        <v>6254</v>
      </c>
      <c r="G160" t="s">
        <v>181</v>
      </c>
      <c r="H160" t="s">
        <v>6069</v>
      </c>
      <c r="I160" t="s">
        <v>556</v>
      </c>
      <c r="J160" t="s">
        <v>5634</v>
      </c>
      <c r="K160" t="str">
        <f>CONCATENATE(Shipment_Master_Database[[#This Row],[Exp '#]],"-",Shipment_Master_Database[[#This Row],[B. '#]])</f>
        <v>2319th-LC</v>
      </c>
      <c r="L160" t="s">
        <v>156</v>
      </c>
      <c r="M160" t="s">
        <v>557</v>
      </c>
      <c r="N160" t="s">
        <v>5828</v>
      </c>
      <c r="O160">
        <v>1</v>
      </c>
      <c r="P160">
        <v>29574</v>
      </c>
      <c r="Q160">
        <v>30025</v>
      </c>
      <c r="R160" t="s">
        <v>263</v>
      </c>
      <c r="S160" t="s">
        <v>129</v>
      </c>
      <c r="T160" t="s">
        <v>182</v>
      </c>
      <c r="U160" t="s">
        <v>558</v>
      </c>
      <c r="AB160">
        <v>1</v>
      </c>
      <c r="AF160" s="19"/>
      <c r="AG160">
        <v>46129</v>
      </c>
      <c r="AH160">
        <v>46132</v>
      </c>
      <c r="AI160">
        <v>46143</v>
      </c>
      <c r="AJ160">
        <v>46172</v>
      </c>
      <c r="AK160">
        <v>46184</v>
      </c>
      <c r="AL160">
        <v>41</v>
      </c>
      <c r="AM160">
        <v>12</v>
      </c>
      <c r="AO160" t="s">
        <v>1268</v>
      </c>
      <c r="AP160" t="s">
        <v>6077</v>
      </c>
      <c r="AQ160" t="s">
        <v>6061</v>
      </c>
      <c r="AR160" t="s">
        <v>530</v>
      </c>
      <c r="AT160" t="s">
        <v>6256</v>
      </c>
      <c r="AU160">
        <v>28313</v>
      </c>
      <c r="AV160">
        <v>150000</v>
      </c>
      <c r="AW160" t="s">
        <v>1755</v>
      </c>
      <c r="AX160">
        <v>20600</v>
      </c>
      <c r="AY160">
        <v>30025</v>
      </c>
      <c r="AZ160">
        <v>68841</v>
      </c>
      <c r="BC160">
        <v>14768</v>
      </c>
      <c r="BD160">
        <v>43371</v>
      </c>
      <c r="BE160">
        <v>943183</v>
      </c>
      <c r="BF160">
        <v>1299101</v>
      </c>
    </row>
    <row r="161" spans="1:58" x14ac:dyDescent="0.25">
      <c r="A161" t="s">
        <v>1565</v>
      </c>
      <c r="B161" t="s">
        <v>47</v>
      </c>
      <c r="C161" t="s">
        <v>1771</v>
      </c>
      <c r="D161" t="s">
        <v>6257</v>
      </c>
      <c r="E161" t="s">
        <v>307</v>
      </c>
      <c r="F161" t="s">
        <v>146</v>
      </c>
      <c r="G161" t="s">
        <v>157</v>
      </c>
      <c r="H161" t="s">
        <v>6258</v>
      </c>
      <c r="I161" t="s">
        <v>1239</v>
      </c>
      <c r="J161" t="s">
        <v>761</v>
      </c>
      <c r="K161" t="str">
        <f>CONCATENATE(Shipment_Master_Database[[#This Row],[Exp '#]],"-",Shipment_Master_Database[[#This Row],[B. '#]])</f>
        <v>25-041-1st</v>
      </c>
      <c r="L161" t="s">
        <v>6259</v>
      </c>
      <c r="M161" t="s">
        <v>6260</v>
      </c>
      <c r="N161" t="s">
        <v>1147</v>
      </c>
      <c r="O161">
        <v>3</v>
      </c>
      <c r="P161">
        <v>2260</v>
      </c>
      <c r="Q161">
        <v>2705</v>
      </c>
      <c r="R161" t="s">
        <v>263</v>
      </c>
      <c r="S161" t="s">
        <v>129</v>
      </c>
      <c r="T161" t="s">
        <v>171</v>
      </c>
      <c r="U161">
        <v>22105554</v>
      </c>
      <c r="W161">
        <v>1</v>
      </c>
      <c r="AF161" s="19"/>
      <c r="AG161">
        <v>46153</v>
      </c>
      <c r="AH161">
        <v>46154</v>
      </c>
      <c r="AI161">
        <v>46169</v>
      </c>
      <c r="AJ161">
        <v>46185</v>
      </c>
      <c r="AK161">
        <v>46192</v>
      </c>
      <c r="AL161">
        <v>23</v>
      </c>
      <c r="AM161">
        <v>7</v>
      </c>
      <c r="AO161" t="s">
        <v>1268</v>
      </c>
      <c r="AP161" t="s">
        <v>6061</v>
      </c>
      <c r="AQ161" t="s">
        <v>6061</v>
      </c>
      <c r="AR161" t="s">
        <v>1243</v>
      </c>
      <c r="AS161" t="s">
        <v>1755</v>
      </c>
      <c r="AT161" t="s">
        <v>6261</v>
      </c>
      <c r="AU161">
        <v>128500</v>
      </c>
      <c r="AV161">
        <v>46420</v>
      </c>
      <c r="AW161" t="s">
        <v>1755</v>
      </c>
      <c r="AX161">
        <v>6000</v>
      </c>
      <c r="AY161">
        <v>2705</v>
      </c>
      <c r="AZ161">
        <v>33026</v>
      </c>
      <c r="BD161">
        <v>32663</v>
      </c>
      <c r="BE161">
        <v>942880</v>
      </c>
      <c r="BF161">
        <v>1192194</v>
      </c>
    </row>
    <row r="162" spans="1:58" x14ac:dyDescent="0.25">
      <c r="A162" t="s">
        <v>1565</v>
      </c>
      <c r="B162" t="s">
        <v>47</v>
      </c>
      <c r="C162" t="s">
        <v>1771</v>
      </c>
      <c r="D162" t="s">
        <v>6257</v>
      </c>
      <c r="E162" t="s">
        <v>307</v>
      </c>
      <c r="F162" t="s">
        <v>146</v>
      </c>
      <c r="G162" t="s">
        <v>157</v>
      </c>
      <c r="H162" t="s">
        <v>6258</v>
      </c>
      <c r="I162" t="s">
        <v>1244</v>
      </c>
      <c r="J162" t="s">
        <v>1755</v>
      </c>
      <c r="K162" t="str">
        <f>CONCATENATE(Shipment_Master_Database[[#This Row],[Exp '#]],"-",Shipment_Master_Database[[#This Row],[B. '#]])</f>
        <v>25-042--</v>
      </c>
      <c r="L162" t="s">
        <v>6158</v>
      </c>
      <c r="M162" t="s">
        <v>6262</v>
      </c>
      <c r="N162" t="s">
        <v>1147</v>
      </c>
      <c r="O162">
        <v>2</v>
      </c>
      <c r="P162">
        <v>1240</v>
      </c>
      <c r="Q162">
        <v>1600</v>
      </c>
      <c r="R162" t="s">
        <v>263</v>
      </c>
      <c r="S162" t="s">
        <v>129</v>
      </c>
      <c r="T162" t="s">
        <v>171</v>
      </c>
      <c r="AF162" s="19"/>
      <c r="AG162">
        <v>46153</v>
      </c>
      <c r="AI162">
        <v>46169</v>
      </c>
      <c r="AJ162">
        <v>46185</v>
      </c>
      <c r="AK162">
        <v>46192</v>
      </c>
      <c r="AL162">
        <v>23</v>
      </c>
      <c r="AM162">
        <v>7</v>
      </c>
      <c r="AO162" t="s">
        <v>1268</v>
      </c>
      <c r="AV162">
        <v>37136</v>
      </c>
      <c r="AW162" t="s">
        <v>1755</v>
      </c>
      <c r="AX162" t="s">
        <v>1755</v>
      </c>
      <c r="AY162">
        <v>1600</v>
      </c>
      <c r="AZ162" t="s">
        <v>1755</v>
      </c>
      <c r="BD162" t="s">
        <v>1755</v>
      </c>
      <c r="BE162" t="s">
        <v>1755</v>
      </c>
      <c r="BF162">
        <v>38736</v>
      </c>
    </row>
    <row r="163" spans="1:58" x14ac:dyDescent="0.25">
      <c r="A163" t="s">
        <v>1565</v>
      </c>
      <c r="B163" t="s">
        <v>47</v>
      </c>
      <c r="C163" t="s">
        <v>1771</v>
      </c>
      <c r="D163" t="s">
        <v>154</v>
      </c>
      <c r="E163" t="s">
        <v>594</v>
      </c>
      <c r="F163" t="s">
        <v>801</v>
      </c>
      <c r="G163" t="s">
        <v>157</v>
      </c>
      <c r="H163" t="s">
        <v>6063</v>
      </c>
      <c r="I163" t="s">
        <v>796</v>
      </c>
      <c r="J163" t="s">
        <v>1755</v>
      </c>
      <c r="K163" t="str">
        <f>CONCATENATE(Shipment_Master_Database[[#This Row],[Exp '#]],"-",Shipment_Master_Database[[#This Row],[B. '#]])</f>
        <v>2365th--</v>
      </c>
      <c r="L163" t="s">
        <v>798</v>
      </c>
      <c r="M163" t="s">
        <v>797</v>
      </c>
      <c r="N163" t="s">
        <v>4258</v>
      </c>
      <c r="O163">
        <v>1</v>
      </c>
      <c r="P163">
        <v>3525</v>
      </c>
      <c r="Q163">
        <v>3575</v>
      </c>
      <c r="R163" t="s">
        <v>182</v>
      </c>
      <c r="S163" t="s">
        <v>129</v>
      </c>
      <c r="T163" t="s">
        <v>182</v>
      </c>
      <c r="U163" t="s">
        <v>802</v>
      </c>
      <c r="V163">
        <v>1</v>
      </c>
      <c r="AF163" s="19"/>
      <c r="AG163">
        <v>46133</v>
      </c>
      <c r="AH163">
        <v>46135</v>
      </c>
      <c r="AI163">
        <v>46143</v>
      </c>
      <c r="AJ163">
        <v>46200</v>
      </c>
      <c r="AK163">
        <v>46202</v>
      </c>
      <c r="AL163">
        <v>59</v>
      </c>
      <c r="AM163">
        <v>2</v>
      </c>
      <c r="AO163" t="s">
        <v>1268</v>
      </c>
      <c r="AQ163" t="s">
        <v>6061</v>
      </c>
      <c r="AR163" t="s">
        <v>6263</v>
      </c>
      <c r="AT163" t="s">
        <v>1755</v>
      </c>
      <c r="AU163">
        <v>11000</v>
      </c>
      <c r="AV163">
        <v>38000</v>
      </c>
      <c r="AW163" t="s">
        <v>1755</v>
      </c>
      <c r="AX163">
        <v>3000</v>
      </c>
      <c r="AY163">
        <v>3575</v>
      </c>
      <c r="AZ163">
        <v>26900</v>
      </c>
      <c r="BA163">
        <v>13475</v>
      </c>
      <c r="BD163">
        <v>31783</v>
      </c>
      <c r="BE163" t="s">
        <v>1755</v>
      </c>
      <c r="BF163">
        <v>127733</v>
      </c>
    </row>
    <row r="164" spans="1:58" x14ac:dyDescent="0.25">
      <c r="A164" t="s">
        <v>1565</v>
      </c>
      <c r="B164" t="s">
        <v>47</v>
      </c>
      <c r="C164" t="s">
        <v>1771</v>
      </c>
      <c r="D164" t="s">
        <v>122</v>
      </c>
      <c r="E164" t="s">
        <v>127</v>
      </c>
      <c r="F164" t="s">
        <v>126</v>
      </c>
      <c r="G164" t="s">
        <v>125</v>
      </c>
      <c r="H164" t="s">
        <v>6069</v>
      </c>
      <c r="I164" t="s">
        <v>121</v>
      </c>
      <c r="J164" t="s">
        <v>1755</v>
      </c>
      <c r="K164" t="str">
        <f>CONCATENATE(Shipment_Master_Database[[#This Row],[Exp '#]],"-",Shipment_Master_Database[[#This Row],[B. '#]])</f>
        <v>2161st--</v>
      </c>
      <c r="L164" t="s">
        <v>124</v>
      </c>
      <c r="M164" t="s">
        <v>123</v>
      </c>
      <c r="N164" t="s">
        <v>3796</v>
      </c>
      <c r="O164">
        <v>23</v>
      </c>
      <c r="P164">
        <v>71880</v>
      </c>
      <c r="Q164">
        <v>76890</v>
      </c>
      <c r="R164" t="s">
        <v>263</v>
      </c>
      <c r="S164" t="s">
        <v>129</v>
      </c>
      <c r="T164" t="s">
        <v>130</v>
      </c>
      <c r="U164">
        <v>38190465</v>
      </c>
      <c r="AA164">
        <v>3</v>
      </c>
      <c r="AF164" s="19"/>
      <c r="AG164">
        <v>46115</v>
      </c>
      <c r="AH164">
        <v>46116</v>
      </c>
      <c r="AI164">
        <v>46121</v>
      </c>
      <c r="AJ164">
        <v>46197</v>
      </c>
      <c r="AK164">
        <v>46198</v>
      </c>
      <c r="AL164">
        <v>77</v>
      </c>
      <c r="AM164">
        <v>1</v>
      </c>
      <c r="AO164" t="s">
        <v>1268</v>
      </c>
      <c r="AP164" t="s">
        <v>6222</v>
      </c>
      <c r="AQ164" t="s">
        <v>6086</v>
      </c>
      <c r="AR164" t="s">
        <v>131</v>
      </c>
      <c r="AT164" t="s">
        <v>6264</v>
      </c>
      <c r="AU164">
        <v>309646</v>
      </c>
      <c r="AV164">
        <v>449865</v>
      </c>
      <c r="AW164" t="s">
        <v>1755</v>
      </c>
      <c r="AX164">
        <v>48000</v>
      </c>
      <c r="AY164">
        <v>76890</v>
      </c>
      <c r="AZ164">
        <v>216840</v>
      </c>
      <c r="BA164">
        <v>12475</v>
      </c>
      <c r="BB164">
        <v>19670</v>
      </c>
      <c r="BC164">
        <v>42932</v>
      </c>
      <c r="BD164">
        <v>131680</v>
      </c>
      <c r="BE164">
        <v>3955212</v>
      </c>
      <c r="BF164">
        <v>5263210</v>
      </c>
    </row>
    <row r="165" spans="1:58" x14ac:dyDescent="0.25">
      <c r="A165" t="s">
        <v>1565</v>
      </c>
      <c r="B165" t="s">
        <v>47</v>
      </c>
      <c r="C165" t="s">
        <v>1760</v>
      </c>
      <c r="D165" t="s">
        <v>720</v>
      </c>
      <c r="E165" t="s">
        <v>202</v>
      </c>
      <c r="F165" t="s">
        <v>724</v>
      </c>
      <c r="G165" t="s">
        <v>125</v>
      </c>
      <c r="H165" t="s">
        <v>6063</v>
      </c>
      <c r="I165" t="s">
        <v>719</v>
      </c>
      <c r="J165" t="s">
        <v>1755</v>
      </c>
      <c r="K165" t="str">
        <f>CONCATENATE(Shipment_Master_Database[[#This Row],[Exp '#]],"-",Shipment_Master_Database[[#This Row],[B. '#]])</f>
        <v>2352nd--</v>
      </c>
      <c r="M165" t="s">
        <v>721</v>
      </c>
      <c r="O165">
        <v>2</v>
      </c>
      <c r="P165">
        <v>5800</v>
      </c>
      <c r="Q165">
        <v>6530</v>
      </c>
      <c r="R165" t="s">
        <v>263</v>
      </c>
      <c r="S165" t="s">
        <v>129</v>
      </c>
      <c r="T165" t="s">
        <v>171</v>
      </c>
      <c r="U165">
        <v>10239942</v>
      </c>
      <c r="V165">
        <v>1</v>
      </c>
      <c r="AF165" s="19"/>
      <c r="AG165">
        <v>46084</v>
      </c>
      <c r="AH165">
        <v>46085</v>
      </c>
      <c r="AI165">
        <v>46092</v>
      </c>
      <c r="AJ165">
        <v>46167</v>
      </c>
      <c r="AK165">
        <v>46198</v>
      </c>
      <c r="AL165">
        <v>106</v>
      </c>
      <c r="AM165">
        <v>31</v>
      </c>
      <c r="AO165" t="s">
        <v>1268</v>
      </c>
      <c r="AP165" t="s">
        <v>6085</v>
      </c>
      <c r="AQ165" t="s">
        <v>6086</v>
      </c>
      <c r="AR165" t="s">
        <v>725</v>
      </c>
      <c r="AT165">
        <v>3325</v>
      </c>
      <c r="AU165">
        <v>55417</v>
      </c>
      <c r="AV165">
        <v>66000</v>
      </c>
      <c r="AW165" t="s">
        <v>1755</v>
      </c>
      <c r="AX165">
        <v>2000</v>
      </c>
      <c r="AY165">
        <v>6530</v>
      </c>
      <c r="AZ165">
        <v>48000</v>
      </c>
      <c r="BA165">
        <v>12475</v>
      </c>
      <c r="BB165">
        <v>18000</v>
      </c>
      <c r="BD165">
        <v>30660</v>
      </c>
      <c r="BE165">
        <v>972991</v>
      </c>
      <c r="BF165">
        <v>1215398</v>
      </c>
    </row>
    <row r="166" spans="1:58" x14ac:dyDescent="0.25">
      <c r="K166" t="str">
        <f>CONCATENATE(Shipment_Master_Database[[#This Row],[Exp '#]],"-",Shipment_Master_Database[[#This Row],[B. '#]])</f>
        <v>-</v>
      </c>
      <c r="AF166" s="19"/>
      <c r="AL166">
        <v>0</v>
      </c>
      <c r="AM166">
        <v>0</v>
      </c>
      <c r="BF16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1020-2871-45FC-9319-C31751EBB671}">
  <sheetPr codeName="Sheet7"/>
  <dimension ref="A1:AZ1376"/>
  <sheetViews>
    <sheetView topLeftCell="AG1" zoomScaleNormal="100" workbookViewId="0">
      <pane ySplit="1" topLeftCell="A411" activePane="bottomLeft" state="frozen"/>
      <selection pane="bottomLeft" sqref="A1:XFD1"/>
    </sheetView>
  </sheetViews>
  <sheetFormatPr defaultRowHeight="15" x14ac:dyDescent="0.25"/>
  <cols>
    <col min="1" max="1" width="17" bestFit="1" customWidth="1"/>
    <col min="2" max="2" width="20" bestFit="1" customWidth="1"/>
    <col min="3" max="3" width="18.140625" bestFit="1" customWidth="1"/>
    <col min="4" max="4" width="36.5703125" bestFit="1" customWidth="1"/>
    <col min="5" max="5" width="29.7109375" bestFit="1" customWidth="1"/>
    <col min="6" max="6" width="24.140625" bestFit="1" customWidth="1"/>
    <col min="7" max="7" width="24.140625" customWidth="1"/>
    <col min="8" max="8" width="71.42578125" customWidth="1"/>
    <col min="9" max="9" width="80.7109375" bestFit="1" customWidth="1"/>
    <col min="10" max="10" width="10.85546875" bestFit="1" customWidth="1"/>
    <col min="11" max="11" width="35.42578125" bestFit="1" customWidth="1"/>
    <col min="12" max="12" width="57.7109375" customWidth="1"/>
    <col min="13" max="13" width="9.7109375" bestFit="1" customWidth="1"/>
    <col min="14" max="14" width="19.42578125" bestFit="1" customWidth="1"/>
    <col min="15" max="15" width="21.140625" bestFit="1" customWidth="1"/>
    <col min="16" max="16" width="22.85546875" bestFit="1" customWidth="1"/>
    <col min="17" max="17" width="21.85546875" bestFit="1" customWidth="1"/>
    <col min="18" max="18" width="24.5703125" bestFit="1" customWidth="1"/>
    <col min="19" max="19" width="21.85546875" bestFit="1" customWidth="1"/>
    <col min="20" max="20" width="16.85546875" bestFit="1" customWidth="1"/>
    <col min="21" max="21" width="18.85546875" bestFit="1" customWidth="1"/>
    <col min="22" max="22" width="14.42578125" bestFit="1" customWidth="1"/>
    <col min="23" max="23" width="13.140625" bestFit="1" customWidth="1"/>
    <col min="24" max="24" width="18.85546875" bestFit="1" customWidth="1"/>
    <col min="25" max="25" width="21.42578125" bestFit="1" customWidth="1"/>
    <col min="26" max="26" width="23" bestFit="1" customWidth="1"/>
    <col min="27" max="28" width="33.5703125" bestFit="1" customWidth="1"/>
    <col min="29" max="29" width="28.42578125" bestFit="1" customWidth="1"/>
    <col min="30" max="31" width="22.140625" bestFit="1" customWidth="1"/>
    <col min="32" max="32" width="16.140625" bestFit="1" customWidth="1"/>
    <col min="33" max="33" width="21.42578125" bestFit="1" customWidth="1"/>
    <col min="34" max="34" width="25.140625" bestFit="1" customWidth="1"/>
    <col min="35" max="35" width="21.42578125" bestFit="1" customWidth="1"/>
    <col min="36" max="36" width="17.5703125" bestFit="1" customWidth="1"/>
    <col min="37" max="37" width="21.42578125" bestFit="1" customWidth="1"/>
    <col min="38" max="38" width="19.140625" bestFit="1" customWidth="1"/>
    <col min="39" max="39" width="18.5703125" bestFit="1" customWidth="1"/>
    <col min="40" max="40" width="23.85546875" bestFit="1" customWidth="1"/>
    <col min="41" max="41" width="19.42578125" bestFit="1" customWidth="1"/>
    <col min="42" max="42" width="22.140625" bestFit="1" customWidth="1"/>
    <col min="43" max="43" width="23.5703125" bestFit="1" customWidth="1"/>
    <col min="44" max="44" width="17" bestFit="1" customWidth="1"/>
  </cols>
  <sheetData>
    <row r="1" spans="1:52" x14ac:dyDescent="0.25">
      <c r="A1" s="6" t="s">
        <v>1803</v>
      </c>
      <c r="B1" s="6" t="s">
        <v>1804</v>
      </c>
      <c r="C1" s="6" t="s">
        <v>1805</v>
      </c>
      <c r="D1" s="6" t="s">
        <v>55</v>
      </c>
      <c r="E1" s="6" t="s">
        <v>52</v>
      </c>
      <c r="F1" s="6" t="s">
        <v>53</v>
      </c>
      <c r="G1" s="6" t="s">
        <v>7056</v>
      </c>
      <c r="H1" s="6" t="s">
        <v>1629</v>
      </c>
      <c r="I1" s="6" t="s">
        <v>57</v>
      </c>
      <c r="J1" s="6" t="s">
        <v>63</v>
      </c>
      <c r="K1" s="7" t="s">
        <v>62</v>
      </c>
      <c r="L1" s="6" t="s">
        <v>1632</v>
      </c>
      <c r="M1" s="6" t="s">
        <v>1634</v>
      </c>
      <c r="N1" s="6" t="s">
        <v>1636</v>
      </c>
      <c r="O1" s="6" t="s">
        <v>1638</v>
      </c>
      <c r="P1" s="6" t="s">
        <v>1806</v>
      </c>
      <c r="Q1" s="6" t="s">
        <v>1807</v>
      </c>
      <c r="R1" s="6" t="s">
        <v>1808</v>
      </c>
      <c r="S1" s="6" t="s">
        <v>1809</v>
      </c>
      <c r="T1" s="6" t="s">
        <v>1810</v>
      </c>
      <c r="U1" s="6" t="s">
        <v>1811</v>
      </c>
      <c r="V1" s="6" t="s">
        <v>68</v>
      </c>
      <c r="W1" s="6" t="s">
        <v>1812</v>
      </c>
      <c r="X1" s="6" t="s">
        <v>1652</v>
      </c>
      <c r="Y1" s="6" t="s">
        <v>1813</v>
      </c>
      <c r="Z1" s="6" t="s">
        <v>1814</v>
      </c>
      <c r="AA1" s="6" t="s">
        <v>1815</v>
      </c>
      <c r="AB1" s="6" t="s">
        <v>1816</v>
      </c>
      <c r="AC1" s="6" t="s">
        <v>1817</v>
      </c>
      <c r="AD1" s="6" t="s">
        <v>1818</v>
      </c>
      <c r="AE1" s="6" t="s">
        <v>1654</v>
      </c>
      <c r="AF1" s="6" t="s">
        <v>70</v>
      </c>
      <c r="AG1" s="6" t="s">
        <v>1819</v>
      </c>
      <c r="AH1" s="6" t="s">
        <v>1820</v>
      </c>
      <c r="AI1" s="6" t="s">
        <v>71</v>
      </c>
      <c r="AJ1" s="6" t="s">
        <v>1658</v>
      </c>
      <c r="AK1" s="6" t="s">
        <v>1660</v>
      </c>
      <c r="AL1" s="6" t="s">
        <v>1821</v>
      </c>
      <c r="AM1" s="6" t="s">
        <v>1822</v>
      </c>
      <c r="AN1" s="6" t="s">
        <v>1823</v>
      </c>
      <c r="AO1" s="6" t="s">
        <v>1824</v>
      </c>
      <c r="AP1" s="6" t="s">
        <v>1825</v>
      </c>
      <c r="AQ1" s="6" t="s">
        <v>1826</v>
      </c>
      <c r="AR1" s="6" t="s">
        <v>1827</v>
      </c>
      <c r="AS1" s="6"/>
      <c r="AT1" s="6"/>
      <c r="AU1" s="6"/>
      <c r="AV1" s="6"/>
      <c r="AW1" s="6"/>
      <c r="AX1" s="6"/>
      <c r="AY1" s="6"/>
      <c r="AZ1" s="6"/>
    </row>
    <row r="2" spans="1:52" x14ac:dyDescent="0.25">
      <c r="A2" t="s">
        <v>1828</v>
      </c>
      <c r="B2" t="s">
        <v>1829</v>
      </c>
      <c r="D2" t="s">
        <v>1830</v>
      </c>
      <c r="G2" t="str">
        <f>CONCATENATE(Master_Packing_Database[[#This Row],[Exp '#]],Master_Packing_Database[[#This Row],[Batch '#]])</f>
        <v/>
      </c>
      <c r="H2" t="s">
        <v>1831</v>
      </c>
      <c r="I2" t="s">
        <v>1832</v>
      </c>
      <c r="J2" t="s">
        <v>117</v>
      </c>
      <c r="L2" t="s">
        <v>1833</v>
      </c>
      <c r="AN2">
        <v>0</v>
      </c>
      <c r="AO2" t="s">
        <v>1834</v>
      </c>
      <c r="AP2" t="s">
        <v>1834</v>
      </c>
      <c r="AQ2">
        <v>0</v>
      </c>
      <c r="AR2" t="s">
        <v>1835</v>
      </c>
    </row>
    <row r="3" spans="1:52" x14ac:dyDescent="0.25">
      <c r="A3" t="s">
        <v>1828</v>
      </c>
      <c r="B3" t="s">
        <v>1829</v>
      </c>
      <c r="D3" t="s">
        <v>1830</v>
      </c>
      <c r="G3" t="str">
        <f>CONCATENATE(Master_Packing_Database[[#This Row],[Exp '#]],Master_Packing_Database[[#This Row],[Batch '#]])</f>
        <v/>
      </c>
      <c r="H3" t="s">
        <v>1836</v>
      </c>
      <c r="I3" t="s">
        <v>1837</v>
      </c>
      <c r="J3" t="s">
        <v>117</v>
      </c>
      <c r="L3" t="s">
        <v>1833</v>
      </c>
      <c r="AN3">
        <v>0</v>
      </c>
      <c r="AO3" t="s">
        <v>1834</v>
      </c>
      <c r="AP3" t="s">
        <v>1834</v>
      </c>
      <c r="AQ3">
        <v>0</v>
      </c>
      <c r="AR3" t="s">
        <v>1835</v>
      </c>
    </row>
    <row r="4" spans="1:52" x14ac:dyDescent="0.25">
      <c r="A4" t="s">
        <v>1828</v>
      </c>
      <c r="B4" t="s">
        <v>1829</v>
      </c>
      <c r="D4" t="s">
        <v>1838</v>
      </c>
      <c r="G4" t="str">
        <f>CONCATENATE(Master_Packing_Database[[#This Row],[Exp '#]],Master_Packing_Database[[#This Row],[Batch '#]])</f>
        <v/>
      </c>
      <c r="H4" t="s">
        <v>1839</v>
      </c>
      <c r="I4" t="s">
        <v>1840</v>
      </c>
      <c r="J4" t="s">
        <v>117</v>
      </c>
      <c r="L4" t="s">
        <v>1833</v>
      </c>
      <c r="AN4">
        <v>0</v>
      </c>
      <c r="AO4" t="s">
        <v>1834</v>
      </c>
      <c r="AP4" t="s">
        <v>1834</v>
      </c>
      <c r="AQ4">
        <v>0</v>
      </c>
      <c r="AR4" t="s">
        <v>1835</v>
      </c>
    </row>
    <row r="5" spans="1:52" x14ac:dyDescent="0.25">
      <c r="A5" t="s">
        <v>1828</v>
      </c>
      <c r="B5" t="s">
        <v>1829</v>
      </c>
      <c r="D5" t="s">
        <v>1838</v>
      </c>
      <c r="G5" t="str">
        <f>CONCATENATE(Master_Packing_Database[[#This Row],[Exp '#]],Master_Packing_Database[[#This Row],[Batch '#]])</f>
        <v/>
      </c>
      <c r="H5" t="s">
        <v>1841</v>
      </c>
      <c r="I5" t="s">
        <v>1842</v>
      </c>
      <c r="J5" t="s">
        <v>117</v>
      </c>
      <c r="L5" t="s">
        <v>1833</v>
      </c>
      <c r="AN5">
        <v>0</v>
      </c>
      <c r="AO5" t="s">
        <v>1834</v>
      </c>
      <c r="AP5" t="s">
        <v>1834</v>
      </c>
      <c r="AQ5">
        <v>0</v>
      </c>
      <c r="AR5" t="s">
        <v>1835</v>
      </c>
    </row>
    <row r="6" spans="1:52" x14ac:dyDescent="0.25">
      <c r="A6" t="s">
        <v>1828</v>
      </c>
      <c r="B6" t="s">
        <v>1829</v>
      </c>
      <c r="D6" t="s">
        <v>1843</v>
      </c>
      <c r="G6" t="str">
        <f>CONCATENATE(Master_Packing_Database[[#This Row],[Exp '#]],Master_Packing_Database[[#This Row],[Batch '#]])</f>
        <v/>
      </c>
      <c r="H6" t="s">
        <v>1844</v>
      </c>
      <c r="I6" t="s">
        <v>1845</v>
      </c>
      <c r="J6" t="s">
        <v>366</v>
      </c>
      <c r="L6" t="s">
        <v>521</v>
      </c>
      <c r="AN6">
        <v>0</v>
      </c>
      <c r="AO6" t="s">
        <v>1834</v>
      </c>
      <c r="AP6" t="s">
        <v>1834</v>
      </c>
      <c r="AQ6">
        <v>0</v>
      </c>
      <c r="AR6" t="s">
        <v>1835</v>
      </c>
    </row>
    <row r="7" spans="1:52" x14ac:dyDescent="0.25">
      <c r="A7" t="s">
        <v>1828</v>
      </c>
      <c r="B7" t="s">
        <v>1829</v>
      </c>
      <c r="D7" t="s">
        <v>1846</v>
      </c>
      <c r="G7" t="str">
        <f>CONCATENATE(Master_Packing_Database[[#This Row],[Exp '#]],Master_Packing_Database[[#This Row],[Batch '#]])</f>
        <v/>
      </c>
      <c r="H7" t="s">
        <v>1847</v>
      </c>
      <c r="I7" t="s">
        <v>1848</v>
      </c>
      <c r="J7" t="s">
        <v>117</v>
      </c>
      <c r="L7" t="s">
        <v>1849</v>
      </c>
      <c r="AN7">
        <v>0</v>
      </c>
      <c r="AO7" t="s">
        <v>1834</v>
      </c>
      <c r="AP7" t="s">
        <v>1834</v>
      </c>
      <c r="AQ7">
        <v>0</v>
      </c>
      <c r="AR7" t="s">
        <v>1835</v>
      </c>
    </row>
    <row r="8" spans="1:52" x14ac:dyDescent="0.25">
      <c r="A8" t="s">
        <v>1828</v>
      </c>
      <c r="B8" t="s">
        <v>1829</v>
      </c>
      <c r="D8" t="s">
        <v>1850</v>
      </c>
      <c r="G8" t="str">
        <f>CONCATENATE(Master_Packing_Database[[#This Row],[Exp '#]],Master_Packing_Database[[#This Row],[Batch '#]])</f>
        <v/>
      </c>
      <c r="H8" t="s">
        <v>1851</v>
      </c>
      <c r="I8" t="s">
        <v>1852</v>
      </c>
      <c r="J8" t="s">
        <v>117</v>
      </c>
      <c r="L8" t="s">
        <v>521</v>
      </c>
      <c r="AN8">
        <v>0</v>
      </c>
      <c r="AO8" t="s">
        <v>1834</v>
      </c>
      <c r="AP8" t="s">
        <v>1834</v>
      </c>
      <c r="AQ8">
        <v>0</v>
      </c>
      <c r="AR8" t="s">
        <v>1835</v>
      </c>
    </row>
    <row r="9" spans="1:52" x14ac:dyDescent="0.25">
      <c r="A9" t="s">
        <v>1828</v>
      </c>
      <c r="B9" t="s">
        <v>1829</v>
      </c>
      <c r="D9" t="s">
        <v>1853</v>
      </c>
      <c r="G9" t="str">
        <f>CONCATENATE(Master_Packing_Database[[#This Row],[Exp '#]],Master_Packing_Database[[#This Row],[Batch '#]])</f>
        <v/>
      </c>
      <c r="H9" t="s">
        <v>1854</v>
      </c>
      <c r="I9" t="s">
        <v>1855</v>
      </c>
      <c r="J9" t="s">
        <v>117</v>
      </c>
      <c r="L9" t="s">
        <v>521</v>
      </c>
      <c r="AN9">
        <v>0</v>
      </c>
      <c r="AO9" t="s">
        <v>1834</v>
      </c>
      <c r="AP9" t="s">
        <v>1834</v>
      </c>
      <c r="AQ9">
        <v>0</v>
      </c>
      <c r="AR9" t="s">
        <v>1835</v>
      </c>
    </row>
    <row r="10" spans="1:52" x14ac:dyDescent="0.25">
      <c r="A10" t="s">
        <v>1828</v>
      </c>
      <c r="B10" t="s">
        <v>1829</v>
      </c>
      <c r="D10" t="s">
        <v>1853</v>
      </c>
      <c r="G10" t="str">
        <f>CONCATENATE(Master_Packing_Database[[#This Row],[Exp '#]],Master_Packing_Database[[#This Row],[Batch '#]])</f>
        <v/>
      </c>
      <c r="H10" t="s">
        <v>1856</v>
      </c>
      <c r="I10" t="s">
        <v>1855</v>
      </c>
      <c r="J10" t="s">
        <v>117</v>
      </c>
      <c r="L10" t="s">
        <v>521</v>
      </c>
      <c r="AN10">
        <v>0</v>
      </c>
      <c r="AO10" t="s">
        <v>1834</v>
      </c>
      <c r="AP10" t="s">
        <v>1834</v>
      </c>
      <c r="AQ10">
        <v>0</v>
      </c>
      <c r="AR10" t="s">
        <v>1835</v>
      </c>
    </row>
    <row r="11" spans="1:52" x14ac:dyDescent="0.25">
      <c r="A11" t="s">
        <v>1828</v>
      </c>
      <c r="B11" t="s">
        <v>1829</v>
      </c>
      <c r="D11" t="s">
        <v>1857</v>
      </c>
      <c r="G11" t="str">
        <f>CONCATENATE(Master_Packing_Database[[#This Row],[Exp '#]],Master_Packing_Database[[#This Row],[Batch '#]])</f>
        <v/>
      </c>
      <c r="H11" t="s">
        <v>1858</v>
      </c>
      <c r="I11" t="s">
        <v>1859</v>
      </c>
      <c r="J11" t="s">
        <v>366</v>
      </c>
      <c r="L11" t="s">
        <v>1860</v>
      </c>
      <c r="AN11">
        <v>0</v>
      </c>
      <c r="AO11" t="s">
        <v>1834</v>
      </c>
      <c r="AP11" t="s">
        <v>1834</v>
      </c>
      <c r="AQ11">
        <v>0</v>
      </c>
      <c r="AR11" t="s">
        <v>1835</v>
      </c>
    </row>
    <row r="12" spans="1:52" x14ac:dyDescent="0.25">
      <c r="A12" t="s">
        <v>1828</v>
      </c>
      <c r="B12" t="s">
        <v>1829</v>
      </c>
      <c r="D12" t="s">
        <v>1857</v>
      </c>
      <c r="G12" t="str">
        <f>CONCATENATE(Master_Packing_Database[[#This Row],[Exp '#]],Master_Packing_Database[[#This Row],[Batch '#]])</f>
        <v/>
      </c>
      <c r="H12" t="s">
        <v>1861</v>
      </c>
      <c r="I12" t="s">
        <v>1862</v>
      </c>
      <c r="J12" t="s">
        <v>366</v>
      </c>
      <c r="L12" t="s">
        <v>1860</v>
      </c>
      <c r="AN12">
        <v>0</v>
      </c>
      <c r="AO12" t="s">
        <v>1834</v>
      </c>
      <c r="AP12" t="s">
        <v>1834</v>
      </c>
      <c r="AQ12">
        <v>0</v>
      </c>
      <c r="AR12" t="s">
        <v>1835</v>
      </c>
    </row>
    <row r="13" spans="1:52" x14ac:dyDescent="0.25">
      <c r="A13" t="s">
        <v>1828</v>
      </c>
      <c r="B13" t="s">
        <v>1829</v>
      </c>
      <c r="D13" t="s">
        <v>1850</v>
      </c>
      <c r="G13" t="str">
        <f>CONCATENATE(Master_Packing_Database[[#This Row],[Exp '#]],Master_Packing_Database[[#This Row],[Batch '#]])</f>
        <v/>
      </c>
      <c r="H13" t="s">
        <v>1863</v>
      </c>
      <c r="I13" t="s">
        <v>1864</v>
      </c>
      <c r="J13" t="s">
        <v>117</v>
      </c>
      <c r="L13" t="s">
        <v>1833</v>
      </c>
      <c r="AN13">
        <v>0</v>
      </c>
      <c r="AO13" t="s">
        <v>1834</v>
      </c>
      <c r="AP13" t="s">
        <v>1834</v>
      </c>
      <c r="AQ13">
        <v>0</v>
      </c>
      <c r="AR13" t="s">
        <v>1835</v>
      </c>
    </row>
    <row r="14" spans="1:52" x14ac:dyDescent="0.25">
      <c r="A14" t="s">
        <v>1828</v>
      </c>
      <c r="B14" t="s">
        <v>1829</v>
      </c>
      <c r="D14" t="s">
        <v>1853</v>
      </c>
      <c r="G14" t="str">
        <f>CONCATENATE(Master_Packing_Database[[#This Row],[Exp '#]],Master_Packing_Database[[#This Row],[Batch '#]])</f>
        <v/>
      </c>
      <c r="H14" t="s">
        <v>1865</v>
      </c>
      <c r="I14" t="s">
        <v>1866</v>
      </c>
      <c r="J14" t="s">
        <v>366</v>
      </c>
      <c r="L14" t="s">
        <v>1833</v>
      </c>
      <c r="AN14">
        <v>0</v>
      </c>
      <c r="AO14" t="s">
        <v>1834</v>
      </c>
      <c r="AP14" t="s">
        <v>1834</v>
      </c>
      <c r="AQ14">
        <v>0</v>
      </c>
      <c r="AR14" t="s">
        <v>1835</v>
      </c>
    </row>
    <row r="15" spans="1:52" x14ac:dyDescent="0.25">
      <c r="A15" t="s">
        <v>1828</v>
      </c>
      <c r="B15" t="s">
        <v>1829</v>
      </c>
      <c r="D15" t="s">
        <v>1867</v>
      </c>
      <c r="G15" t="str">
        <f>CONCATENATE(Master_Packing_Database[[#This Row],[Exp '#]],Master_Packing_Database[[#This Row],[Batch '#]])</f>
        <v/>
      </c>
      <c r="H15" t="s">
        <v>1868</v>
      </c>
      <c r="I15" t="s">
        <v>1869</v>
      </c>
      <c r="J15" t="s">
        <v>117</v>
      </c>
      <c r="L15" t="s">
        <v>521</v>
      </c>
      <c r="AN15">
        <v>0</v>
      </c>
      <c r="AO15" t="s">
        <v>1834</v>
      </c>
      <c r="AP15" t="s">
        <v>1834</v>
      </c>
      <c r="AQ15">
        <v>0</v>
      </c>
      <c r="AR15" t="s">
        <v>1835</v>
      </c>
    </row>
    <row r="16" spans="1:52" x14ac:dyDescent="0.25">
      <c r="A16" t="s">
        <v>1828</v>
      </c>
      <c r="B16" t="s">
        <v>1829</v>
      </c>
      <c r="D16" t="s">
        <v>1870</v>
      </c>
      <c r="G16" t="str">
        <f>CONCATENATE(Master_Packing_Database[[#This Row],[Exp '#]],Master_Packing_Database[[#This Row],[Batch '#]])</f>
        <v/>
      </c>
      <c r="H16" t="s">
        <v>1871</v>
      </c>
      <c r="I16" t="s">
        <v>1872</v>
      </c>
      <c r="J16" t="s">
        <v>117</v>
      </c>
      <c r="L16" t="s">
        <v>521</v>
      </c>
      <c r="AN16">
        <v>0</v>
      </c>
      <c r="AO16" t="s">
        <v>1834</v>
      </c>
      <c r="AP16" t="s">
        <v>1834</v>
      </c>
      <c r="AQ16">
        <v>0</v>
      </c>
      <c r="AR16" t="s">
        <v>1835</v>
      </c>
    </row>
    <row r="17" spans="1:44" x14ac:dyDescent="0.25">
      <c r="A17" t="s">
        <v>1828</v>
      </c>
      <c r="B17" t="s">
        <v>1829</v>
      </c>
      <c r="D17" t="s">
        <v>1873</v>
      </c>
      <c r="G17" t="str">
        <f>CONCATENATE(Master_Packing_Database[[#This Row],[Exp '#]],Master_Packing_Database[[#This Row],[Batch '#]])</f>
        <v/>
      </c>
      <c r="H17" t="s">
        <v>1874</v>
      </c>
      <c r="I17" t="s">
        <v>1875</v>
      </c>
      <c r="J17" t="s">
        <v>117</v>
      </c>
      <c r="L17" t="s">
        <v>1833</v>
      </c>
      <c r="AN17">
        <v>0</v>
      </c>
      <c r="AO17" t="s">
        <v>1834</v>
      </c>
      <c r="AP17" t="s">
        <v>1834</v>
      </c>
      <c r="AQ17">
        <v>0</v>
      </c>
      <c r="AR17" t="s">
        <v>1835</v>
      </c>
    </row>
    <row r="18" spans="1:44" x14ac:dyDescent="0.25">
      <c r="A18" t="s">
        <v>1828</v>
      </c>
      <c r="B18" t="s">
        <v>1829</v>
      </c>
      <c r="D18" t="s">
        <v>1873</v>
      </c>
      <c r="G18" t="str">
        <f>CONCATENATE(Master_Packing_Database[[#This Row],[Exp '#]],Master_Packing_Database[[#This Row],[Batch '#]])</f>
        <v/>
      </c>
      <c r="H18" t="s">
        <v>1876</v>
      </c>
      <c r="I18" t="s">
        <v>1877</v>
      </c>
      <c r="J18" t="s">
        <v>117</v>
      </c>
      <c r="L18" t="s">
        <v>1833</v>
      </c>
      <c r="AN18">
        <v>0</v>
      </c>
      <c r="AO18" t="s">
        <v>1834</v>
      </c>
      <c r="AP18" t="s">
        <v>1834</v>
      </c>
      <c r="AQ18">
        <v>0</v>
      </c>
      <c r="AR18" t="s">
        <v>1835</v>
      </c>
    </row>
    <row r="19" spans="1:44" x14ac:dyDescent="0.25">
      <c r="A19" t="s">
        <v>1828</v>
      </c>
      <c r="B19" t="s">
        <v>1829</v>
      </c>
      <c r="D19" t="s">
        <v>1878</v>
      </c>
      <c r="G19" t="str">
        <f>CONCATENATE(Master_Packing_Database[[#This Row],[Exp '#]],Master_Packing_Database[[#This Row],[Batch '#]])</f>
        <v/>
      </c>
      <c r="H19" t="s">
        <v>1879</v>
      </c>
      <c r="I19" t="s">
        <v>1880</v>
      </c>
      <c r="J19" t="s">
        <v>366</v>
      </c>
      <c r="L19" t="s">
        <v>1881</v>
      </c>
      <c r="AN19">
        <v>0</v>
      </c>
      <c r="AO19" t="s">
        <v>1834</v>
      </c>
      <c r="AP19" t="s">
        <v>1834</v>
      </c>
      <c r="AQ19">
        <v>0</v>
      </c>
      <c r="AR19" t="s">
        <v>1835</v>
      </c>
    </row>
    <row r="20" spans="1:44" x14ac:dyDescent="0.25">
      <c r="A20" t="s">
        <v>1828</v>
      </c>
      <c r="B20" t="s">
        <v>1829</v>
      </c>
      <c r="D20" t="s">
        <v>1878</v>
      </c>
      <c r="G20" t="str">
        <f>CONCATENATE(Master_Packing_Database[[#This Row],[Exp '#]],Master_Packing_Database[[#This Row],[Batch '#]])</f>
        <v/>
      </c>
      <c r="H20" t="s">
        <v>1882</v>
      </c>
      <c r="I20" t="s">
        <v>1883</v>
      </c>
      <c r="J20" t="s">
        <v>366</v>
      </c>
      <c r="L20" t="s">
        <v>1881</v>
      </c>
      <c r="AN20">
        <v>0</v>
      </c>
      <c r="AO20" t="s">
        <v>1834</v>
      </c>
      <c r="AP20" t="s">
        <v>1834</v>
      </c>
      <c r="AQ20">
        <v>0</v>
      </c>
      <c r="AR20" t="s">
        <v>1835</v>
      </c>
    </row>
    <row r="21" spans="1:44" x14ac:dyDescent="0.25">
      <c r="A21" t="s">
        <v>1828</v>
      </c>
      <c r="B21" t="s">
        <v>1829</v>
      </c>
      <c r="D21" t="s">
        <v>1870</v>
      </c>
      <c r="G21" t="str">
        <f>CONCATENATE(Master_Packing_Database[[#This Row],[Exp '#]],Master_Packing_Database[[#This Row],[Batch '#]])</f>
        <v/>
      </c>
      <c r="H21" t="s">
        <v>1884</v>
      </c>
      <c r="I21" t="s">
        <v>1885</v>
      </c>
      <c r="J21" t="s">
        <v>117</v>
      </c>
      <c r="L21" t="s">
        <v>521</v>
      </c>
      <c r="AN21">
        <v>0</v>
      </c>
      <c r="AO21" t="s">
        <v>1834</v>
      </c>
      <c r="AP21" t="s">
        <v>1834</v>
      </c>
      <c r="AQ21">
        <v>0</v>
      </c>
      <c r="AR21" t="s">
        <v>1835</v>
      </c>
    </row>
    <row r="22" spans="1:44" x14ac:dyDescent="0.25">
      <c r="A22" t="s">
        <v>1828</v>
      </c>
      <c r="B22" t="s">
        <v>1829</v>
      </c>
      <c r="D22" t="s">
        <v>1886</v>
      </c>
      <c r="G22" t="str">
        <f>CONCATENATE(Master_Packing_Database[[#This Row],[Exp '#]],Master_Packing_Database[[#This Row],[Batch '#]])</f>
        <v/>
      </c>
      <c r="H22" t="s">
        <v>1887</v>
      </c>
      <c r="I22" t="s">
        <v>1888</v>
      </c>
      <c r="J22" t="s">
        <v>117</v>
      </c>
      <c r="L22" t="s">
        <v>1833</v>
      </c>
      <c r="AN22">
        <v>0</v>
      </c>
      <c r="AO22" t="s">
        <v>1834</v>
      </c>
      <c r="AP22" t="s">
        <v>1834</v>
      </c>
      <c r="AQ22">
        <v>0</v>
      </c>
      <c r="AR22" t="s">
        <v>1835</v>
      </c>
    </row>
    <row r="23" spans="1:44" x14ac:dyDescent="0.25">
      <c r="A23" t="s">
        <v>1828</v>
      </c>
      <c r="B23" t="s">
        <v>1829</v>
      </c>
      <c r="D23" t="s">
        <v>1886</v>
      </c>
      <c r="G23" t="str">
        <f>CONCATENATE(Master_Packing_Database[[#This Row],[Exp '#]],Master_Packing_Database[[#This Row],[Batch '#]])</f>
        <v/>
      </c>
      <c r="H23" t="s">
        <v>1889</v>
      </c>
      <c r="I23" t="s">
        <v>1890</v>
      </c>
      <c r="J23" t="s">
        <v>117</v>
      </c>
      <c r="L23" t="s">
        <v>1833</v>
      </c>
      <c r="AN23">
        <v>0</v>
      </c>
      <c r="AO23" t="s">
        <v>1834</v>
      </c>
      <c r="AP23" t="s">
        <v>1834</v>
      </c>
      <c r="AQ23">
        <v>0</v>
      </c>
      <c r="AR23" t="s">
        <v>1835</v>
      </c>
    </row>
    <row r="24" spans="1:44" x14ac:dyDescent="0.25">
      <c r="A24" t="s">
        <v>1828</v>
      </c>
      <c r="B24" t="s">
        <v>1829</v>
      </c>
      <c r="D24" t="s">
        <v>1878</v>
      </c>
      <c r="G24" t="str">
        <f>CONCATENATE(Master_Packing_Database[[#This Row],[Exp '#]],Master_Packing_Database[[#This Row],[Batch '#]])</f>
        <v/>
      </c>
      <c r="H24" t="s">
        <v>1891</v>
      </c>
      <c r="I24" t="s">
        <v>1892</v>
      </c>
      <c r="J24" t="s">
        <v>366</v>
      </c>
      <c r="L24" t="s">
        <v>1881</v>
      </c>
      <c r="AN24">
        <v>0</v>
      </c>
      <c r="AO24" t="s">
        <v>1834</v>
      </c>
      <c r="AP24" t="s">
        <v>1834</v>
      </c>
      <c r="AQ24">
        <v>0</v>
      </c>
      <c r="AR24" t="s">
        <v>1835</v>
      </c>
    </row>
    <row r="25" spans="1:44" x14ac:dyDescent="0.25">
      <c r="A25" t="s">
        <v>1828</v>
      </c>
      <c r="B25" t="s">
        <v>1829</v>
      </c>
      <c r="D25" t="s">
        <v>1878</v>
      </c>
      <c r="G25" t="str">
        <f>CONCATENATE(Master_Packing_Database[[#This Row],[Exp '#]],Master_Packing_Database[[#This Row],[Batch '#]])</f>
        <v/>
      </c>
      <c r="H25" t="s">
        <v>1893</v>
      </c>
      <c r="I25" t="s">
        <v>1894</v>
      </c>
      <c r="J25" t="s">
        <v>366</v>
      </c>
      <c r="L25" t="s">
        <v>1881</v>
      </c>
      <c r="AN25">
        <v>0</v>
      </c>
      <c r="AO25" t="s">
        <v>1834</v>
      </c>
      <c r="AP25" t="s">
        <v>1834</v>
      </c>
      <c r="AQ25">
        <v>0</v>
      </c>
      <c r="AR25" t="s">
        <v>1835</v>
      </c>
    </row>
    <row r="26" spans="1:44" x14ac:dyDescent="0.25">
      <c r="A26" t="s">
        <v>1828</v>
      </c>
      <c r="B26" t="s">
        <v>1829</v>
      </c>
      <c r="D26" t="s">
        <v>1895</v>
      </c>
      <c r="G26" t="str">
        <f>CONCATENATE(Master_Packing_Database[[#This Row],[Exp '#]],Master_Packing_Database[[#This Row],[Batch '#]])</f>
        <v/>
      </c>
      <c r="H26" t="s">
        <v>1896</v>
      </c>
      <c r="I26" t="s">
        <v>1897</v>
      </c>
      <c r="J26" t="s">
        <v>117</v>
      </c>
      <c r="L26" t="s">
        <v>1849</v>
      </c>
      <c r="AN26">
        <v>0</v>
      </c>
      <c r="AO26" t="s">
        <v>1834</v>
      </c>
      <c r="AP26" t="s">
        <v>1834</v>
      </c>
      <c r="AQ26">
        <v>0</v>
      </c>
      <c r="AR26" t="s">
        <v>1835</v>
      </c>
    </row>
    <row r="27" spans="1:44" x14ac:dyDescent="0.25">
      <c r="A27" t="s">
        <v>1828</v>
      </c>
      <c r="B27" t="s">
        <v>1829</v>
      </c>
      <c r="D27" t="s">
        <v>1878</v>
      </c>
      <c r="G27" t="str">
        <f>CONCATENATE(Master_Packing_Database[[#This Row],[Exp '#]],Master_Packing_Database[[#This Row],[Batch '#]])</f>
        <v/>
      </c>
      <c r="H27" t="s">
        <v>1898</v>
      </c>
      <c r="I27" t="s">
        <v>1885</v>
      </c>
      <c r="J27" t="s">
        <v>117</v>
      </c>
      <c r="L27" t="s">
        <v>521</v>
      </c>
      <c r="AN27">
        <v>0</v>
      </c>
      <c r="AO27" t="s">
        <v>1834</v>
      </c>
      <c r="AP27" t="s">
        <v>1834</v>
      </c>
      <c r="AQ27">
        <v>0</v>
      </c>
      <c r="AR27" t="s">
        <v>1835</v>
      </c>
    </row>
    <row r="28" spans="1:44" x14ac:dyDescent="0.25">
      <c r="A28" t="s">
        <v>1828</v>
      </c>
      <c r="B28" t="s">
        <v>1829</v>
      </c>
      <c r="D28" t="s">
        <v>1899</v>
      </c>
      <c r="G28" t="str">
        <f>CONCATENATE(Master_Packing_Database[[#This Row],[Exp '#]],Master_Packing_Database[[#This Row],[Batch '#]])</f>
        <v/>
      </c>
      <c r="H28" t="s">
        <v>1900</v>
      </c>
      <c r="I28" t="s">
        <v>1837</v>
      </c>
      <c r="J28" t="s">
        <v>117</v>
      </c>
      <c r="L28" t="s">
        <v>1833</v>
      </c>
      <c r="AN28">
        <v>0</v>
      </c>
      <c r="AO28" t="s">
        <v>1834</v>
      </c>
      <c r="AP28" t="s">
        <v>1834</v>
      </c>
      <c r="AQ28">
        <v>0</v>
      </c>
      <c r="AR28" t="s">
        <v>1835</v>
      </c>
    </row>
    <row r="29" spans="1:44" x14ac:dyDescent="0.25">
      <c r="A29" t="s">
        <v>1828</v>
      </c>
      <c r="B29" t="s">
        <v>1829</v>
      </c>
      <c r="D29" t="s">
        <v>1895</v>
      </c>
      <c r="G29" t="str">
        <f>CONCATENATE(Master_Packing_Database[[#This Row],[Exp '#]],Master_Packing_Database[[#This Row],[Batch '#]])</f>
        <v/>
      </c>
      <c r="H29" t="s">
        <v>1901</v>
      </c>
      <c r="I29" t="s">
        <v>1902</v>
      </c>
      <c r="J29" t="s">
        <v>117</v>
      </c>
      <c r="L29" t="s">
        <v>1833</v>
      </c>
      <c r="AN29">
        <v>0</v>
      </c>
      <c r="AO29" t="s">
        <v>1834</v>
      </c>
      <c r="AP29" t="s">
        <v>1834</v>
      </c>
      <c r="AQ29">
        <v>0</v>
      </c>
      <c r="AR29" t="s">
        <v>1835</v>
      </c>
    </row>
    <row r="30" spans="1:44" x14ac:dyDescent="0.25">
      <c r="A30" t="s">
        <v>1828</v>
      </c>
      <c r="B30" t="s">
        <v>1829</v>
      </c>
      <c r="D30" t="s">
        <v>1878</v>
      </c>
      <c r="G30" t="str">
        <f>CONCATENATE(Master_Packing_Database[[#This Row],[Exp '#]],Master_Packing_Database[[#This Row],[Batch '#]])</f>
        <v/>
      </c>
      <c r="H30" t="s">
        <v>1903</v>
      </c>
      <c r="I30" t="s">
        <v>1894</v>
      </c>
      <c r="J30" t="s">
        <v>366</v>
      </c>
      <c r="L30" t="s">
        <v>1881</v>
      </c>
      <c r="AN30">
        <v>0</v>
      </c>
      <c r="AO30" t="s">
        <v>1834</v>
      </c>
      <c r="AP30" t="s">
        <v>1834</v>
      </c>
      <c r="AQ30">
        <v>0</v>
      </c>
      <c r="AR30" t="s">
        <v>1835</v>
      </c>
    </row>
    <row r="31" spans="1:44" x14ac:dyDescent="0.25">
      <c r="A31" t="s">
        <v>1828</v>
      </c>
      <c r="B31" t="s">
        <v>1829</v>
      </c>
      <c r="D31" t="s">
        <v>1904</v>
      </c>
      <c r="G31" t="str">
        <f>CONCATENATE(Master_Packing_Database[[#This Row],[Exp '#]],Master_Packing_Database[[#This Row],[Batch '#]])</f>
        <v/>
      </c>
      <c r="H31" t="s">
        <v>1905</v>
      </c>
      <c r="I31" t="s">
        <v>1906</v>
      </c>
      <c r="J31" t="s">
        <v>117</v>
      </c>
      <c r="L31" t="s">
        <v>1833</v>
      </c>
      <c r="AN31">
        <v>0</v>
      </c>
      <c r="AO31" t="s">
        <v>1834</v>
      </c>
      <c r="AP31" t="s">
        <v>1834</v>
      </c>
      <c r="AQ31">
        <v>0</v>
      </c>
      <c r="AR31" t="s">
        <v>1835</v>
      </c>
    </row>
    <row r="32" spans="1:44" x14ac:dyDescent="0.25">
      <c r="A32" t="s">
        <v>1828</v>
      </c>
      <c r="B32" t="s">
        <v>1829</v>
      </c>
      <c r="D32" t="s">
        <v>1867</v>
      </c>
      <c r="G32" t="str">
        <f>CONCATENATE(Master_Packing_Database[[#This Row],[Exp '#]],Master_Packing_Database[[#This Row],[Batch '#]])</f>
        <v/>
      </c>
      <c r="H32" t="s">
        <v>1907</v>
      </c>
      <c r="I32" t="s">
        <v>1908</v>
      </c>
      <c r="J32" t="s">
        <v>366</v>
      </c>
      <c r="L32" t="s">
        <v>521</v>
      </c>
      <c r="AN32">
        <v>0</v>
      </c>
      <c r="AO32" t="s">
        <v>1834</v>
      </c>
      <c r="AP32" t="s">
        <v>1834</v>
      </c>
      <c r="AQ32">
        <v>0</v>
      </c>
      <c r="AR32" t="s">
        <v>1835</v>
      </c>
    </row>
    <row r="33" spans="1:44" x14ac:dyDescent="0.25">
      <c r="A33" t="s">
        <v>1828</v>
      </c>
      <c r="B33" t="s">
        <v>1829</v>
      </c>
      <c r="D33" t="s">
        <v>1867</v>
      </c>
      <c r="G33" t="str">
        <f>CONCATENATE(Master_Packing_Database[[#This Row],[Exp '#]],Master_Packing_Database[[#This Row],[Batch '#]])</f>
        <v/>
      </c>
      <c r="H33" t="s">
        <v>1907</v>
      </c>
      <c r="I33" t="s">
        <v>1908</v>
      </c>
      <c r="J33" t="s">
        <v>366</v>
      </c>
      <c r="L33" t="s">
        <v>521</v>
      </c>
      <c r="AN33">
        <v>0</v>
      </c>
      <c r="AO33" t="s">
        <v>1834</v>
      </c>
      <c r="AP33" t="s">
        <v>1834</v>
      </c>
      <c r="AQ33">
        <v>0</v>
      </c>
      <c r="AR33" t="s">
        <v>1835</v>
      </c>
    </row>
    <row r="34" spans="1:44" x14ac:dyDescent="0.25">
      <c r="A34" t="s">
        <v>1828</v>
      </c>
      <c r="B34" t="s">
        <v>1829</v>
      </c>
      <c r="D34" t="s">
        <v>1895</v>
      </c>
      <c r="G34" t="str">
        <f>CONCATENATE(Master_Packing_Database[[#This Row],[Exp '#]],Master_Packing_Database[[#This Row],[Batch '#]])</f>
        <v/>
      </c>
      <c r="H34" t="s">
        <v>1909</v>
      </c>
      <c r="I34" t="s">
        <v>1897</v>
      </c>
      <c r="J34" t="s">
        <v>117</v>
      </c>
      <c r="L34" t="s">
        <v>1849</v>
      </c>
      <c r="AN34">
        <v>0</v>
      </c>
      <c r="AO34" t="s">
        <v>1834</v>
      </c>
      <c r="AP34" t="s">
        <v>1834</v>
      </c>
      <c r="AQ34">
        <v>0</v>
      </c>
      <c r="AR34" t="s">
        <v>1835</v>
      </c>
    </row>
    <row r="35" spans="1:44" x14ac:dyDescent="0.25">
      <c r="A35" t="s">
        <v>1828</v>
      </c>
      <c r="B35" t="s">
        <v>1829</v>
      </c>
      <c r="D35" t="s">
        <v>1910</v>
      </c>
      <c r="G35" t="str">
        <f>CONCATENATE(Master_Packing_Database[[#This Row],[Exp '#]],Master_Packing_Database[[#This Row],[Batch '#]])</f>
        <v/>
      </c>
      <c r="H35" t="s">
        <v>1911</v>
      </c>
      <c r="I35" t="s">
        <v>1912</v>
      </c>
      <c r="J35" t="s">
        <v>117</v>
      </c>
      <c r="L35" t="s">
        <v>1833</v>
      </c>
      <c r="AN35">
        <v>0</v>
      </c>
      <c r="AO35" t="s">
        <v>1834</v>
      </c>
      <c r="AP35" t="s">
        <v>1834</v>
      </c>
      <c r="AQ35">
        <v>0</v>
      </c>
      <c r="AR35" t="s">
        <v>1835</v>
      </c>
    </row>
    <row r="36" spans="1:44" x14ac:dyDescent="0.25">
      <c r="A36" t="s">
        <v>1828</v>
      </c>
      <c r="B36" t="s">
        <v>1829</v>
      </c>
      <c r="D36" t="s">
        <v>1899</v>
      </c>
      <c r="G36" t="str">
        <f>CONCATENATE(Master_Packing_Database[[#This Row],[Exp '#]],Master_Packing_Database[[#This Row],[Batch '#]])</f>
        <v/>
      </c>
      <c r="H36" t="s">
        <v>1913</v>
      </c>
      <c r="I36" t="s">
        <v>1914</v>
      </c>
      <c r="J36" t="s">
        <v>117</v>
      </c>
      <c r="L36" t="s">
        <v>1833</v>
      </c>
      <c r="AN36">
        <v>0</v>
      </c>
      <c r="AO36" t="s">
        <v>1834</v>
      </c>
      <c r="AP36" t="s">
        <v>1834</v>
      </c>
      <c r="AQ36">
        <v>0</v>
      </c>
      <c r="AR36" t="s">
        <v>1835</v>
      </c>
    </row>
    <row r="37" spans="1:44" x14ac:dyDescent="0.25">
      <c r="A37" t="s">
        <v>1828</v>
      </c>
      <c r="B37" t="s">
        <v>1829</v>
      </c>
      <c r="D37" t="s">
        <v>1915</v>
      </c>
      <c r="G37" t="str">
        <f>CONCATENATE(Master_Packing_Database[[#This Row],[Exp '#]],Master_Packing_Database[[#This Row],[Batch '#]])</f>
        <v/>
      </c>
      <c r="H37" t="s">
        <v>1916</v>
      </c>
      <c r="I37" t="s">
        <v>1917</v>
      </c>
      <c r="J37" t="s">
        <v>117</v>
      </c>
      <c r="L37" t="s">
        <v>1849</v>
      </c>
      <c r="AN37">
        <v>0</v>
      </c>
      <c r="AO37" t="s">
        <v>1834</v>
      </c>
      <c r="AP37" t="s">
        <v>1834</v>
      </c>
      <c r="AQ37">
        <v>0</v>
      </c>
      <c r="AR37" t="s">
        <v>1835</v>
      </c>
    </row>
    <row r="38" spans="1:44" x14ac:dyDescent="0.25">
      <c r="A38" t="s">
        <v>1828</v>
      </c>
      <c r="B38" t="s">
        <v>1829</v>
      </c>
      <c r="D38" t="s">
        <v>1918</v>
      </c>
      <c r="G38" t="str">
        <f>CONCATENATE(Master_Packing_Database[[#This Row],[Exp '#]],Master_Packing_Database[[#This Row],[Batch '#]])</f>
        <v/>
      </c>
      <c r="H38" t="s">
        <v>1919</v>
      </c>
      <c r="I38" t="s">
        <v>1920</v>
      </c>
      <c r="J38" t="s">
        <v>366</v>
      </c>
      <c r="L38" t="s">
        <v>1833</v>
      </c>
      <c r="AN38">
        <v>0</v>
      </c>
      <c r="AO38" t="s">
        <v>1834</v>
      </c>
      <c r="AP38" t="s">
        <v>1834</v>
      </c>
      <c r="AQ38">
        <v>0</v>
      </c>
      <c r="AR38" t="s">
        <v>1835</v>
      </c>
    </row>
    <row r="39" spans="1:44" x14ac:dyDescent="0.25">
      <c r="A39" t="s">
        <v>1828</v>
      </c>
      <c r="B39" t="s">
        <v>1829</v>
      </c>
      <c r="D39" t="s">
        <v>1921</v>
      </c>
      <c r="G39" t="str">
        <f>CONCATENATE(Master_Packing_Database[[#This Row],[Exp '#]],Master_Packing_Database[[#This Row],[Batch '#]])</f>
        <v/>
      </c>
      <c r="H39" t="s">
        <v>1922</v>
      </c>
      <c r="I39" t="s">
        <v>1906</v>
      </c>
      <c r="J39" t="s">
        <v>117</v>
      </c>
      <c r="L39" t="s">
        <v>1923</v>
      </c>
      <c r="AN39">
        <v>0</v>
      </c>
      <c r="AO39" t="s">
        <v>1834</v>
      </c>
      <c r="AP39" t="s">
        <v>1834</v>
      </c>
      <c r="AQ39">
        <v>0</v>
      </c>
      <c r="AR39" t="s">
        <v>1835</v>
      </c>
    </row>
    <row r="40" spans="1:44" x14ac:dyDescent="0.25">
      <c r="A40" t="s">
        <v>1828</v>
      </c>
      <c r="B40" t="s">
        <v>1829</v>
      </c>
      <c r="D40" t="s">
        <v>1915</v>
      </c>
      <c r="G40" t="str">
        <f>CONCATENATE(Master_Packing_Database[[#This Row],[Exp '#]],Master_Packing_Database[[#This Row],[Batch '#]])</f>
        <v/>
      </c>
      <c r="H40" t="s">
        <v>1924</v>
      </c>
      <c r="I40" t="s">
        <v>1925</v>
      </c>
      <c r="J40" t="s">
        <v>366</v>
      </c>
      <c r="L40" t="s">
        <v>1860</v>
      </c>
      <c r="AN40">
        <v>0</v>
      </c>
      <c r="AO40" t="s">
        <v>1834</v>
      </c>
      <c r="AP40" t="s">
        <v>1834</v>
      </c>
      <c r="AQ40">
        <v>0</v>
      </c>
      <c r="AR40" t="s">
        <v>1835</v>
      </c>
    </row>
    <row r="41" spans="1:44" x14ac:dyDescent="0.25">
      <c r="A41" t="s">
        <v>1828</v>
      </c>
      <c r="B41" t="s">
        <v>1829</v>
      </c>
      <c r="D41" t="s">
        <v>1895</v>
      </c>
      <c r="G41" t="str">
        <f>CONCATENATE(Master_Packing_Database[[#This Row],[Exp '#]],Master_Packing_Database[[#This Row],[Batch '#]])</f>
        <v/>
      </c>
      <c r="H41" t="s">
        <v>1926</v>
      </c>
      <c r="I41" t="s">
        <v>1897</v>
      </c>
      <c r="J41" t="s">
        <v>117</v>
      </c>
      <c r="L41" t="s">
        <v>1849</v>
      </c>
      <c r="AN41">
        <v>0</v>
      </c>
      <c r="AO41" t="s">
        <v>1834</v>
      </c>
      <c r="AP41" t="s">
        <v>1834</v>
      </c>
      <c r="AQ41">
        <v>0</v>
      </c>
      <c r="AR41" t="s">
        <v>1835</v>
      </c>
    </row>
    <row r="42" spans="1:44" x14ac:dyDescent="0.25">
      <c r="A42" t="s">
        <v>1828</v>
      </c>
      <c r="B42" t="s">
        <v>1829</v>
      </c>
      <c r="D42" t="s">
        <v>1910</v>
      </c>
      <c r="G42" t="str">
        <f>CONCATENATE(Master_Packing_Database[[#This Row],[Exp '#]],Master_Packing_Database[[#This Row],[Batch '#]])</f>
        <v/>
      </c>
      <c r="H42" t="s">
        <v>1927</v>
      </c>
      <c r="I42" t="s">
        <v>1928</v>
      </c>
      <c r="J42" t="s">
        <v>117</v>
      </c>
      <c r="L42" t="s">
        <v>1833</v>
      </c>
      <c r="AN42">
        <v>0</v>
      </c>
      <c r="AO42" t="s">
        <v>1834</v>
      </c>
      <c r="AP42" t="s">
        <v>1834</v>
      </c>
      <c r="AQ42">
        <v>0</v>
      </c>
      <c r="AR42" t="s">
        <v>1835</v>
      </c>
    </row>
    <row r="43" spans="1:44" x14ac:dyDescent="0.25">
      <c r="A43" t="s">
        <v>1828</v>
      </c>
      <c r="B43" t="s">
        <v>1829</v>
      </c>
      <c r="D43" t="s">
        <v>1904</v>
      </c>
      <c r="G43" t="str">
        <f>CONCATENATE(Master_Packing_Database[[#This Row],[Exp '#]],Master_Packing_Database[[#This Row],[Batch '#]])</f>
        <v/>
      </c>
      <c r="H43" t="s">
        <v>1929</v>
      </c>
      <c r="I43" t="s">
        <v>1906</v>
      </c>
      <c r="J43" t="s">
        <v>117</v>
      </c>
      <c r="L43" t="s">
        <v>1833</v>
      </c>
      <c r="AN43">
        <v>0</v>
      </c>
      <c r="AO43" t="s">
        <v>1834</v>
      </c>
      <c r="AP43" t="s">
        <v>1834</v>
      </c>
      <c r="AQ43">
        <v>0</v>
      </c>
      <c r="AR43" t="s">
        <v>1835</v>
      </c>
    </row>
    <row r="44" spans="1:44" x14ac:dyDescent="0.25">
      <c r="A44" t="s">
        <v>1828</v>
      </c>
      <c r="B44" t="s">
        <v>1829</v>
      </c>
      <c r="D44" t="s">
        <v>1921</v>
      </c>
      <c r="G44" t="str">
        <f>CONCATENATE(Master_Packing_Database[[#This Row],[Exp '#]],Master_Packing_Database[[#This Row],[Batch '#]])</f>
        <v/>
      </c>
      <c r="H44" t="s">
        <v>1922</v>
      </c>
      <c r="I44" t="s">
        <v>1906</v>
      </c>
      <c r="J44" t="s">
        <v>117</v>
      </c>
      <c r="L44" t="s">
        <v>1923</v>
      </c>
      <c r="AN44">
        <v>0</v>
      </c>
      <c r="AO44" t="s">
        <v>1834</v>
      </c>
      <c r="AP44" t="s">
        <v>1834</v>
      </c>
      <c r="AQ44">
        <v>0</v>
      </c>
      <c r="AR44" t="s">
        <v>1835</v>
      </c>
    </row>
    <row r="45" spans="1:44" x14ac:dyDescent="0.25">
      <c r="A45" t="s">
        <v>1828</v>
      </c>
      <c r="B45" t="s">
        <v>1829</v>
      </c>
      <c r="D45" t="s">
        <v>1921</v>
      </c>
      <c r="G45" t="str">
        <f>CONCATENATE(Master_Packing_Database[[#This Row],[Exp '#]],Master_Packing_Database[[#This Row],[Batch '#]])</f>
        <v/>
      </c>
      <c r="H45" t="s">
        <v>1922</v>
      </c>
      <c r="I45" t="s">
        <v>1906</v>
      </c>
      <c r="J45" t="s">
        <v>117</v>
      </c>
      <c r="L45" t="s">
        <v>1833</v>
      </c>
      <c r="AN45">
        <v>0</v>
      </c>
      <c r="AO45" t="s">
        <v>1834</v>
      </c>
      <c r="AP45" t="s">
        <v>1834</v>
      </c>
      <c r="AQ45">
        <v>0</v>
      </c>
      <c r="AR45" t="s">
        <v>1835</v>
      </c>
    </row>
    <row r="46" spans="1:44" x14ac:dyDescent="0.25">
      <c r="A46" t="s">
        <v>1828</v>
      </c>
      <c r="B46" t="s">
        <v>1829</v>
      </c>
      <c r="D46" t="s">
        <v>1899</v>
      </c>
      <c r="G46" t="str">
        <f>CONCATENATE(Master_Packing_Database[[#This Row],[Exp '#]],Master_Packing_Database[[#This Row],[Batch '#]])</f>
        <v/>
      </c>
      <c r="H46" t="s">
        <v>1930</v>
      </c>
      <c r="I46" t="s">
        <v>1931</v>
      </c>
      <c r="J46" t="s">
        <v>117</v>
      </c>
      <c r="L46" t="s">
        <v>1833</v>
      </c>
      <c r="AN46">
        <v>0</v>
      </c>
      <c r="AO46" t="s">
        <v>1834</v>
      </c>
      <c r="AP46" t="s">
        <v>1834</v>
      </c>
      <c r="AQ46">
        <v>0</v>
      </c>
      <c r="AR46" t="s">
        <v>1835</v>
      </c>
    </row>
    <row r="47" spans="1:44" x14ac:dyDescent="0.25">
      <c r="A47" t="s">
        <v>1828</v>
      </c>
      <c r="B47" t="s">
        <v>1829</v>
      </c>
      <c r="D47" t="s">
        <v>1932</v>
      </c>
      <c r="G47" t="str">
        <f>CONCATENATE(Master_Packing_Database[[#This Row],[Exp '#]],Master_Packing_Database[[#This Row],[Batch '#]])</f>
        <v/>
      </c>
      <c r="H47" t="s">
        <v>1933</v>
      </c>
      <c r="I47" t="s">
        <v>1934</v>
      </c>
      <c r="J47" t="s">
        <v>117</v>
      </c>
      <c r="L47" t="s">
        <v>1833</v>
      </c>
      <c r="AN47">
        <v>0</v>
      </c>
      <c r="AO47" t="s">
        <v>1834</v>
      </c>
      <c r="AP47" t="s">
        <v>1834</v>
      </c>
      <c r="AQ47">
        <v>0</v>
      </c>
      <c r="AR47" t="s">
        <v>1835</v>
      </c>
    </row>
    <row r="48" spans="1:44" x14ac:dyDescent="0.25">
      <c r="A48" t="s">
        <v>1828</v>
      </c>
      <c r="B48" t="s">
        <v>1829</v>
      </c>
      <c r="D48" t="s">
        <v>1935</v>
      </c>
      <c r="G48" t="str">
        <f>CONCATENATE(Master_Packing_Database[[#This Row],[Exp '#]],Master_Packing_Database[[#This Row],[Batch '#]])</f>
        <v/>
      </c>
      <c r="H48" t="s">
        <v>1936</v>
      </c>
      <c r="I48" t="s">
        <v>1937</v>
      </c>
      <c r="J48" t="s">
        <v>117</v>
      </c>
      <c r="L48" t="s">
        <v>1849</v>
      </c>
      <c r="AN48">
        <v>0</v>
      </c>
      <c r="AO48" t="s">
        <v>1834</v>
      </c>
      <c r="AP48" t="s">
        <v>1834</v>
      </c>
      <c r="AQ48">
        <v>0</v>
      </c>
      <c r="AR48" t="s">
        <v>1835</v>
      </c>
    </row>
    <row r="49" spans="1:44" x14ac:dyDescent="0.25">
      <c r="A49" t="s">
        <v>1828</v>
      </c>
      <c r="B49" t="s">
        <v>1829</v>
      </c>
      <c r="D49" t="s">
        <v>1938</v>
      </c>
      <c r="G49" t="str">
        <f>CONCATENATE(Master_Packing_Database[[#This Row],[Exp '#]],Master_Packing_Database[[#This Row],[Batch '#]])</f>
        <v/>
      </c>
      <c r="H49" t="s">
        <v>1939</v>
      </c>
      <c r="I49" t="s">
        <v>1940</v>
      </c>
      <c r="J49" t="s">
        <v>117</v>
      </c>
      <c r="L49" t="s">
        <v>1849</v>
      </c>
      <c r="AN49">
        <v>0</v>
      </c>
      <c r="AO49" t="s">
        <v>1834</v>
      </c>
      <c r="AP49" t="s">
        <v>1834</v>
      </c>
      <c r="AQ49">
        <v>0</v>
      </c>
      <c r="AR49" t="s">
        <v>1835</v>
      </c>
    </row>
    <row r="50" spans="1:44" x14ac:dyDescent="0.25">
      <c r="A50" t="s">
        <v>1828</v>
      </c>
      <c r="B50" t="s">
        <v>1829</v>
      </c>
      <c r="D50" t="s">
        <v>1941</v>
      </c>
      <c r="G50" t="str">
        <f>CONCATENATE(Master_Packing_Database[[#This Row],[Exp '#]],Master_Packing_Database[[#This Row],[Batch '#]])</f>
        <v/>
      </c>
      <c r="H50" t="s">
        <v>1942</v>
      </c>
      <c r="I50" t="s">
        <v>1943</v>
      </c>
      <c r="J50" t="s">
        <v>117</v>
      </c>
      <c r="L50" t="s">
        <v>1849</v>
      </c>
      <c r="AN50">
        <v>0</v>
      </c>
      <c r="AO50" t="s">
        <v>1834</v>
      </c>
      <c r="AP50" t="s">
        <v>1834</v>
      </c>
      <c r="AQ50">
        <v>0</v>
      </c>
      <c r="AR50" t="s">
        <v>1835</v>
      </c>
    </row>
    <row r="51" spans="1:44" x14ac:dyDescent="0.25">
      <c r="A51" t="s">
        <v>1828</v>
      </c>
      <c r="B51" t="s">
        <v>1829</v>
      </c>
      <c r="D51" t="s">
        <v>1935</v>
      </c>
      <c r="G51" t="str">
        <f>CONCATENATE(Master_Packing_Database[[#This Row],[Exp '#]],Master_Packing_Database[[#This Row],[Batch '#]])</f>
        <v/>
      </c>
      <c r="H51" t="s">
        <v>1944</v>
      </c>
      <c r="I51" t="s">
        <v>1945</v>
      </c>
      <c r="J51" t="s">
        <v>117</v>
      </c>
      <c r="L51" t="s">
        <v>1849</v>
      </c>
      <c r="AN51">
        <v>0</v>
      </c>
      <c r="AO51" t="s">
        <v>1834</v>
      </c>
      <c r="AP51" t="s">
        <v>1834</v>
      </c>
      <c r="AQ51">
        <v>0</v>
      </c>
      <c r="AR51" t="s">
        <v>1835</v>
      </c>
    </row>
    <row r="52" spans="1:44" x14ac:dyDescent="0.25">
      <c r="A52" t="s">
        <v>1828</v>
      </c>
      <c r="B52" t="s">
        <v>1829</v>
      </c>
      <c r="D52" t="s">
        <v>1932</v>
      </c>
      <c r="G52" t="str">
        <f>CONCATENATE(Master_Packing_Database[[#This Row],[Exp '#]],Master_Packing_Database[[#This Row],[Batch '#]])</f>
        <v/>
      </c>
      <c r="H52" t="s">
        <v>1946</v>
      </c>
      <c r="I52" t="s">
        <v>1914</v>
      </c>
      <c r="J52" t="s">
        <v>117</v>
      </c>
      <c r="L52" t="s">
        <v>1849</v>
      </c>
      <c r="AN52">
        <v>0</v>
      </c>
      <c r="AO52" t="s">
        <v>1834</v>
      </c>
      <c r="AP52" t="s">
        <v>1834</v>
      </c>
      <c r="AQ52">
        <v>0</v>
      </c>
      <c r="AR52" t="s">
        <v>1835</v>
      </c>
    </row>
    <row r="53" spans="1:44" x14ac:dyDescent="0.25">
      <c r="A53" t="s">
        <v>1828</v>
      </c>
      <c r="B53" t="s">
        <v>1829</v>
      </c>
      <c r="D53" t="s">
        <v>1947</v>
      </c>
      <c r="G53" t="str">
        <f>CONCATENATE(Master_Packing_Database[[#This Row],[Exp '#]],Master_Packing_Database[[#This Row],[Batch '#]])</f>
        <v/>
      </c>
      <c r="H53" t="s">
        <v>1948</v>
      </c>
      <c r="I53" t="s">
        <v>1949</v>
      </c>
      <c r="J53" t="s">
        <v>366</v>
      </c>
      <c r="L53" t="s">
        <v>1950</v>
      </c>
      <c r="AN53">
        <v>0</v>
      </c>
      <c r="AO53" t="s">
        <v>1834</v>
      </c>
      <c r="AP53" t="s">
        <v>1834</v>
      </c>
      <c r="AQ53">
        <v>0</v>
      </c>
      <c r="AR53" t="s">
        <v>1835</v>
      </c>
    </row>
    <row r="54" spans="1:44" x14ac:dyDescent="0.25">
      <c r="A54" t="s">
        <v>1828</v>
      </c>
      <c r="B54" t="s">
        <v>1829</v>
      </c>
      <c r="D54" t="s">
        <v>1915</v>
      </c>
      <c r="G54" t="str">
        <f>CONCATENATE(Master_Packing_Database[[#This Row],[Exp '#]],Master_Packing_Database[[#This Row],[Batch '#]])</f>
        <v/>
      </c>
      <c r="H54" t="s">
        <v>1951</v>
      </c>
      <c r="I54" t="s">
        <v>1952</v>
      </c>
      <c r="J54" t="s">
        <v>366</v>
      </c>
      <c r="L54" t="s">
        <v>1860</v>
      </c>
      <c r="AN54">
        <v>0</v>
      </c>
      <c r="AO54" t="s">
        <v>1834</v>
      </c>
      <c r="AP54" t="s">
        <v>1834</v>
      </c>
      <c r="AQ54">
        <v>0</v>
      </c>
      <c r="AR54" t="s">
        <v>1835</v>
      </c>
    </row>
    <row r="55" spans="1:44" x14ac:dyDescent="0.25">
      <c r="A55" t="s">
        <v>1828</v>
      </c>
      <c r="B55" t="s">
        <v>1829</v>
      </c>
      <c r="D55" t="s">
        <v>1947</v>
      </c>
      <c r="G55" t="str">
        <f>CONCATENATE(Master_Packing_Database[[#This Row],[Exp '#]],Master_Packing_Database[[#This Row],[Batch '#]])</f>
        <v/>
      </c>
      <c r="H55" t="s">
        <v>1953</v>
      </c>
      <c r="I55" t="s">
        <v>1906</v>
      </c>
      <c r="J55" t="s">
        <v>117</v>
      </c>
      <c r="L55" t="s">
        <v>1849</v>
      </c>
      <c r="AN55">
        <v>0</v>
      </c>
      <c r="AO55" t="s">
        <v>1834</v>
      </c>
      <c r="AP55" t="s">
        <v>1834</v>
      </c>
      <c r="AQ55">
        <v>0</v>
      </c>
      <c r="AR55" t="s">
        <v>1835</v>
      </c>
    </row>
    <row r="56" spans="1:44" x14ac:dyDescent="0.25">
      <c r="A56" t="s">
        <v>1828</v>
      </c>
      <c r="B56" t="s">
        <v>1829</v>
      </c>
      <c r="D56" t="s">
        <v>1918</v>
      </c>
      <c r="G56" t="str">
        <f>CONCATENATE(Master_Packing_Database[[#This Row],[Exp '#]],Master_Packing_Database[[#This Row],[Batch '#]])</f>
        <v/>
      </c>
      <c r="H56" t="s">
        <v>1954</v>
      </c>
      <c r="I56" t="s">
        <v>1955</v>
      </c>
      <c r="J56" t="s">
        <v>366</v>
      </c>
      <c r="L56" t="s">
        <v>1956</v>
      </c>
      <c r="AN56">
        <v>0</v>
      </c>
      <c r="AO56" t="s">
        <v>1834</v>
      </c>
      <c r="AP56" t="s">
        <v>1834</v>
      </c>
      <c r="AQ56">
        <v>0</v>
      </c>
      <c r="AR56" t="s">
        <v>1835</v>
      </c>
    </row>
    <row r="57" spans="1:44" x14ac:dyDescent="0.25">
      <c r="A57" t="s">
        <v>1828</v>
      </c>
      <c r="B57" t="s">
        <v>1829</v>
      </c>
      <c r="D57" t="s">
        <v>1910</v>
      </c>
      <c r="G57" t="str">
        <f>CONCATENATE(Master_Packing_Database[[#This Row],[Exp '#]],Master_Packing_Database[[#This Row],[Batch '#]])</f>
        <v/>
      </c>
      <c r="H57" t="s">
        <v>1957</v>
      </c>
      <c r="I57" t="s">
        <v>1949</v>
      </c>
      <c r="J57" t="s">
        <v>366</v>
      </c>
      <c r="L57" t="s">
        <v>1958</v>
      </c>
      <c r="AN57">
        <v>0</v>
      </c>
      <c r="AO57" t="s">
        <v>1834</v>
      </c>
      <c r="AP57" t="s">
        <v>1834</v>
      </c>
      <c r="AQ57">
        <v>0</v>
      </c>
      <c r="AR57" t="s">
        <v>1835</v>
      </c>
    </row>
    <row r="58" spans="1:44" x14ac:dyDescent="0.25">
      <c r="A58" t="s">
        <v>1828</v>
      </c>
      <c r="B58" t="s">
        <v>1829</v>
      </c>
      <c r="D58" t="s">
        <v>1895</v>
      </c>
      <c r="G58" t="str">
        <f>CONCATENATE(Master_Packing_Database[[#This Row],[Exp '#]],Master_Packing_Database[[#This Row],[Batch '#]])</f>
        <v/>
      </c>
      <c r="H58" t="s">
        <v>1959</v>
      </c>
      <c r="I58" t="s">
        <v>1897</v>
      </c>
      <c r="J58" t="s">
        <v>117</v>
      </c>
      <c r="L58" t="s">
        <v>1849</v>
      </c>
      <c r="AN58">
        <v>0</v>
      </c>
      <c r="AO58" t="s">
        <v>1834</v>
      </c>
      <c r="AP58" t="s">
        <v>1834</v>
      </c>
      <c r="AQ58">
        <v>0</v>
      </c>
      <c r="AR58" t="s">
        <v>1835</v>
      </c>
    </row>
    <row r="59" spans="1:44" x14ac:dyDescent="0.25">
      <c r="A59" t="s">
        <v>1828</v>
      </c>
      <c r="B59" t="s">
        <v>1829</v>
      </c>
      <c r="D59" t="s">
        <v>1921</v>
      </c>
      <c r="G59" t="str">
        <f>CONCATENATE(Master_Packing_Database[[#This Row],[Exp '#]],Master_Packing_Database[[#This Row],[Batch '#]])</f>
        <v/>
      </c>
      <c r="H59" t="s">
        <v>1960</v>
      </c>
      <c r="I59" t="s">
        <v>1961</v>
      </c>
      <c r="J59" t="s">
        <v>117</v>
      </c>
      <c r="L59" t="s">
        <v>1833</v>
      </c>
      <c r="AN59">
        <v>0</v>
      </c>
      <c r="AO59" t="s">
        <v>1834</v>
      </c>
      <c r="AP59" t="s">
        <v>1834</v>
      </c>
      <c r="AQ59">
        <v>0</v>
      </c>
      <c r="AR59" t="s">
        <v>1835</v>
      </c>
    </row>
    <row r="60" spans="1:44" x14ac:dyDescent="0.25">
      <c r="A60" t="s">
        <v>1828</v>
      </c>
      <c r="B60" t="s">
        <v>1829</v>
      </c>
      <c r="D60" t="s">
        <v>1857</v>
      </c>
      <c r="G60" t="str">
        <f>CONCATENATE(Master_Packing_Database[[#This Row],[Exp '#]],Master_Packing_Database[[#This Row],[Batch '#]])</f>
        <v/>
      </c>
      <c r="H60" t="s">
        <v>1962</v>
      </c>
      <c r="I60" t="s">
        <v>1963</v>
      </c>
      <c r="J60" t="s">
        <v>117</v>
      </c>
      <c r="L60" t="s">
        <v>521</v>
      </c>
      <c r="AN60">
        <v>0</v>
      </c>
      <c r="AO60" t="s">
        <v>1834</v>
      </c>
      <c r="AP60" t="s">
        <v>1834</v>
      </c>
      <c r="AQ60">
        <v>0</v>
      </c>
      <c r="AR60" t="s">
        <v>1835</v>
      </c>
    </row>
    <row r="61" spans="1:44" x14ac:dyDescent="0.25">
      <c r="A61" t="s">
        <v>1828</v>
      </c>
      <c r="B61" t="s">
        <v>1829</v>
      </c>
      <c r="D61" t="s">
        <v>1921</v>
      </c>
      <c r="G61" t="str">
        <f>CONCATENATE(Master_Packing_Database[[#This Row],[Exp '#]],Master_Packing_Database[[#This Row],[Batch '#]])</f>
        <v/>
      </c>
      <c r="H61" t="s">
        <v>1964</v>
      </c>
      <c r="I61" t="s">
        <v>1906</v>
      </c>
      <c r="J61" t="s">
        <v>117</v>
      </c>
      <c r="L61" t="s">
        <v>1833</v>
      </c>
      <c r="AN61">
        <v>0</v>
      </c>
      <c r="AO61" t="s">
        <v>1834</v>
      </c>
      <c r="AP61" t="s">
        <v>1834</v>
      </c>
      <c r="AQ61">
        <v>0</v>
      </c>
      <c r="AR61" t="s">
        <v>1835</v>
      </c>
    </row>
    <row r="62" spans="1:44" x14ac:dyDescent="0.25">
      <c r="A62" t="s">
        <v>1828</v>
      </c>
      <c r="B62" t="s">
        <v>1829</v>
      </c>
      <c r="D62" t="s">
        <v>1921</v>
      </c>
      <c r="G62" t="str">
        <f>CONCATENATE(Master_Packing_Database[[#This Row],[Exp '#]],Master_Packing_Database[[#This Row],[Batch '#]])</f>
        <v/>
      </c>
      <c r="H62" t="s">
        <v>1964</v>
      </c>
      <c r="I62" t="s">
        <v>1906</v>
      </c>
      <c r="J62" t="s">
        <v>117</v>
      </c>
      <c r="L62" t="s">
        <v>1833</v>
      </c>
      <c r="AN62">
        <v>0</v>
      </c>
      <c r="AO62" t="s">
        <v>1834</v>
      </c>
      <c r="AP62" t="s">
        <v>1834</v>
      </c>
      <c r="AQ62">
        <v>0</v>
      </c>
      <c r="AR62" t="s">
        <v>1835</v>
      </c>
    </row>
    <row r="63" spans="1:44" x14ac:dyDescent="0.25">
      <c r="A63" t="s">
        <v>1828</v>
      </c>
      <c r="B63" t="s">
        <v>1829</v>
      </c>
      <c r="D63" t="s">
        <v>1921</v>
      </c>
      <c r="G63" t="str">
        <f>CONCATENATE(Master_Packing_Database[[#This Row],[Exp '#]],Master_Packing_Database[[#This Row],[Batch '#]])</f>
        <v/>
      </c>
      <c r="H63" t="s">
        <v>1964</v>
      </c>
      <c r="I63" t="s">
        <v>1906</v>
      </c>
      <c r="J63" t="s">
        <v>117</v>
      </c>
      <c r="L63" t="s">
        <v>1833</v>
      </c>
      <c r="AN63">
        <v>0</v>
      </c>
      <c r="AO63" t="s">
        <v>1834</v>
      </c>
      <c r="AP63" t="s">
        <v>1834</v>
      </c>
      <c r="AQ63">
        <v>0</v>
      </c>
      <c r="AR63" t="s">
        <v>1835</v>
      </c>
    </row>
    <row r="64" spans="1:44" x14ac:dyDescent="0.25">
      <c r="A64" t="s">
        <v>1828</v>
      </c>
      <c r="B64" t="s">
        <v>1829</v>
      </c>
      <c r="D64" t="s">
        <v>1965</v>
      </c>
      <c r="G64" t="str">
        <f>CONCATENATE(Master_Packing_Database[[#This Row],[Exp '#]],Master_Packing_Database[[#This Row],[Batch '#]])</f>
        <v/>
      </c>
      <c r="H64" t="s">
        <v>1966</v>
      </c>
      <c r="I64" t="s">
        <v>1967</v>
      </c>
      <c r="J64" t="s">
        <v>117</v>
      </c>
      <c r="L64" t="s">
        <v>1860</v>
      </c>
      <c r="AN64">
        <v>0</v>
      </c>
      <c r="AO64" t="s">
        <v>1834</v>
      </c>
      <c r="AP64" t="s">
        <v>1834</v>
      </c>
      <c r="AQ64">
        <v>0</v>
      </c>
      <c r="AR64" t="s">
        <v>1835</v>
      </c>
    </row>
    <row r="65" spans="1:44" x14ac:dyDescent="0.25">
      <c r="A65" t="s">
        <v>1828</v>
      </c>
      <c r="B65" t="s">
        <v>1829</v>
      </c>
      <c r="D65" t="s">
        <v>1968</v>
      </c>
      <c r="G65" t="str">
        <f>CONCATENATE(Master_Packing_Database[[#This Row],[Exp '#]],Master_Packing_Database[[#This Row],[Batch '#]])</f>
        <v/>
      </c>
      <c r="H65" t="s">
        <v>1969</v>
      </c>
      <c r="I65" t="s">
        <v>1970</v>
      </c>
      <c r="J65" t="s">
        <v>117</v>
      </c>
      <c r="L65" t="s">
        <v>1849</v>
      </c>
      <c r="AN65">
        <v>0</v>
      </c>
      <c r="AO65" t="s">
        <v>1834</v>
      </c>
      <c r="AP65" t="s">
        <v>1834</v>
      </c>
      <c r="AQ65">
        <v>0</v>
      </c>
      <c r="AR65" t="s">
        <v>1835</v>
      </c>
    </row>
    <row r="66" spans="1:44" x14ac:dyDescent="0.25">
      <c r="A66" t="s">
        <v>1828</v>
      </c>
      <c r="B66" t="s">
        <v>1829</v>
      </c>
      <c r="D66" t="s">
        <v>1971</v>
      </c>
      <c r="G66" t="str">
        <f>CONCATENATE(Master_Packing_Database[[#This Row],[Exp '#]],Master_Packing_Database[[#This Row],[Batch '#]])</f>
        <v/>
      </c>
      <c r="H66" t="s">
        <v>1972</v>
      </c>
      <c r="I66" t="s">
        <v>1973</v>
      </c>
      <c r="J66" t="s">
        <v>117</v>
      </c>
      <c r="L66" t="s">
        <v>1849</v>
      </c>
      <c r="AN66">
        <v>0</v>
      </c>
      <c r="AO66" t="s">
        <v>1834</v>
      </c>
      <c r="AP66" t="s">
        <v>1834</v>
      </c>
      <c r="AQ66">
        <v>0</v>
      </c>
      <c r="AR66" t="s">
        <v>1835</v>
      </c>
    </row>
    <row r="67" spans="1:44" x14ac:dyDescent="0.25">
      <c r="A67" t="s">
        <v>1828</v>
      </c>
      <c r="B67" t="s">
        <v>1829</v>
      </c>
      <c r="D67" t="s">
        <v>1965</v>
      </c>
      <c r="G67" t="str">
        <f>CONCATENATE(Master_Packing_Database[[#This Row],[Exp '#]],Master_Packing_Database[[#This Row],[Batch '#]])</f>
        <v/>
      </c>
      <c r="H67" t="s">
        <v>1974</v>
      </c>
      <c r="I67" t="s">
        <v>1975</v>
      </c>
      <c r="J67" t="s">
        <v>117</v>
      </c>
      <c r="L67" t="s">
        <v>1849</v>
      </c>
      <c r="AN67">
        <v>0</v>
      </c>
      <c r="AO67" t="s">
        <v>1834</v>
      </c>
      <c r="AP67" t="s">
        <v>1834</v>
      </c>
      <c r="AQ67">
        <v>0</v>
      </c>
      <c r="AR67" t="s">
        <v>1835</v>
      </c>
    </row>
    <row r="68" spans="1:44" x14ac:dyDescent="0.25">
      <c r="A68" t="s">
        <v>1828</v>
      </c>
      <c r="B68" t="s">
        <v>1829</v>
      </c>
      <c r="D68" t="s">
        <v>1976</v>
      </c>
      <c r="G68" t="str">
        <f>CONCATENATE(Master_Packing_Database[[#This Row],[Exp '#]],Master_Packing_Database[[#This Row],[Batch '#]])</f>
        <v/>
      </c>
      <c r="H68" t="s">
        <v>1977</v>
      </c>
      <c r="I68" t="s">
        <v>1978</v>
      </c>
      <c r="J68" t="s">
        <v>366</v>
      </c>
      <c r="L68" t="s">
        <v>1979</v>
      </c>
      <c r="AN68">
        <v>0</v>
      </c>
      <c r="AO68" t="s">
        <v>1834</v>
      </c>
      <c r="AP68" t="s">
        <v>1834</v>
      </c>
      <c r="AQ68">
        <v>0</v>
      </c>
      <c r="AR68" t="s">
        <v>1835</v>
      </c>
    </row>
    <row r="69" spans="1:44" x14ac:dyDescent="0.25">
      <c r="A69" t="s">
        <v>1828</v>
      </c>
      <c r="B69" t="s">
        <v>1829</v>
      </c>
      <c r="D69" t="s">
        <v>1935</v>
      </c>
      <c r="G69" t="str">
        <f>CONCATENATE(Master_Packing_Database[[#This Row],[Exp '#]],Master_Packing_Database[[#This Row],[Batch '#]])</f>
        <v/>
      </c>
      <c r="H69" t="s">
        <v>1980</v>
      </c>
      <c r="I69" t="s">
        <v>1931</v>
      </c>
      <c r="J69" t="s">
        <v>117</v>
      </c>
      <c r="L69" t="s">
        <v>1849</v>
      </c>
      <c r="AN69">
        <v>0</v>
      </c>
      <c r="AO69" t="s">
        <v>1834</v>
      </c>
      <c r="AP69" t="s">
        <v>1834</v>
      </c>
      <c r="AQ69">
        <v>0</v>
      </c>
      <c r="AR69" t="s">
        <v>1835</v>
      </c>
    </row>
    <row r="70" spans="1:44" x14ac:dyDescent="0.25">
      <c r="A70" t="s">
        <v>1828</v>
      </c>
      <c r="B70" t="s">
        <v>1829</v>
      </c>
      <c r="D70" t="s">
        <v>1981</v>
      </c>
      <c r="G70" t="str">
        <f>CONCATENATE(Master_Packing_Database[[#This Row],[Exp '#]],Master_Packing_Database[[#This Row],[Batch '#]])</f>
        <v/>
      </c>
      <c r="H70" t="s">
        <v>1982</v>
      </c>
      <c r="I70" t="s">
        <v>1983</v>
      </c>
      <c r="J70" t="s">
        <v>117</v>
      </c>
      <c r="L70" t="s">
        <v>1984</v>
      </c>
      <c r="AN70">
        <v>0</v>
      </c>
      <c r="AO70" t="s">
        <v>1834</v>
      </c>
      <c r="AP70" t="s">
        <v>1834</v>
      </c>
      <c r="AQ70">
        <v>0</v>
      </c>
      <c r="AR70" t="s">
        <v>1835</v>
      </c>
    </row>
    <row r="71" spans="1:44" x14ac:dyDescent="0.25">
      <c r="A71" t="s">
        <v>1828</v>
      </c>
      <c r="B71" t="s">
        <v>1829</v>
      </c>
      <c r="D71" t="s">
        <v>1910</v>
      </c>
      <c r="G71" t="str">
        <f>CONCATENATE(Master_Packing_Database[[#This Row],[Exp '#]],Master_Packing_Database[[#This Row],[Batch '#]])</f>
        <v/>
      </c>
      <c r="H71" t="s">
        <v>1985</v>
      </c>
      <c r="I71" t="s">
        <v>1986</v>
      </c>
      <c r="J71" t="s">
        <v>366</v>
      </c>
      <c r="L71" t="s">
        <v>1987</v>
      </c>
      <c r="AN71">
        <v>0</v>
      </c>
      <c r="AO71" t="s">
        <v>1834</v>
      </c>
      <c r="AP71" t="s">
        <v>1834</v>
      </c>
      <c r="AQ71">
        <v>0</v>
      </c>
      <c r="AR71" t="s">
        <v>1835</v>
      </c>
    </row>
    <row r="72" spans="1:44" x14ac:dyDescent="0.25">
      <c r="A72" t="s">
        <v>1828</v>
      </c>
      <c r="B72" t="s">
        <v>1829</v>
      </c>
      <c r="D72" t="s">
        <v>1910</v>
      </c>
      <c r="G72" t="str">
        <f>CONCATENATE(Master_Packing_Database[[#This Row],[Exp '#]],Master_Packing_Database[[#This Row],[Batch '#]])</f>
        <v/>
      </c>
      <c r="H72" t="s">
        <v>1988</v>
      </c>
      <c r="I72" t="s">
        <v>1989</v>
      </c>
      <c r="J72" t="s">
        <v>366</v>
      </c>
      <c r="L72" t="s">
        <v>1860</v>
      </c>
      <c r="AN72">
        <v>0</v>
      </c>
      <c r="AO72" t="s">
        <v>1834</v>
      </c>
      <c r="AP72" t="s">
        <v>1834</v>
      </c>
      <c r="AQ72">
        <v>0</v>
      </c>
      <c r="AR72" t="s">
        <v>1835</v>
      </c>
    </row>
    <row r="73" spans="1:44" x14ac:dyDescent="0.25">
      <c r="A73" t="s">
        <v>1828</v>
      </c>
      <c r="B73" t="s">
        <v>1829</v>
      </c>
      <c r="D73" t="s">
        <v>1910</v>
      </c>
      <c r="G73" t="str">
        <f>CONCATENATE(Master_Packing_Database[[#This Row],[Exp '#]],Master_Packing_Database[[#This Row],[Batch '#]])</f>
        <v/>
      </c>
      <c r="H73" t="s">
        <v>1990</v>
      </c>
      <c r="I73" t="s">
        <v>1991</v>
      </c>
      <c r="J73" t="s">
        <v>366</v>
      </c>
      <c r="L73" t="s">
        <v>1860</v>
      </c>
      <c r="AN73">
        <v>0</v>
      </c>
      <c r="AO73" t="s">
        <v>1834</v>
      </c>
      <c r="AP73" t="s">
        <v>1834</v>
      </c>
      <c r="AQ73">
        <v>0</v>
      </c>
      <c r="AR73" t="s">
        <v>1835</v>
      </c>
    </row>
    <row r="74" spans="1:44" x14ac:dyDescent="0.25">
      <c r="A74" t="s">
        <v>1828</v>
      </c>
      <c r="B74" t="s">
        <v>1829</v>
      </c>
      <c r="D74" t="s">
        <v>1895</v>
      </c>
      <c r="G74" t="str">
        <f>CONCATENATE(Master_Packing_Database[[#This Row],[Exp '#]],Master_Packing_Database[[#This Row],[Batch '#]])</f>
        <v/>
      </c>
      <c r="H74" t="s">
        <v>1992</v>
      </c>
      <c r="I74" t="s">
        <v>1949</v>
      </c>
      <c r="J74" t="s">
        <v>366</v>
      </c>
      <c r="L74" t="s">
        <v>1993</v>
      </c>
      <c r="AN74">
        <v>0</v>
      </c>
      <c r="AO74" t="s">
        <v>1834</v>
      </c>
      <c r="AP74" t="s">
        <v>1834</v>
      </c>
      <c r="AQ74">
        <v>0</v>
      </c>
      <c r="AR74" t="s">
        <v>1835</v>
      </c>
    </row>
    <row r="75" spans="1:44" x14ac:dyDescent="0.25">
      <c r="A75" t="s">
        <v>1828</v>
      </c>
      <c r="B75" t="s">
        <v>1829</v>
      </c>
      <c r="D75" t="s">
        <v>1886</v>
      </c>
      <c r="G75" t="str">
        <f>CONCATENATE(Master_Packing_Database[[#This Row],[Exp '#]],Master_Packing_Database[[#This Row],[Batch '#]])</f>
        <v/>
      </c>
      <c r="H75" t="s">
        <v>1994</v>
      </c>
      <c r="I75" t="s">
        <v>1995</v>
      </c>
      <c r="J75" t="s">
        <v>366</v>
      </c>
      <c r="L75" t="s">
        <v>1996</v>
      </c>
      <c r="AN75">
        <v>0</v>
      </c>
      <c r="AO75" t="s">
        <v>1834</v>
      </c>
      <c r="AP75" t="s">
        <v>1834</v>
      </c>
      <c r="AQ75">
        <v>0</v>
      </c>
      <c r="AR75" t="s">
        <v>1835</v>
      </c>
    </row>
    <row r="76" spans="1:44" x14ac:dyDescent="0.25">
      <c r="A76" t="s">
        <v>1828</v>
      </c>
      <c r="B76" t="s">
        <v>1829</v>
      </c>
      <c r="D76" t="s">
        <v>1932</v>
      </c>
      <c r="G76" t="str">
        <f>CONCATENATE(Master_Packing_Database[[#This Row],[Exp '#]],Master_Packing_Database[[#This Row],[Batch '#]])</f>
        <v/>
      </c>
      <c r="H76" t="s">
        <v>1997</v>
      </c>
      <c r="I76" t="s">
        <v>1998</v>
      </c>
      <c r="J76" t="s">
        <v>117</v>
      </c>
      <c r="L76" t="s">
        <v>1833</v>
      </c>
      <c r="AN76">
        <v>0</v>
      </c>
      <c r="AO76" t="s">
        <v>1834</v>
      </c>
      <c r="AP76" t="s">
        <v>1834</v>
      </c>
      <c r="AQ76">
        <v>0</v>
      </c>
      <c r="AR76" t="s">
        <v>1835</v>
      </c>
    </row>
    <row r="77" spans="1:44" x14ac:dyDescent="0.25">
      <c r="A77" t="s">
        <v>1828</v>
      </c>
      <c r="B77" t="s">
        <v>1829</v>
      </c>
      <c r="D77" t="s">
        <v>1904</v>
      </c>
      <c r="G77" t="str">
        <f>CONCATENATE(Master_Packing_Database[[#This Row],[Exp '#]],Master_Packing_Database[[#This Row],[Batch '#]])</f>
        <v/>
      </c>
      <c r="H77" t="s">
        <v>1999</v>
      </c>
      <c r="I77" t="s">
        <v>2000</v>
      </c>
      <c r="J77" t="s">
        <v>117</v>
      </c>
      <c r="L77" t="s">
        <v>1833</v>
      </c>
      <c r="AN77">
        <v>0</v>
      </c>
      <c r="AO77" t="s">
        <v>1834</v>
      </c>
      <c r="AP77" t="s">
        <v>1834</v>
      </c>
      <c r="AQ77">
        <v>0</v>
      </c>
      <c r="AR77" t="s">
        <v>1835</v>
      </c>
    </row>
    <row r="78" spans="1:44" x14ac:dyDescent="0.25">
      <c r="A78" t="s">
        <v>1828</v>
      </c>
      <c r="B78" t="s">
        <v>1829</v>
      </c>
      <c r="D78" t="s">
        <v>1843</v>
      </c>
      <c r="G78" t="str">
        <f>CONCATENATE(Master_Packing_Database[[#This Row],[Exp '#]],Master_Packing_Database[[#This Row],[Batch '#]])</f>
        <v/>
      </c>
      <c r="H78" t="s">
        <v>2001</v>
      </c>
      <c r="I78" t="s">
        <v>2002</v>
      </c>
      <c r="J78" t="s">
        <v>366</v>
      </c>
      <c r="L78" t="s">
        <v>2003</v>
      </c>
      <c r="AN78">
        <v>0</v>
      </c>
      <c r="AO78" t="s">
        <v>1834</v>
      </c>
      <c r="AP78" t="s">
        <v>1834</v>
      </c>
      <c r="AQ78">
        <v>0</v>
      </c>
      <c r="AR78" t="s">
        <v>1835</v>
      </c>
    </row>
    <row r="79" spans="1:44" x14ac:dyDescent="0.25">
      <c r="A79" t="s">
        <v>1828</v>
      </c>
      <c r="B79" t="s">
        <v>1829</v>
      </c>
      <c r="D79" t="s">
        <v>1873</v>
      </c>
      <c r="G79" t="str">
        <f>CONCATENATE(Master_Packing_Database[[#This Row],[Exp '#]],Master_Packing_Database[[#This Row],[Batch '#]])</f>
        <v/>
      </c>
      <c r="H79" t="s">
        <v>2004</v>
      </c>
      <c r="I79" t="s">
        <v>1906</v>
      </c>
      <c r="J79" t="s">
        <v>117</v>
      </c>
      <c r="L79" t="s">
        <v>1833</v>
      </c>
      <c r="AN79">
        <v>0</v>
      </c>
      <c r="AO79" t="s">
        <v>1834</v>
      </c>
      <c r="AP79" t="s">
        <v>1834</v>
      </c>
      <c r="AQ79">
        <v>0</v>
      </c>
      <c r="AR79" t="s">
        <v>1835</v>
      </c>
    </row>
    <row r="80" spans="1:44" x14ac:dyDescent="0.25">
      <c r="A80" t="s">
        <v>1828</v>
      </c>
      <c r="B80" t="s">
        <v>1829</v>
      </c>
      <c r="D80" t="s">
        <v>2005</v>
      </c>
      <c r="G80" t="str">
        <f>CONCATENATE(Master_Packing_Database[[#This Row],[Exp '#]],Master_Packing_Database[[#This Row],[Batch '#]])</f>
        <v/>
      </c>
      <c r="H80" t="s">
        <v>2006</v>
      </c>
      <c r="I80" t="s">
        <v>2007</v>
      </c>
      <c r="J80" t="s">
        <v>117</v>
      </c>
      <c r="L80" t="s">
        <v>1833</v>
      </c>
      <c r="AN80">
        <v>0</v>
      </c>
      <c r="AO80" t="s">
        <v>1834</v>
      </c>
      <c r="AP80" t="s">
        <v>1834</v>
      </c>
      <c r="AQ80">
        <v>0</v>
      </c>
      <c r="AR80" t="s">
        <v>1835</v>
      </c>
    </row>
    <row r="81" spans="1:44" x14ac:dyDescent="0.25">
      <c r="A81" t="s">
        <v>1828</v>
      </c>
      <c r="B81" t="s">
        <v>1829</v>
      </c>
      <c r="D81" t="s">
        <v>1947</v>
      </c>
      <c r="G81" t="str">
        <f>CONCATENATE(Master_Packing_Database[[#This Row],[Exp '#]],Master_Packing_Database[[#This Row],[Batch '#]])</f>
        <v/>
      </c>
      <c r="H81" t="s">
        <v>1953</v>
      </c>
      <c r="I81" t="s">
        <v>1906</v>
      </c>
      <c r="J81" t="s">
        <v>117</v>
      </c>
      <c r="L81" t="s">
        <v>1833</v>
      </c>
      <c r="AN81">
        <v>0</v>
      </c>
      <c r="AO81" t="s">
        <v>1834</v>
      </c>
      <c r="AP81" t="s">
        <v>1834</v>
      </c>
      <c r="AQ81">
        <v>0</v>
      </c>
      <c r="AR81" t="s">
        <v>1835</v>
      </c>
    </row>
    <row r="82" spans="1:44" x14ac:dyDescent="0.25">
      <c r="A82" t="s">
        <v>1828</v>
      </c>
      <c r="B82" t="s">
        <v>1829</v>
      </c>
      <c r="D82" t="s">
        <v>2008</v>
      </c>
      <c r="G82" t="str">
        <f>CONCATENATE(Master_Packing_Database[[#This Row],[Exp '#]],Master_Packing_Database[[#This Row],[Batch '#]])</f>
        <v/>
      </c>
      <c r="H82" t="s">
        <v>2009</v>
      </c>
      <c r="I82" t="s">
        <v>1914</v>
      </c>
      <c r="J82" t="s">
        <v>366</v>
      </c>
      <c r="L82" t="s">
        <v>2010</v>
      </c>
      <c r="AN82">
        <v>0</v>
      </c>
      <c r="AO82" t="s">
        <v>1834</v>
      </c>
      <c r="AP82" t="s">
        <v>1834</v>
      </c>
      <c r="AQ82">
        <v>0</v>
      </c>
      <c r="AR82" t="s">
        <v>1835</v>
      </c>
    </row>
    <row r="83" spans="1:44" x14ac:dyDescent="0.25">
      <c r="A83" t="s">
        <v>1828</v>
      </c>
      <c r="B83" t="s">
        <v>1829</v>
      </c>
      <c r="D83" t="s">
        <v>1918</v>
      </c>
      <c r="G83" t="str">
        <f>CONCATENATE(Master_Packing_Database[[#This Row],[Exp '#]],Master_Packing_Database[[#This Row],[Batch '#]])</f>
        <v/>
      </c>
      <c r="H83" t="s">
        <v>2011</v>
      </c>
      <c r="I83" t="s">
        <v>1949</v>
      </c>
      <c r="J83" t="s">
        <v>366</v>
      </c>
      <c r="L83" t="s">
        <v>1958</v>
      </c>
      <c r="AN83">
        <v>0</v>
      </c>
      <c r="AO83" t="s">
        <v>1834</v>
      </c>
      <c r="AP83" t="s">
        <v>1834</v>
      </c>
      <c r="AQ83">
        <v>0</v>
      </c>
      <c r="AR83" t="s">
        <v>1835</v>
      </c>
    </row>
    <row r="84" spans="1:44" x14ac:dyDescent="0.25">
      <c r="A84" t="s">
        <v>1828</v>
      </c>
      <c r="B84" t="s">
        <v>1829</v>
      </c>
      <c r="D84" t="s">
        <v>1895</v>
      </c>
      <c r="G84" t="str">
        <f>CONCATENATE(Master_Packing_Database[[#This Row],[Exp '#]],Master_Packing_Database[[#This Row],[Batch '#]])</f>
        <v/>
      </c>
      <c r="H84" t="s">
        <v>2012</v>
      </c>
      <c r="I84" t="s">
        <v>1906</v>
      </c>
      <c r="J84" t="s">
        <v>117</v>
      </c>
      <c r="L84" t="s">
        <v>2013</v>
      </c>
      <c r="AN84">
        <v>0</v>
      </c>
      <c r="AO84" t="s">
        <v>1834</v>
      </c>
      <c r="AP84" t="s">
        <v>1834</v>
      </c>
      <c r="AQ84">
        <v>0</v>
      </c>
      <c r="AR84" t="s">
        <v>1835</v>
      </c>
    </row>
    <row r="85" spans="1:44" x14ac:dyDescent="0.25">
      <c r="A85" t="s">
        <v>1828</v>
      </c>
      <c r="B85" t="s">
        <v>1829</v>
      </c>
      <c r="D85" t="s">
        <v>1932</v>
      </c>
      <c r="G85" t="str">
        <f>CONCATENATE(Master_Packing_Database[[#This Row],[Exp '#]],Master_Packing_Database[[#This Row],[Batch '#]])</f>
        <v/>
      </c>
      <c r="H85" t="s">
        <v>1946</v>
      </c>
      <c r="I85" t="s">
        <v>1914</v>
      </c>
      <c r="J85" t="s">
        <v>117</v>
      </c>
      <c r="L85" t="s">
        <v>1979</v>
      </c>
      <c r="AN85">
        <v>0</v>
      </c>
      <c r="AO85" t="s">
        <v>1834</v>
      </c>
      <c r="AP85" t="s">
        <v>1834</v>
      </c>
      <c r="AQ85">
        <v>0</v>
      </c>
      <c r="AR85" t="s">
        <v>1835</v>
      </c>
    </row>
    <row r="86" spans="1:44" x14ac:dyDescent="0.25">
      <c r="A86" t="s">
        <v>1828</v>
      </c>
      <c r="B86" t="s">
        <v>1829</v>
      </c>
      <c r="D86" t="s">
        <v>1932</v>
      </c>
      <c r="G86" t="str">
        <f>CONCATENATE(Master_Packing_Database[[#This Row],[Exp '#]],Master_Packing_Database[[#This Row],[Batch '#]])</f>
        <v/>
      </c>
      <c r="H86" t="s">
        <v>2014</v>
      </c>
      <c r="I86" t="s">
        <v>2015</v>
      </c>
      <c r="J86" t="s">
        <v>117</v>
      </c>
      <c r="L86" t="s">
        <v>1849</v>
      </c>
      <c r="AN86">
        <v>0</v>
      </c>
      <c r="AO86" t="s">
        <v>1834</v>
      </c>
      <c r="AP86" t="s">
        <v>1834</v>
      </c>
      <c r="AQ86">
        <v>0</v>
      </c>
      <c r="AR86" t="s">
        <v>1835</v>
      </c>
    </row>
    <row r="87" spans="1:44" x14ac:dyDescent="0.25">
      <c r="A87" t="s">
        <v>1828</v>
      </c>
      <c r="B87" t="s">
        <v>1829</v>
      </c>
      <c r="D87" t="s">
        <v>1895</v>
      </c>
      <c r="G87" t="str">
        <f>CONCATENATE(Master_Packing_Database[[#This Row],[Exp '#]],Master_Packing_Database[[#This Row],[Batch '#]])</f>
        <v/>
      </c>
      <c r="H87" t="s">
        <v>2016</v>
      </c>
      <c r="I87" t="s">
        <v>1949</v>
      </c>
      <c r="J87" t="s">
        <v>366</v>
      </c>
      <c r="L87" t="s">
        <v>1993</v>
      </c>
      <c r="AN87">
        <v>0</v>
      </c>
      <c r="AO87" t="s">
        <v>1834</v>
      </c>
      <c r="AP87" t="s">
        <v>1834</v>
      </c>
      <c r="AQ87">
        <v>0</v>
      </c>
      <c r="AR87" t="s">
        <v>1835</v>
      </c>
    </row>
    <row r="88" spans="1:44" x14ac:dyDescent="0.25">
      <c r="A88" t="s">
        <v>1828</v>
      </c>
      <c r="B88" t="s">
        <v>1829</v>
      </c>
      <c r="D88" t="s">
        <v>1910</v>
      </c>
      <c r="G88" t="str">
        <f>CONCATENATE(Master_Packing_Database[[#This Row],[Exp '#]],Master_Packing_Database[[#This Row],[Batch '#]])</f>
        <v/>
      </c>
      <c r="H88" t="s">
        <v>2017</v>
      </c>
      <c r="I88" t="s">
        <v>2018</v>
      </c>
      <c r="J88" t="s">
        <v>366</v>
      </c>
      <c r="L88" t="s">
        <v>1958</v>
      </c>
      <c r="AN88">
        <v>0</v>
      </c>
      <c r="AO88" t="s">
        <v>1834</v>
      </c>
      <c r="AP88" t="s">
        <v>1834</v>
      </c>
      <c r="AQ88">
        <v>0</v>
      </c>
      <c r="AR88" t="s">
        <v>1835</v>
      </c>
    </row>
    <row r="89" spans="1:44" x14ac:dyDescent="0.25">
      <c r="A89" t="s">
        <v>1828</v>
      </c>
      <c r="B89" t="s">
        <v>1829</v>
      </c>
      <c r="D89" t="s">
        <v>1910</v>
      </c>
      <c r="G89" t="str">
        <f>CONCATENATE(Master_Packing_Database[[#This Row],[Exp '#]],Master_Packing_Database[[#This Row],[Batch '#]])</f>
        <v/>
      </c>
      <c r="H89" t="s">
        <v>2019</v>
      </c>
      <c r="I89" t="s">
        <v>2020</v>
      </c>
      <c r="J89" t="s">
        <v>117</v>
      </c>
      <c r="L89" t="s">
        <v>1979</v>
      </c>
      <c r="AN89">
        <v>0</v>
      </c>
      <c r="AO89" t="s">
        <v>1834</v>
      </c>
      <c r="AP89" t="s">
        <v>1834</v>
      </c>
      <c r="AQ89">
        <v>0</v>
      </c>
      <c r="AR89" t="s">
        <v>1835</v>
      </c>
    </row>
    <row r="90" spans="1:44" x14ac:dyDescent="0.25">
      <c r="A90" t="s">
        <v>1828</v>
      </c>
      <c r="B90" t="s">
        <v>1829</v>
      </c>
      <c r="D90" t="s">
        <v>2021</v>
      </c>
      <c r="G90" t="str">
        <f>CONCATENATE(Master_Packing_Database[[#This Row],[Exp '#]],Master_Packing_Database[[#This Row],[Batch '#]])</f>
        <v/>
      </c>
      <c r="H90" t="s">
        <v>2022</v>
      </c>
      <c r="I90" t="s">
        <v>1914</v>
      </c>
      <c r="J90" t="s">
        <v>117</v>
      </c>
      <c r="L90" t="s">
        <v>2010</v>
      </c>
      <c r="AN90">
        <v>0</v>
      </c>
      <c r="AO90" t="s">
        <v>1834</v>
      </c>
      <c r="AP90" t="s">
        <v>1834</v>
      </c>
      <c r="AQ90">
        <v>0</v>
      </c>
      <c r="AR90" t="s">
        <v>1835</v>
      </c>
    </row>
    <row r="91" spans="1:44" x14ac:dyDescent="0.25">
      <c r="A91" t="s">
        <v>1828</v>
      </c>
      <c r="B91" t="s">
        <v>1829</v>
      </c>
      <c r="D91" t="s">
        <v>2005</v>
      </c>
      <c r="G91" t="str">
        <f>CONCATENATE(Master_Packing_Database[[#This Row],[Exp '#]],Master_Packing_Database[[#This Row],[Batch '#]])</f>
        <v/>
      </c>
      <c r="H91" t="s">
        <v>2023</v>
      </c>
      <c r="I91" t="s">
        <v>2024</v>
      </c>
      <c r="J91" t="s">
        <v>117</v>
      </c>
      <c r="L91" t="s">
        <v>2010</v>
      </c>
      <c r="AN91">
        <v>0</v>
      </c>
      <c r="AO91" t="s">
        <v>1834</v>
      </c>
      <c r="AP91" t="s">
        <v>1834</v>
      </c>
      <c r="AQ91">
        <v>0</v>
      </c>
      <c r="AR91" t="s">
        <v>1835</v>
      </c>
    </row>
    <row r="92" spans="1:44" x14ac:dyDescent="0.25">
      <c r="A92" t="s">
        <v>1828</v>
      </c>
      <c r="B92" t="s">
        <v>1829</v>
      </c>
      <c r="D92" t="s">
        <v>1976</v>
      </c>
      <c r="G92" t="str">
        <f>CONCATENATE(Master_Packing_Database[[#This Row],[Exp '#]],Master_Packing_Database[[#This Row],[Batch '#]])</f>
        <v/>
      </c>
      <c r="H92" t="s">
        <v>2025</v>
      </c>
      <c r="I92" t="s">
        <v>2026</v>
      </c>
      <c r="J92" t="s">
        <v>366</v>
      </c>
      <c r="L92" t="s">
        <v>2027</v>
      </c>
      <c r="AN92">
        <v>0</v>
      </c>
      <c r="AO92" t="s">
        <v>1834</v>
      </c>
      <c r="AP92" t="s">
        <v>1834</v>
      </c>
      <c r="AQ92">
        <v>0</v>
      </c>
      <c r="AR92" t="s">
        <v>1835</v>
      </c>
    </row>
    <row r="93" spans="1:44" x14ac:dyDescent="0.25">
      <c r="A93" t="s">
        <v>1828</v>
      </c>
      <c r="B93" t="s">
        <v>1829</v>
      </c>
      <c r="D93" t="s">
        <v>2028</v>
      </c>
      <c r="G93" t="str">
        <f>CONCATENATE(Master_Packing_Database[[#This Row],[Exp '#]],Master_Packing_Database[[#This Row],[Batch '#]])</f>
        <v/>
      </c>
      <c r="H93" t="s">
        <v>2029</v>
      </c>
      <c r="I93" t="s">
        <v>1832</v>
      </c>
      <c r="J93" t="s">
        <v>117</v>
      </c>
      <c r="L93" t="s">
        <v>1849</v>
      </c>
      <c r="AN93">
        <v>0</v>
      </c>
      <c r="AO93" t="s">
        <v>1834</v>
      </c>
      <c r="AP93" t="s">
        <v>1834</v>
      </c>
      <c r="AQ93">
        <v>0</v>
      </c>
      <c r="AR93" t="s">
        <v>1835</v>
      </c>
    </row>
    <row r="94" spans="1:44" x14ac:dyDescent="0.25">
      <c r="A94" t="s">
        <v>1828</v>
      </c>
      <c r="B94" t="s">
        <v>1829</v>
      </c>
      <c r="D94" t="s">
        <v>1935</v>
      </c>
      <c r="G94" t="str">
        <f>CONCATENATE(Master_Packing_Database[[#This Row],[Exp '#]],Master_Packing_Database[[#This Row],[Batch '#]])</f>
        <v/>
      </c>
      <c r="H94" t="s">
        <v>2030</v>
      </c>
      <c r="I94" t="s">
        <v>1945</v>
      </c>
      <c r="J94" t="s">
        <v>117</v>
      </c>
      <c r="L94" t="s">
        <v>1849</v>
      </c>
      <c r="AN94">
        <v>0</v>
      </c>
      <c r="AO94" t="s">
        <v>1834</v>
      </c>
      <c r="AP94" t="s">
        <v>1834</v>
      </c>
      <c r="AQ94">
        <v>0</v>
      </c>
      <c r="AR94" t="s">
        <v>1835</v>
      </c>
    </row>
    <row r="95" spans="1:44" x14ac:dyDescent="0.25">
      <c r="A95" t="s">
        <v>1828</v>
      </c>
      <c r="B95" t="s">
        <v>1829</v>
      </c>
      <c r="D95" t="s">
        <v>2031</v>
      </c>
      <c r="G95" t="str">
        <f>CONCATENATE(Master_Packing_Database[[#This Row],[Exp '#]],Master_Packing_Database[[#This Row],[Batch '#]])</f>
        <v/>
      </c>
      <c r="H95" t="s">
        <v>2032</v>
      </c>
      <c r="I95" t="s">
        <v>2033</v>
      </c>
      <c r="J95" t="s">
        <v>117</v>
      </c>
      <c r="L95" t="s">
        <v>1849</v>
      </c>
      <c r="AN95">
        <v>0</v>
      </c>
      <c r="AO95" t="s">
        <v>1834</v>
      </c>
      <c r="AP95" t="s">
        <v>1834</v>
      </c>
      <c r="AQ95">
        <v>0</v>
      </c>
      <c r="AR95" t="s">
        <v>1835</v>
      </c>
    </row>
    <row r="96" spans="1:44" x14ac:dyDescent="0.25">
      <c r="A96" t="s">
        <v>1828</v>
      </c>
      <c r="B96" t="s">
        <v>1829</v>
      </c>
      <c r="D96" t="s">
        <v>2034</v>
      </c>
      <c r="G96" t="str">
        <f>CONCATENATE(Master_Packing_Database[[#This Row],[Exp '#]],Master_Packing_Database[[#This Row],[Batch '#]])</f>
        <v/>
      </c>
      <c r="H96" t="s">
        <v>2035</v>
      </c>
      <c r="I96" t="s">
        <v>1970</v>
      </c>
      <c r="J96" t="s">
        <v>117</v>
      </c>
      <c r="L96" t="s">
        <v>1979</v>
      </c>
      <c r="AN96">
        <v>0</v>
      </c>
      <c r="AO96" t="s">
        <v>1834</v>
      </c>
      <c r="AP96" t="s">
        <v>1834</v>
      </c>
      <c r="AQ96">
        <v>0</v>
      </c>
      <c r="AR96" t="s">
        <v>1835</v>
      </c>
    </row>
    <row r="97" spans="1:44" x14ac:dyDescent="0.25">
      <c r="A97" t="s">
        <v>1828</v>
      </c>
      <c r="B97" t="s">
        <v>1829</v>
      </c>
      <c r="D97" t="s">
        <v>2036</v>
      </c>
      <c r="G97" t="str">
        <f>CONCATENATE(Master_Packing_Database[[#This Row],[Exp '#]],Master_Packing_Database[[#This Row],[Batch '#]])</f>
        <v/>
      </c>
      <c r="H97" t="s">
        <v>2037</v>
      </c>
      <c r="I97" t="s">
        <v>1970</v>
      </c>
      <c r="J97" t="s">
        <v>117</v>
      </c>
      <c r="L97" t="s">
        <v>1979</v>
      </c>
      <c r="AN97">
        <v>0</v>
      </c>
      <c r="AO97" t="s">
        <v>1834</v>
      </c>
      <c r="AP97" t="s">
        <v>1834</v>
      </c>
      <c r="AQ97">
        <v>0</v>
      </c>
      <c r="AR97" t="s">
        <v>1835</v>
      </c>
    </row>
    <row r="98" spans="1:44" x14ac:dyDescent="0.25">
      <c r="A98" t="s">
        <v>1828</v>
      </c>
      <c r="B98" t="s">
        <v>1829</v>
      </c>
      <c r="D98" t="s">
        <v>1843</v>
      </c>
      <c r="G98" t="str">
        <f>CONCATENATE(Master_Packing_Database[[#This Row],[Exp '#]],Master_Packing_Database[[#This Row],[Batch '#]])</f>
        <v/>
      </c>
      <c r="H98" t="s">
        <v>2038</v>
      </c>
      <c r="I98" t="s">
        <v>2039</v>
      </c>
      <c r="J98" t="s">
        <v>366</v>
      </c>
      <c r="L98" t="s">
        <v>1833</v>
      </c>
      <c r="AN98">
        <v>0</v>
      </c>
      <c r="AO98" t="s">
        <v>1834</v>
      </c>
      <c r="AP98" t="s">
        <v>1834</v>
      </c>
      <c r="AQ98">
        <v>0</v>
      </c>
      <c r="AR98" t="s">
        <v>1835</v>
      </c>
    </row>
    <row r="99" spans="1:44" x14ac:dyDescent="0.25">
      <c r="A99" t="s">
        <v>1828</v>
      </c>
      <c r="B99" t="s">
        <v>1829</v>
      </c>
      <c r="D99" t="s">
        <v>1918</v>
      </c>
      <c r="G99" t="str">
        <f>CONCATENATE(Master_Packing_Database[[#This Row],[Exp '#]],Master_Packing_Database[[#This Row],[Batch '#]])</f>
        <v/>
      </c>
      <c r="H99" t="s">
        <v>2040</v>
      </c>
      <c r="I99" t="s">
        <v>2041</v>
      </c>
      <c r="J99" t="s">
        <v>366</v>
      </c>
      <c r="L99" t="s">
        <v>1833</v>
      </c>
      <c r="AN99">
        <v>0</v>
      </c>
      <c r="AO99" t="s">
        <v>1834</v>
      </c>
      <c r="AP99" t="s">
        <v>1834</v>
      </c>
      <c r="AQ99">
        <v>0</v>
      </c>
      <c r="AR99" t="s">
        <v>1835</v>
      </c>
    </row>
    <row r="100" spans="1:44" x14ac:dyDescent="0.25">
      <c r="A100" t="s">
        <v>1828</v>
      </c>
      <c r="B100" t="s">
        <v>1829</v>
      </c>
      <c r="D100" t="s">
        <v>1947</v>
      </c>
      <c r="G100" t="str">
        <f>CONCATENATE(Master_Packing_Database[[#This Row],[Exp '#]],Master_Packing_Database[[#This Row],[Batch '#]])</f>
        <v/>
      </c>
      <c r="H100" t="s">
        <v>2042</v>
      </c>
      <c r="I100" t="s">
        <v>1906</v>
      </c>
      <c r="J100" t="s">
        <v>117</v>
      </c>
      <c r="L100" t="s">
        <v>1979</v>
      </c>
      <c r="AN100">
        <v>0</v>
      </c>
      <c r="AO100" t="s">
        <v>1834</v>
      </c>
      <c r="AP100" t="s">
        <v>1834</v>
      </c>
      <c r="AQ100">
        <v>0</v>
      </c>
      <c r="AR100" t="s">
        <v>1835</v>
      </c>
    </row>
    <row r="101" spans="1:44" x14ac:dyDescent="0.25">
      <c r="A101" t="s">
        <v>1828</v>
      </c>
      <c r="B101" t="s">
        <v>1829</v>
      </c>
      <c r="D101" t="s">
        <v>1947</v>
      </c>
      <c r="G101" t="str">
        <f>CONCATENATE(Master_Packing_Database[[#This Row],[Exp '#]],Master_Packing_Database[[#This Row],[Batch '#]])</f>
        <v/>
      </c>
      <c r="H101" t="s">
        <v>2043</v>
      </c>
      <c r="I101" t="s">
        <v>2044</v>
      </c>
      <c r="J101" t="s">
        <v>366</v>
      </c>
      <c r="L101" t="s">
        <v>1849</v>
      </c>
      <c r="AN101">
        <v>0</v>
      </c>
      <c r="AO101" t="s">
        <v>1834</v>
      </c>
      <c r="AP101" t="s">
        <v>1834</v>
      </c>
      <c r="AQ101">
        <v>0</v>
      </c>
      <c r="AR101" t="s">
        <v>1835</v>
      </c>
    </row>
    <row r="102" spans="1:44" x14ac:dyDescent="0.25">
      <c r="A102" t="s">
        <v>1828</v>
      </c>
      <c r="B102" t="s">
        <v>1829</v>
      </c>
      <c r="D102" t="s">
        <v>1947</v>
      </c>
      <c r="G102" t="str">
        <f>CONCATENATE(Master_Packing_Database[[#This Row],[Exp '#]],Master_Packing_Database[[#This Row],[Batch '#]])</f>
        <v/>
      </c>
      <c r="H102" t="s">
        <v>2042</v>
      </c>
      <c r="I102" t="s">
        <v>1906</v>
      </c>
      <c r="J102" t="s">
        <v>117</v>
      </c>
      <c r="L102" t="s">
        <v>1833</v>
      </c>
      <c r="AN102">
        <v>0</v>
      </c>
      <c r="AO102" t="s">
        <v>1834</v>
      </c>
      <c r="AP102" t="s">
        <v>1834</v>
      </c>
      <c r="AQ102">
        <v>0</v>
      </c>
      <c r="AR102" t="s">
        <v>1835</v>
      </c>
    </row>
    <row r="103" spans="1:44" x14ac:dyDescent="0.25">
      <c r="A103" t="s">
        <v>1828</v>
      </c>
      <c r="B103" t="s">
        <v>1829</v>
      </c>
      <c r="D103" t="s">
        <v>1971</v>
      </c>
      <c r="G103" t="str">
        <f>CONCATENATE(Master_Packing_Database[[#This Row],[Exp '#]],Master_Packing_Database[[#This Row],[Batch '#]])</f>
        <v/>
      </c>
      <c r="H103" t="s">
        <v>2045</v>
      </c>
      <c r="I103" t="s">
        <v>1970</v>
      </c>
      <c r="J103" t="s">
        <v>117</v>
      </c>
      <c r="L103" t="s">
        <v>1849</v>
      </c>
      <c r="AN103">
        <v>0</v>
      </c>
      <c r="AO103" t="s">
        <v>1834</v>
      </c>
      <c r="AP103" t="s">
        <v>1834</v>
      </c>
      <c r="AQ103">
        <v>0</v>
      </c>
      <c r="AR103" t="s">
        <v>1835</v>
      </c>
    </row>
    <row r="104" spans="1:44" x14ac:dyDescent="0.25">
      <c r="A104" t="s">
        <v>1828</v>
      </c>
      <c r="B104" t="s">
        <v>1829</v>
      </c>
      <c r="D104" t="s">
        <v>1971</v>
      </c>
      <c r="G104" t="str">
        <f>CONCATENATE(Master_Packing_Database[[#This Row],[Exp '#]],Master_Packing_Database[[#This Row],[Batch '#]])</f>
        <v/>
      </c>
      <c r="H104" t="s">
        <v>2046</v>
      </c>
      <c r="I104" t="s">
        <v>2047</v>
      </c>
      <c r="J104" t="s">
        <v>117</v>
      </c>
      <c r="L104" t="s">
        <v>1849</v>
      </c>
      <c r="AN104">
        <v>0</v>
      </c>
      <c r="AO104" t="s">
        <v>1834</v>
      </c>
      <c r="AP104" t="s">
        <v>1834</v>
      </c>
      <c r="AQ104">
        <v>0</v>
      </c>
      <c r="AR104" t="s">
        <v>1835</v>
      </c>
    </row>
    <row r="105" spans="1:44" x14ac:dyDescent="0.25">
      <c r="A105" t="s">
        <v>1828</v>
      </c>
      <c r="B105" t="s">
        <v>1829</v>
      </c>
      <c r="D105" t="s">
        <v>1910</v>
      </c>
      <c r="G105" t="str">
        <f>CONCATENATE(Master_Packing_Database[[#This Row],[Exp '#]],Master_Packing_Database[[#This Row],[Batch '#]])</f>
        <v/>
      </c>
      <c r="H105" t="s">
        <v>2048</v>
      </c>
      <c r="I105" t="s">
        <v>1986</v>
      </c>
      <c r="J105" t="s">
        <v>117</v>
      </c>
      <c r="L105" t="s">
        <v>1987</v>
      </c>
      <c r="AN105">
        <v>0</v>
      </c>
      <c r="AO105" t="s">
        <v>1834</v>
      </c>
      <c r="AP105" t="s">
        <v>1834</v>
      </c>
      <c r="AQ105">
        <v>0</v>
      </c>
      <c r="AR105" t="s">
        <v>1835</v>
      </c>
    </row>
    <row r="106" spans="1:44" x14ac:dyDescent="0.25">
      <c r="A106" t="s">
        <v>1828</v>
      </c>
      <c r="B106" t="s">
        <v>1829</v>
      </c>
      <c r="D106" t="s">
        <v>1910</v>
      </c>
      <c r="G106" t="str">
        <f>CONCATENATE(Master_Packing_Database[[#This Row],[Exp '#]],Master_Packing_Database[[#This Row],[Batch '#]])</f>
        <v/>
      </c>
      <c r="H106" t="s">
        <v>2049</v>
      </c>
      <c r="I106" t="s">
        <v>2050</v>
      </c>
      <c r="J106" t="s">
        <v>366</v>
      </c>
      <c r="L106" t="s">
        <v>2051</v>
      </c>
      <c r="AN106">
        <v>0</v>
      </c>
      <c r="AO106" t="s">
        <v>1834</v>
      </c>
      <c r="AP106" t="s">
        <v>1834</v>
      </c>
      <c r="AQ106">
        <v>0</v>
      </c>
      <c r="AR106" t="s">
        <v>1835</v>
      </c>
    </row>
    <row r="107" spans="1:44" x14ac:dyDescent="0.25">
      <c r="A107" t="s">
        <v>1828</v>
      </c>
      <c r="B107" t="s">
        <v>1829</v>
      </c>
      <c r="D107" t="s">
        <v>1910</v>
      </c>
      <c r="G107" t="str">
        <f>CONCATENATE(Master_Packing_Database[[#This Row],[Exp '#]],Master_Packing_Database[[#This Row],[Batch '#]])</f>
        <v/>
      </c>
      <c r="H107" t="s">
        <v>2048</v>
      </c>
      <c r="I107" t="s">
        <v>1986</v>
      </c>
      <c r="J107" t="s">
        <v>117</v>
      </c>
      <c r="L107" t="s">
        <v>1987</v>
      </c>
      <c r="AN107">
        <v>0</v>
      </c>
      <c r="AO107" t="s">
        <v>1834</v>
      </c>
      <c r="AP107" t="s">
        <v>1834</v>
      </c>
      <c r="AQ107">
        <v>0</v>
      </c>
      <c r="AR107" t="s">
        <v>1835</v>
      </c>
    </row>
    <row r="108" spans="1:44" x14ac:dyDescent="0.25">
      <c r="A108" t="s">
        <v>1828</v>
      </c>
      <c r="B108" t="s">
        <v>1829</v>
      </c>
      <c r="D108" t="s">
        <v>2052</v>
      </c>
      <c r="G108" t="str">
        <f>CONCATENATE(Master_Packing_Database[[#This Row],[Exp '#]],Master_Packing_Database[[#This Row],[Batch '#]])</f>
        <v/>
      </c>
      <c r="H108" t="s">
        <v>2053</v>
      </c>
      <c r="I108" t="s">
        <v>2054</v>
      </c>
      <c r="J108" t="s">
        <v>117</v>
      </c>
      <c r="L108" t="s">
        <v>1849</v>
      </c>
      <c r="AN108">
        <v>0</v>
      </c>
      <c r="AO108" t="s">
        <v>1834</v>
      </c>
      <c r="AP108" t="s">
        <v>1834</v>
      </c>
      <c r="AQ108">
        <v>0</v>
      </c>
      <c r="AR108" t="s">
        <v>1835</v>
      </c>
    </row>
    <row r="109" spans="1:44" x14ac:dyDescent="0.25">
      <c r="A109" t="s">
        <v>1828</v>
      </c>
      <c r="B109" t="s">
        <v>1829</v>
      </c>
      <c r="D109" t="s">
        <v>1965</v>
      </c>
      <c r="G109" t="str">
        <f>CONCATENATE(Master_Packing_Database[[#This Row],[Exp '#]],Master_Packing_Database[[#This Row],[Batch '#]])</f>
        <v/>
      </c>
      <c r="H109" t="s">
        <v>2055</v>
      </c>
      <c r="I109" t="s">
        <v>1897</v>
      </c>
      <c r="J109" t="s">
        <v>117</v>
      </c>
      <c r="L109" t="s">
        <v>1849</v>
      </c>
      <c r="AN109">
        <v>0</v>
      </c>
      <c r="AO109" t="s">
        <v>1834</v>
      </c>
      <c r="AP109" t="s">
        <v>1834</v>
      </c>
      <c r="AQ109">
        <v>0</v>
      </c>
      <c r="AR109" t="s">
        <v>1835</v>
      </c>
    </row>
    <row r="110" spans="1:44" x14ac:dyDescent="0.25">
      <c r="A110" t="s">
        <v>1828</v>
      </c>
      <c r="B110" t="s">
        <v>1829</v>
      </c>
      <c r="D110" t="s">
        <v>2056</v>
      </c>
      <c r="G110" t="str">
        <f>CONCATENATE(Master_Packing_Database[[#This Row],[Exp '#]],Master_Packing_Database[[#This Row],[Batch '#]])</f>
        <v/>
      </c>
      <c r="H110" t="s">
        <v>2057</v>
      </c>
      <c r="I110" t="s">
        <v>2058</v>
      </c>
      <c r="J110" t="s">
        <v>117</v>
      </c>
      <c r="L110" t="s">
        <v>1833</v>
      </c>
      <c r="AN110">
        <v>0</v>
      </c>
      <c r="AO110" t="s">
        <v>1834</v>
      </c>
      <c r="AP110" t="s">
        <v>1834</v>
      </c>
      <c r="AQ110">
        <v>0</v>
      </c>
      <c r="AR110" t="s">
        <v>1835</v>
      </c>
    </row>
    <row r="111" spans="1:44" x14ac:dyDescent="0.25">
      <c r="A111" t="s">
        <v>1828</v>
      </c>
      <c r="B111" t="s">
        <v>1829</v>
      </c>
      <c r="D111" t="s">
        <v>1921</v>
      </c>
      <c r="G111" t="str">
        <f>CONCATENATE(Master_Packing_Database[[#This Row],[Exp '#]],Master_Packing_Database[[#This Row],[Batch '#]])</f>
        <v/>
      </c>
      <c r="H111" t="s">
        <v>2059</v>
      </c>
      <c r="I111" t="s">
        <v>2060</v>
      </c>
      <c r="J111" t="s">
        <v>366</v>
      </c>
      <c r="L111" t="s">
        <v>1849</v>
      </c>
      <c r="AN111">
        <v>0</v>
      </c>
      <c r="AO111" t="s">
        <v>1834</v>
      </c>
      <c r="AP111" t="s">
        <v>1834</v>
      </c>
      <c r="AQ111">
        <v>0</v>
      </c>
      <c r="AR111" t="s">
        <v>1835</v>
      </c>
    </row>
    <row r="112" spans="1:44" x14ac:dyDescent="0.25">
      <c r="A112" t="s">
        <v>1828</v>
      </c>
      <c r="B112" t="s">
        <v>1829</v>
      </c>
      <c r="D112" t="s">
        <v>1947</v>
      </c>
      <c r="G112" t="str">
        <f>CONCATENATE(Master_Packing_Database[[#This Row],[Exp '#]],Master_Packing_Database[[#This Row],[Batch '#]])</f>
        <v/>
      </c>
      <c r="H112" t="s">
        <v>2061</v>
      </c>
      <c r="I112" t="s">
        <v>1961</v>
      </c>
      <c r="J112" t="s">
        <v>117</v>
      </c>
      <c r="L112" t="s">
        <v>1833</v>
      </c>
      <c r="AN112">
        <v>0</v>
      </c>
      <c r="AO112" t="s">
        <v>1834</v>
      </c>
      <c r="AP112" t="s">
        <v>1834</v>
      </c>
      <c r="AQ112">
        <v>0</v>
      </c>
      <c r="AR112" t="s">
        <v>1835</v>
      </c>
    </row>
    <row r="113" spans="1:44" x14ac:dyDescent="0.25">
      <c r="A113" t="s">
        <v>1828</v>
      </c>
      <c r="B113" t="s">
        <v>1829</v>
      </c>
      <c r="D113" t="s">
        <v>1918</v>
      </c>
      <c r="G113" t="str">
        <f>CONCATENATE(Master_Packing_Database[[#This Row],[Exp '#]],Master_Packing_Database[[#This Row],[Batch '#]])</f>
        <v/>
      </c>
      <c r="H113" t="s">
        <v>2062</v>
      </c>
      <c r="I113" t="s">
        <v>2063</v>
      </c>
      <c r="J113" t="s">
        <v>366</v>
      </c>
      <c r="L113" t="s">
        <v>1833</v>
      </c>
      <c r="AN113">
        <v>0</v>
      </c>
      <c r="AO113" t="s">
        <v>1834</v>
      </c>
      <c r="AP113" t="s">
        <v>1834</v>
      </c>
      <c r="AQ113">
        <v>0</v>
      </c>
      <c r="AR113" t="s">
        <v>1835</v>
      </c>
    </row>
    <row r="114" spans="1:44" x14ac:dyDescent="0.25">
      <c r="A114" t="s">
        <v>1828</v>
      </c>
      <c r="B114" t="s">
        <v>1829</v>
      </c>
      <c r="D114" t="s">
        <v>1947</v>
      </c>
      <c r="G114" t="str">
        <f>CONCATENATE(Master_Packing_Database[[#This Row],[Exp '#]],Master_Packing_Database[[#This Row],[Batch '#]])</f>
        <v/>
      </c>
      <c r="H114" t="s">
        <v>2061</v>
      </c>
      <c r="I114" t="s">
        <v>1961</v>
      </c>
      <c r="J114" t="s">
        <v>117</v>
      </c>
      <c r="L114" t="s">
        <v>1849</v>
      </c>
      <c r="AN114">
        <v>0</v>
      </c>
      <c r="AO114" t="s">
        <v>1834</v>
      </c>
      <c r="AP114" t="s">
        <v>1834</v>
      </c>
      <c r="AQ114">
        <v>0</v>
      </c>
      <c r="AR114" t="s">
        <v>1835</v>
      </c>
    </row>
    <row r="115" spans="1:44" x14ac:dyDescent="0.25">
      <c r="A115" t="s">
        <v>1828</v>
      </c>
      <c r="B115" t="s">
        <v>1829</v>
      </c>
      <c r="D115" t="s">
        <v>2064</v>
      </c>
      <c r="G115" t="str">
        <f>CONCATENATE(Master_Packing_Database[[#This Row],[Exp '#]],Master_Packing_Database[[#This Row],[Batch '#]])</f>
        <v/>
      </c>
      <c r="H115" t="s">
        <v>2065</v>
      </c>
      <c r="I115" t="s">
        <v>2066</v>
      </c>
      <c r="J115" t="s">
        <v>117</v>
      </c>
      <c r="L115" t="s">
        <v>1849</v>
      </c>
      <c r="AN115">
        <v>0</v>
      </c>
      <c r="AO115" t="s">
        <v>1834</v>
      </c>
      <c r="AP115" t="s">
        <v>1834</v>
      </c>
      <c r="AQ115">
        <v>0</v>
      </c>
      <c r="AR115" t="s">
        <v>1835</v>
      </c>
    </row>
    <row r="116" spans="1:44" x14ac:dyDescent="0.25">
      <c r="A116" t="s">
        <v>1828</v>
      </c>
      <c r="B116" t="s">
        <v>1829</v>
      </c>
      <c r="D116" t="s">
        <v>2064</v>
      </c>
      <c r="G116" t="str">
        <f>CONCATENATE(Master_Packing_Database[[#This Row],[Exp '#]],Master_Packing_Database[[#This Row],[Batch '#]])</f>
        <v/>
      </c>
      <c r="H116" t="s">
        <v>2067</v>
      </c>
      <c r="I116" t="s">
        <v>1832</v>
      </c>
      <c r="J116" t="s">
        <v>117</v>
      </c>
      <c r="L116" t="s">
        <v>1849</v>
      </c>
      <c r="AN116">
        <v>0</v>
      </c>
      <c r="AO116" t="s">
        <v>1834</v>
      </c>
      <c r="AP116" t="s">
        <v>1834</v>
      </c>
      <c r="AQ116">
        <v>0</v>
      </c>
      <c r="AR116" t="s">
        <v>1835</v>
      </c>
    </row>
    <row r="117" spans="1:44" x14ac:dyDescent="0.25">
      <c r="A117" t="s">
        <v>1828</v>
      </c>
      <c r="B117" t="s">
        <v>1829</v>
      </c>
      <c r="D117" t="s">
        <v>1935</v>
      </c>
      <c r="G117" t="str">
        <f>CONCATENATE(Master_Packing_Database[[#This Row],[Exp '#]],Master_Packing_Database[[#This Row],[Batch '#]])</f>
        <v/>
      </c>
      <c r="H117" t="s">
        <v>2068</v>
      </c>
      <c r="I117" t="s">
        <v>2069</v>
      </c>
      <c r="J117" t="s">
        <v>117</v>
      </c>
      <c r="L117" t="s">
        <v>1849</v>
      </c>
      <c r="AN117">
        <v>0</v>
      </c>
      <c r="AO117" t="s">
        <v>1834</v>
      </c>
      <c r="AP117" t="s">
        <v>1834</v>
      </c>
      <c r="AQ117">
        <v>0</v>
      </c>
      <c r="AR117" t="s">
        <v>1835</v>
      </c>
    </row>
    <row r="118" spans="1:44" x14ac:dyDescent="0.25">
      <c r="A118" t="s">
        <v>1828</v>
      </c>
      <c r="B118" t="s">
        <v>1829</v>
      </c>
      <c r="D118" t="s">
        <v>2070</v>
      </c>
      <c r="G118" t="str">
        <f>CONCATENATE(Master_Packing_Database[[#This Row],[Exp '#]],Master_Packing_Database[[#This Row],[Batch '#]])</f>
        <v/>
      </c>
      <c r="H118" t="s">
        <v>2071</v>
      </c>
      <c r="I118" t="s">
        <v>2072</v>
      </c>
      <c r="J118" t="s">
        <v>117</v>
      </c>
      <c r="L118" t="s">
        <v>1849</v>
      </c>
      <c r="AN118">
        <v>0</v>
      </c>
      <c r="AO118" t="s">
        <v>1834</v>
      </c>
      <c r="AP118" t="s">
        <v>1834</v>
      </c>
      <c r="AQ118">
        <v>0</v>
      </c>
      <c r="AR118" t="s">
        <v>1835</v>
      </c>
    </row>
    <row r="119" spans="1:44" x14ac:dyDescent="0.25">
      <c r="A119" t="s">
        <v>1828</v>
      </c>
      <c r="B119" t="s">
        <v>1829</v>
      </c>
      <c r="D119" t="s">
        <v>1971</v>
      </c>
      <c r="G119" t="str">
        <f>CONCATENATE(Master_Packing_Database[[#This Row],[Exp '#]],Master_Packing_Database[[#This Row],[Batch '#]])</f>
        <v/>
      </c>
      <c r="H119" t="s">
        <v>2073</v>
      </c>
      <c r="I119" t="s">
        <v>2074</v>
      </c>
      <c r="J119" t="s">
        <v>117</v>
      </c>
      <c r="L119" t="s">
        <v>1849</v>
      </c>
      <c r="AN119">
        <v>0</v>
      </c>
      <c r="AO119" t="s">
        <v>1834</v>
      </c>
      <c r="AP119" t="s">
        <v>1834</v>
      </c>
      <c r="AQ119">
        <v>0</v>
      </c>
      <c r="AR119" t="s">
        <v>1835</v>
      </c>
    </row>
    <row r="120" spans="1:44" x14ac:dyDescent="0.25">
      <c r="A120" t="s">
        <v>1828</v>
      </c>
      <c r="B120" t="s">
        <v>1829</v>
      </c>
      <c r="D120" t="s">
        <v>1971</v>
      </c>
      <c r="G120" t="str">
        <f>CONCATENATE(Master_Packing_Database[[#This Row],[Exp '#]],Master_Packing_Database[[#This Row],[Batch '#]])</f>
        <v/>
      </c>
      <c r="H120" t="s">
        <v>2075</v>
      </c>
      <c r="I120" t="s">
        <v>2076</v>
      </c>
      <c r="J120" t="s">
        <v>117</v>
      </c>
      <c r="L120" t="s">
        <v>1849</v>
      </c>
      <c r="AN120">
        <v>0</v>
      </c>
      <c r="AO120" t="s">
        <v>1834</v>
      </c>
      <c r="AP120" t="s">
        <v>1834</v>
      </c>
      <c r="AQ120">
        <v>0</v>
      </c>
      <c r="AR120" t="s">
        <v>1835</v>
      </c>
    </row>
    <row r="121" spans="1:44" x14ac:dyDescent="0.25">
      <c r="A121" t="s">
        <v>1828</v>
      </c>
      <c r="B121" t="s">
        <v>1829</v>
      </c>
      <c r="D121" t="s">
        <v>1971</v>
      </c>
      <c r="G121" t="str">
        <f>CONCATENATE(Master_Packing_Database[[#This Row],[Exp '#]],Master_Packing_Database[[#This Row],[Batch '#]])</f>
        <v/>
      </c>
      <c r="H121" t="s">
        <v>2077</v>
      </c>
      <c r="I121" t="s">
        <v>2074</v>
      </c>
      <c r="J121" t="s">
        <v>117</v>
      </c>
      <c r="L121" t="s">
        <v>1849</v>
      </c>
      <c r="AN121">
        <v>0</v>
      </c>
      <c r="AO121" t="s">
        <v>1834</v>
      </c>
      <c r="AP121" t="s">
        <v>1834</v>
      </c>
      <c r="AQ121">
        <v>0</v>
      </c>
      <c r="AR121" t="s">
        <v>1835</v>
      </c>
    </row>
    <row r="122" spans="1:44" x14ac:dyDescent="0.25">
      <c r="A122" t="s">
        <v>1828</v>
      </c>
      <c r="B122" t="s">
        <v>1829</v>
      </c>
      <c r="D122" t="s">
        <v>2078</v>
      </c>
      <c r="G122" t="str">
        <f>CONCATENATE(Master_Packing_Database[[#This Row],[Exp '#]],Master_Packing_Database[[#This Row],[Batch '#]])</f>
        <v/>
      </c>
      <c r="H122" t="s">
        <v>2079</v>
      </c>
      <c r="I122" t="s">
        <v>2080</v>
      </c>
      <c r="J122" t="s">
        <v>117</v>
      </c>
      <c r="L122" t="s">
        <v>1849</v>
      </c>
      <c r="AN122">
        <v>0</v>
      </c>
      <c r="AO122" t="s">
        <v>1834</v>
      </c>
      <c r="AP122" t="s">
        <v>1834</v>
      </c>
      <c r="AQ122">
        <v>0</v>
      </c>
      <c r="AR122" t="s">
        <v>1835</v>
      </c>
    </row>
    <row r="123" spans="1:44" x14ac:dyDescent="0.25">
      <c r="A123" t="s">
        <v>1828</v>
      </c>
      <c r="B123" t="s">
        <v>1829</v>
      </c>
      <c r="D123" t="s">
        <v>1935</v>
      </c>
      <c r="G123" t="str">
        <f>CONCATENATE(Master_Packing_Database[[#This Row],[Exp '#]],Master_Packing_Database[[#This Row],[Batch '#]])</f>
        <v/>
      </c>
      <c r="H123" t="s">
        <v>2081</v>
      </c>
      <c r="I123" t="s">
        <v>2074</v>
      </c>
      <c r="J123" t="s">
        <v>117</v>
      </c>
      <c r="L123" t="s">
        <v>2082</v>
      </c>
      <c r="AN123">
        <v>0</v>
      </c>
      <c r="AO123" t="s">
        <v>1834</v>
      </c>
      <c r="AP123" t="s">
        <v>1834</v>
      </c>
      <c r="AQ123">
        <v>0</v>
      </c>
      <c r="AR123" t="s">
        <v>1835</v>
      </c>
    </row>
    <row r="124" spans="1:44" x14ac:dyDescent="0.25">
      <c r="A124" t="s">
        <v>1828</v>
      </c>
      <c r="B124" t="s">
        <v>1829</v>
      </c>
      <c r="D124" t="s">
        <v>2083</v>
      </c>
      <c r="G124" t="str">
        <f>CONCATENATE(Master_Packing_Database[[#This Row],[Exp '#]],Master_Packing_Database[[#This Row],[Batch '#]])</f>
        <v/>
      </c>
      <c r="H124" t="s">
        <v>2084</v>
      </c>
      <c r="I124" t="s">
        <v>2085</v>
      </c>
      <c r="J124" t="s">
        <v>117</v>
      </c>
      <c r="L124" t="s">
        <v>1833</v>
      </c>
      <c r="AN124">
        <v>0</v>
      </c>
      <c r="AO124" t="s">
        <v>1834</v>
      </c>
      <c r="AP124" t="s">
        <v>1834</v>
      </c>
      <c r="AQ124">
        <v>0</v>
      </c>
      <c r="AR124" t="s">
        <v>1835</v>
      </c>
    </row>
    <row r="125" spans="1:44" x14ac:dyDescent="0.25">
      <c r="A125" t="s">
        <v>1828</v>
      </c>
      <c r="B125" t="s">
        <v>1829</v>
      </c>
      <c r="D125" t="s">
        <v>1965</v>
      </c>
      <c r="G125" t="str">
        <f>CONCATENATE(Master_Packing_Database[[#This Row],[Exp '#]],Master_Packing_Database[[#This Row],[Batch '#]])</f>
        <v/>
      </c>
      <c r="H125" t="s">
        <v>2086</v>
      </c>
      <c r="I125" t="s">
        <v>1970</v>
      </c>
      <c r="J125" t="s">
        <v>117</v>
      </c>
      <c r="L125" t="s">
        <v>1849</v>
      </c>
      <c r="AN125">
        <v>0</v>
      </c>
      <c r="AO125" t="s">
        <v>1834</v>
      </c>
      <c r="AP125" t="s">
        <v>1834</v>
      </c>
      <c r="AQ125">
        <v>0</v>
      </c>
      <c r="AR125" t="s">
        <v>1835</v>
      </c>
    </row>
    <row r="126" spans="1:44" x14ac:dyDescent="0.25">
      <c r="A126" t="s">
        <v>1828</v>
      </c>
      <c r="B126" t="s">
        <v>1829</v>
      </c>
      <c r="D126" t="s">
        <v>1976</v>
      </c>
      <c r="G126" t="str">
        <f>CONCATENATE(Master_Packing_Database[[#This Row],[Exp '#]],Master_Packing_Database[[#This Row],[Batch '#]])</f>
        <v/>
      </c>
      <c r="H126" t="s">
        <v>2087</v>
      </c>
      <c r="I126" t="s">
        <v>2088</v>
      </c>
      <c r="J126" t="s">
        <v>366</v>
      </c>
      <c r="L126" t="s">
        <v>1979</v>
      </c>
      <c r="AN126">
        <v>0</v>
      </c>
      <c r="AO126" t="s">
        <v>1834</v>
      </c>
      <c r="AP126" t="s">
        <v>1834</v>
      </c>
      <c r="AQ126">
        <v>0</v>
      </c>
      <c r="AR126" t="s">
        <v>1835</v>
      </c>
    </row>
    <row r="127" spans="1:44" x14ac:dyDescent="0.25">
      <c r="A127" t="s">
        <v>1828</v>
      </c>
      <c r="B127" t="s">
        <v>1829</v>
      </c>
      <c r="D127" t="s">
        <v>2008</v>
      </c>
      <c r="G127" t="str">
        <f>CONCATENATE(Master_Packing_Database[[#This Row],[Exp '#]],Master_Packing_Database[[#This Row],[Batch '#]])</f>
        <v/>
      </c>
      <c r="H127" t="s">
        <v>2089</v>
      </c>
      <c r="I127" t="s">
        <v>2090</v>
      </c>
      <c r="J127" t="s">
        <v>117</v>
      </c>
      <c r="L127" t="s">
        <v>1849</v>
      </c>
      <c r="AN127">
        <v>0</v>
      </c>
      <c r="AO127" t="s">
        <v>1834</v>
      </c>
      <c r="AP127" t="s">
        <v>1834</v>
      </c>
      <c r="AQ127">
        <v>0</v>
      </c>
      <c r="AR127" t="s">
        <v>1835</v>
      </c>
    </row>
    <row r="128" spans="1:44" x14ac:dyDescent="0.25">
      <c r="A128" t="s">
        <v>1828</v>
      </c>
      <c r="B128" t="s">
        <v>1829</v>
      </c>
      <c r="D128" t="s">
        <v>1910</v>
      </c>
      <c r="G128" t="str">
        <f>CONCATENATE(Master_Packing_Database[[#This Row],[Exp '#]],Master_Packing_Database[[#This Row],[Batch '#]])</f>
        <v/>
      </c>
      <c r="H128" t="s">
        <v>2091</v>
      </c>
      <c r="I128" t="s">
        <v>2074</v>
      </c>
      <c r="J128" t="s">
        <v>117</v>
      </c>
      <c r="L128" t="s">
        <v>1860</v>
      </c>
      <c r="AN128">
        <v>0</v>
      </c>
      <c r="AO128" t="s">
        <v>1834</v>
      </c>
      <c r="AP128" t="s">
        <v>1834</v>
      </c>
      <c r="AQ128">
        <v>0</v>
      </c>
      <c r="AR128" t="s">
        <v>1835</v>
      </c>
    </row>
    <row r="129" spans="1:44" x14ac:dyDescent="0.25">
      <c r="A129" t="s">
        <v>1828</v>
      </c>
      <c r="B129" t="s">
        <v>1829</v>
      </c>
      <c r="D129" t="s">
        <v>1910</v>
      </c>
      <c r="G129" t="str">
        <f>CONCATENATE(Master_Packing_Database[[#This Row],[Exp '#]],Master_Packing_Database[[#This Row],[Batch '#]])</f>
        <v/>
      </c>
      <c r="H129" t="s">
        <v>2092</v>
      </c>
      <c r="I129" t="s">
        <v>1995</v>
      </c>
      <c r="J129" t="s">
        <v>117</v>
      </c>
      <c r="L129" t="s">
        <v>2093</v>
      </c>
      <c r="AN129">
        <v>0</v>
      </c>
      <c r="AO129" t="s">
        <v>1834</v>
      </c>
      <c r="AP129" t="s">
        <v>1834</v>
      </c>
      <c r="AQ129">
        <v>0</v>
      </c>
      <c r="AR129" t="s">
        <v>1835</v>
      </c>
    </row>
    <row r="130" spans="1:44" x14ac:dyDescent="0.25">
      <c r="A130" t="s">
        <v>1828</v>
      </c>
      <c r="B130" t="s">
        <v>1829</v>
      </c>
      <c r="D130" t="s">
        <v>1910</v>
      </c>
      <c r="G130" t="str">
        <f>CONCATENATE(Master_Packing_Database[[#This Row],[Exp '#]],Master_Packing_Database[[#This Row],[Batch '#]])</f>
        <v/>
      </c>
      <c r="H130" t="s">
        <v>2094</v>
      </c>
      <c r="I130" t="s">
        <v>2095</v>
      </c>
      <c r="J130" t="s">
        <v>117</v>
      </c>
      <c r="L130" t="s">
        <v>1979</v>
      </c>
      <c r="AN130">
        <v>0</v>
      </c>
      <c r="AO130" t="s">
        <v>1834</v>
      </c>
      <c r="AP130" t="s">
        <v>1834</v>
      </c>
      <c r="AQ130">
        <v>0</v>
      </c>
      <c r="AR130" t="s">
        <v>1835</v>
      </c>
    </row>
    <row r="131" spans="1:44" x14ac:dyDescent="0.25">
      <c r="A131" t="s">
        <v>1828</v>
      </c>
      <c r="B131" t="s">
        <v>1829</v>
      </c>
      <c r="D131" t="s">
        <v>1886</v>
      </c>
      <c r="G131" t="str">
        <f>CONCATENATE(Master_Packing_Database[[#This Row],[Exp '#]],Master_Packing_Database[[#This Row],[Batch '#]])</f>
        <v/>
      </c>
      <c r="H131" t="s">
        <v>2096</v>
      </c>
      <c r="I131" t="s">
        <v>2097</v>
      </c>
      <c r="J131" t="s">
        <v>366</v>
      </c>
      <c r="L131" t="s">
        <v>2098</v>
      </c>
      <c r="AN131">
        <v>0</v>
      </c>
      <c r="AO131" t="s">
        <v>1834</v>
      </c>
      <c r="AP131" t="s">
        <v>1834</v>
      </c>
      <c r="AQ131">
        <v>0</v>
      </c>
      <c r="AR131" t="s">
        <v>1835</v>
      </c>
    </row>
    <row r="132" spans="1:44" x14ac:dyDescent="0.25">
      <c r="A132" t="s">
        <v>1828</v>
      </c>
      <c r="B132" t="s">
        <v>1829</v>
      </c>
      <c r="D132" t="s">
        <v>1932</v>
      </c>
      <c r="G132" t="str">
        <f>CONCATENATE(Master_Packing_Database[[#This Row],[Exp '#]],Master_Packing_Database[[#This Row],[Batch '#]])</f>
        <v/>
      </c>
      <c r="H132" t="s">
        <v>2099</v>
      </c>
      <c r="I132" t="s">
        <v>2100</v>
      </c>
      <c r="J132" t="s">
        <v>366</v>
      </c>
      <c r="L132" t="s">
        <v>521</v>
      </c>
      <c r="AN132">
        <v>0</v>
      </c>
      <c r="AO132" t="s">
        <v>1834</v>
      </c>
      <c r="AP132" t="s">
        <v>1834</v>
      </c>
      <c r="AQ132">
        <v>0</v>
      </c>
      <c r="AR132" t="s">
        <v>1835</v>
      </c>
    </row>
    <row r="133" spans="1:44" x14ac:dyDescent="0.25">
      <c r="A133" t="s">
        <v>1828</v>
      </c>
      <c r="B133" t="s">
        <v>1829</v>
      </c>
      <c r="D133" t="s">
        <v>1867</v>
      </c>
      <c r="G133" t="str">
        <f>CONCATENATE(Master_Packing_Database[[#This Row],[Exp '#]],Master_Packing_Database[[#This Row],[Batch '#]])</f>
        <v/>
      </c>
      <c r="H133" t="s">
        <v>2101</v>
      </c>
      <c r="I133" t="s">
        <v>1908</v>
      </c>
      <c r="J133" t="s">
        <v>366</v>
      </c>
      <c r="L133" t="s">
        <v>521</v>
      </c>
      <c r="AN133">
        <v>0</v>
      </c>
      <c r="AO133" t="s">
        <v>1834</v>
      </c>
      <c r="AP133" t="s">
        <v>1834</v>
      </c>
      <c r="AQ133">
        <v>0</v>
      </c>
      <c r="AR133" t="s">
        <v>1835</v>
      </c>
    </row>
    <row r="134" spans="1:44" x14ac:dyDescent="0.25">
      <c r="A134" t="s">
        <v>1828</v>
      </c>
      <c r="B134" t="s">
        <v>1829</v>
      </c>
      <c r="D134" t="s">
        <v>1947</v>
      </c>
      <c r="G134" t="str">
        <f>CONCATENATE(Master_Packing_Database[[#This Row],[Exp '#]],Master_Packing_Database[[#This Row],[Batch '#]])</f>
        <v/>
      </c>
      <c r="H134" t="s">
        <v>2102</v>
      </c>
      <c r="I134" t="s">
        <v>2103</v>
      </c>
      <c r="J134" t="s">
        <v>366</v>
      </c>
      <c r="L134" t="s">
        <v>1984</v>
      </c>
      <c r="AN134">
        <v>0</v>
      </c>
      <c r="AO134" t="s">
        <v>1834</v>
      </c>
      <c r="AP134" t="s">
        <v>1834</v>
      </c>
      <c r="AQ134">
        <v>0</v>
      </c>
      <c r="AR134" t="s">
        <v>1835</v>
      </c>
    </row>
    <row r="135" spans="1:44" x14ac:dyDescent="0.25">
      <c r="A135" t="s">
        <v>1828</v>
      </c>
      <c r="B135" t="s">
        <v>1829</v>
      </c>
      <c r="D135" t="s">
        <v>1918</v>
      </c>
      <c r="G135" t="str">
        <f>CONCATENATE(Master_Packing_Database[[#This Row],[Exp '#]],Master_Packing_Database[[#This Row],[Batch '#]])</f>
        <v/>
      </c>
      <c r="H135" t="s">
        <v>2104</v>
      </c>
      <c r="I135" t="s">
        <v>2105</v>
      </c>
      <c r="J135" t="s">
        <v>366</v>
      </c>
      <c r="L135" t="s">
        <v>1833</v>
      </c>
      <c r="AN135">
        <v>0</v>
      </c>
      <c r="AO135" t="s">
        <v>1834</v>
      </c>
      <c r="AP135" t="s">
        <v>1834</v>
      </c>
      <c r="AQ135">
        <v>0</v>
      </c>
      <c r="AR135" t="s">
        <v>1835</v>
      </c>
    </row>
    <row r="136" spans="1:44" x14ac:dyDescent="0.25">
      <c r="A136" t="s">
        <v>1828</v>
      </c>
      <c r="B136" t="s">
        <v>1829</v>
      </c>
      <c r="D136" t="s">
        <v>1947</v>
      </c>
      <c r="G136" t="str">
        <f>CONCATENATE(Master_Packing_Database[[#This Row],[Exp '#]],Master_Packing_Database[[#This Row],[Batch '#]])</f>
        <v/>
      </c>
      <c r="H136" t="s">
        <v>2106</v>
      </c>
      <c r="I136" t="s">
        <v>2047</v>
      </c>
      <c r="J136" t="s">
        <v>366</v>
      </c>
      <c r="L136" t="s">
        <v>2013</v>
      </c>
      <c r="AN136">
        <v>0</v>
      </c>
      <c r="AO136" t="s">
        <v>1834</v>
      </c>
      <c r="AP136" t="s">
        <v>1834</v>
      </c>
      <c r="AQ136">
        <v>0</v>
      </c>
      <c r="AR136" t="s">
        <v>1835</v>
      </c>
    </row>
    <row r="137" spans="1:44" x14ac:dyDescent="0.25">
      <c r="A137" t="s">
        <v>1828</v>
      </c>
      <c r="B137" t="s">
        <v>1829</v>
      </c>
      <c r="D137" t="s">
        <v>2107</v>
      </c>
      <c r="G137" t="str">
        <f>CONCATENATE(Master_Packing_Database[[#This Row],[Exp '#]],Master_Packing_Database[[#This Row],[Batch '#]])</f>
        <v/>
      </c>
      <c r="H137" t="s">
        <v>2108</v>
      </c>
      <c r="I137" t="s">
        <v>2090</v>
      </c>
      <c r="J137" t="s">
        <v>117</v>
      </c>
      <c r="L137" t="s">
        <v>1849</v>
      </c>
      <c r="AN137">
        <v>0</v>
      </c>
      <c r="AO137" t="s">
        <v>1834</v>
      </c>
      <c r="AP137" t="s">
        <v>1834</v>
      </c>
      <c r="AQ137">
        <v>0</v>
      </c>
      <c r="AR137" t="s">
        <v>1835</v>
      </c>
    </row>
    <row r="138" spans="1:44" x14ac:dyDescent="0.25">
      <c r="A138" t="s">
        <v>1828</v>
      </c>
      <c r="B138" t="s">
        <v>1829</v>
      </c>
      <c r="D138" t="s">
        <v>2036</v>
      </c>
      <c r="G138" t="str">
        <f>CONCATENATE(Master_Packing_Database[[#This Row],[Exp '#]],Master_Packing_Database[[#This Row],[Batch '#]])</f>
        <v/>
      </c>
      <c r="H138" t="s">
        <v>2109</v>
      </c>
      <c r="I138" t="s">
        <v>2110</v>
      </c>
      <c r="J138" t="s">
        <v>117</v>
      </c>
      <c r="L138" t="s">
        <v>2111</v>
      </c>
      <c r="AN138">
        <v>0</v>
      </c>
      <c r="AO138" t="s">
        <v>1834</v>
      </c>
      <c r="AP138" t="s">
        <v>1834</v>
      </c>
      <c r="AQ138">
        <v>0</v>
      </c>
      <c r="AR138" t="s">
        <v>1835</v>
      </c>
    </row>
    <row r="139" spans="1:44" x14ac:dyDescent="0.25">
      <c r="A139" t="s">
        <v>1828</v>
      </c>
      <c r="B139" t="s">
        <v>1829</v>
      </c>
      <c r="D139" t="s">
        <v>2112</v>
      </c>
      <c r="G139" t="str">
        <f>CONCATENATE(Master_Packing_Database[[#This Row],[Exp '#]],Master_Packing_Database[[#This Row],[Batch '#]])</f>
        <v/>
      </c>
      <c r="H139" t="s">
        <v>2113</v>
      </c>
      <c r="I139" t="s">
        <v>2114</v>
      </c>
      <c r="J139" t="s">
        <v>366</v>
      </c>
      <c r="L139" t="s">
        <v>2115</v>
      </c>
      <c r="AN139">
        <v>0</v>
      </c>
      <c r="AO139" t="s">
        <v>1834</v>
      </c>
      <c r="AP139" t="s">
        <v>1834</v>
      </c>
      <c r="AQ139">
        <v>0</v>
      </c>
      <c r="AR139" t="s">
        <v>1835</v>
      </c>
    </row>
    <row r="140" spans="1:44" x14ac:dyDescent="0.25">
      <c r="A140" t="s">
        <v>1828</v>
      </c>
      <c r="B140" t="s">
        <v>1829</v>
      </c>
      <c r="D140" t="s">
        <v>2116</v>
      </c>
      <c r="G140" t="str">
        <f>CONCATENATE(Master_Packing_Database[[#This Row],[Exp '#]],Master_Packing_Database[[#This Row],[Batch '#]])</f>
        <v/>
      </c>
      <c r="H140" t="s">
        <v>2117</v>
      </c>
      <c r="I140" t="s">
        <v>1832</v>
      </c>
      <c r="J140" t="s">
        <v>117</v>
      </c>
      <c r="L140" t="s">
        <v>1849</v>
      </c>
      <c r="AN140">
        <v>0</v>
      </c>
      <c r="AO140" t="s">
        <v>1834</v>
      </c>
      <c r="AP140" t="s">
        <v>1834</v>
      </c>
      <c r="AQ140">
        <v>0</v>
      </c>
      <c r="AR140" t="s">
        <v>1835</v>
      </c>
    </row>
    <row r="141" spans="1:44" x14ac:dyDescent="0.25">
      <c r="A141" t="s">
        <v>1828</v>
      </c>
      <c r="B141" t="s">
        <v>1829</v>
      </c>
      <c r="D141" t="s">
        <v>2064</v>
      </c>
      <c r="G141" t="str">
        <f>CONCATENATE(Master_Packing_Database[[#This Row],[Exp '#]],Master_Packing_Database[[#This Row],[Batch '#]])</f>
        <v/>
      </c>
      <c r="H141" t="s">
        <v>2118</v>
      </c>
      <c r="I141" t="s">
        <v>1832</v>
      </c>
      <c r="J141" t="s">
        <v>117</v>
      </c>
      <c r="L141" t="s">
        <v>1849</v>
      </c>
      <c r="AN141">
        <v>0</v>
      </c>
      <c r="AO141" t="s">
        <v>1834</v>
      </c>
      <c r="AP141" t="s">
        <v>1834</v>
      </c>
      <c r="AQ141">
        <v>0</v>
      </c>
      <c r="AR141" t="s">
        <v>1835</v>
      </c>
    </row>
    <row r="142" spans="1:44" x14ac:dyDescent="0.25">
      <c r="A142" t="s">
        <v>1828</v>
      </c>
      <c r="B142" t="s">
        <v>1829</v>
      </c>
      <c r="D142" t="s">
        <v>2119</v>
      </c>
      <c r="G142" t="str">
        <f>CONCATENATE(Master_Packing_Database[[#This Row],[Exp '#]],Master_Packing_Database[[#This Row],[Batch '#]])</f>
        <v/>
      </c>
      <c r="H142" t="s">
        <v>2120</v>
      </c>
      <c r="I142" t="s">
        <v>2121</v>
      </c>
      <c r="J142" t="s">
        <v>117</v>
      </c>
      <c r="L142" t="s">
        <v>1833</v>
      </c>
      <c r="AN142">
        <v>0</v>
      </c>
      <c r="AO142" t="s">
        <v>1834</v>
      </c>
      <c r="AP142" t="s">
        <v>1834</v>
      </c>
      <c r="AQ142">
        <v>0</v>
      </c>
      <c r="AR142" t="s">
        <v>1835</v>
      </c>
    </row>
    <row r="143" spans="1:44" x14ac:dyDescent="0.25">
      <c r="A143" t="s">
        <v>1828</v>
      </c>
      <c r="B143" t="s">
        <v>1829</v>
      </c>
      <c r="D143" t="s">
        <v>1867</v>
      </c>
      <c r="G143" t="str">
        <f>CONCATENATE(Master_Packing_Database[[#This Row],[Exp '#]],Master_Packing_Database[[#This Row],[Batch '#]])</f>
        <v/>
      </c>
      <c r="H143" t="s">
        <v>2122</v>
      </c>
      <c r="I143" t="s">
        <v>1869</v>
      </c>
      <c r="J143" t="s">
        <v>117</v>
      </c>
      <c r="L143" t="s">
        <v>521</v>
      </c>
      <c r="AN143">
        <v>0</v>
      </c>
      <c r="AO143" t="s">
        <v>1834</v>
      </c>
      <c r="AP143" t="s">
        <v>1834</v>
      </c>
      <c r="AQ143">
        <v>0</v>
      </c>
      <c r="AR143" t="s">
        <v>1835</v>
      </c>
    </row>
    <row r="144" spans="1:44" x14ac:dyDescent="0.25">
      <c r="A144" t="s">
        <v>1828</v>
      </c>
      <c r="B144" t="s">
        <v>1829</v>
      </c>
      <c r="D144" t="s">
        <v>1938</v>
      </c>
      <c r="G144" t="str">
        <f>CONCATENATE(Master_Packing_Database[[#This Row],[Exp '#]],Master_Packing_Database[[#This Row],[Batch '#]])</f>
        <v/>
      </c>
      <c r="H144" t="s">
        <v>2123</v>
      </c>
      <c r="I144" t="s">
        <v>2124</v>
      </c>
      <c r="J144" t="s">
        <v>117</v>
      </c>
      <c r="L144" t="s">
        <v>1849</v>
      </c>
      <c r="AN144">
        <v>0</v>
      </c>
      <c r="AO144" t="s">
        <v>1834</v>
      </c>
      <c r="AP144" t="s">
        <v>1834</v>
      </c>
      <c r="AQ144">
        <v>0</v>
      </c>
      <c r="AR144" t="s">
        <v>1835</v>
      </c>
    </row>
    <row r="145" spans="1:44" x14ac:dyDescent="0.25">
      <c r="A145" t="s">
        <v>1828</v>
      </c>
      <c r="B145" t="s">
        <v>1829</v>
      </c>
      <c r="D145" t="s">
        <v>2008</v>
      </c>
      <c r="G145" t="str">
        <f>CONCATENATE(Master_Packing_Database[[#This Row],[Exp '#]],Master_Packing_Database[[#This Row],[Batch '#]])</f>
        <v/>
      </c>
      <c r="H145" t="s">
        <v>2125</v>
      </c>
      <c r="I145" t="s">
        <v>1914</v>
      </c>
      <c r="J145" t="s">
        <v>366</v>
      </c>
      <c r="L145" t="s">
        <v>2010</v>
      </c>
      <c r="AN145">
        <v>0</v>
      </c>
      <c r="AO145" t="s">
        <v>1834</v>
      </c>
      <c r="AP145" t="s">
        <v>1834</v>
      </c>
      <c r="AQ145">
        <v>0</v>
      </c>
      <c r="AR145" t="s">
        <v>1835</v>
      </c>
    </row>
    <row r="146" spans="1:44" x14ac:dyDescent="0.25">
      <c r="A146" t="s">
        <v>1828</v>
      </c>
      <c r="B146" t="s">
        <v>1829</v>
      </c>
      <c r="D146" t="s">
        <v>2126</v>
      </c>
      <c r="G146" t="str">
        <f>CONCATENATE(Master_Packing_Database[[#This Row],[Exp '#]],Master_Packing_Database[[#This Row],[Batch '#]])</f>
        <v/>
      </c>
      <c r="H146" t="s">
        <v>2127</v>
      </c>
      <c r="I146" t="s">
        <v>2128</v>
      </c>
      <c r="J146" t="s">
        <v>366</v>
      </c>
      <c r="L146" t="s">
        <v>1833</v>
      </c>
      <c r="AN146">
        <v>0</v>
      </c>
      <c r="AO146" t="s">
        <v>1834</v>
      </c>
      <c r="AP146" t="s">
        <v>1834</v>
      </c>
      <c r="AQ146">
        <v>0</v>
      </c>
      <c r="AR146" t="s">
        <v>1835</v>
      </c>
    </row>
    <row r="147" spans="1:44" x14ac:dyDescent="0.25">
      <c r="A147" t="s">
        <v>1828</v>
      </c>
      <c r="B147" t="s">
        <v>1829</v>
      </c>
      <c r="D147" t="s">
        <v>1921</v>
      </c>
      <c r="G147" t="str">
        <f>CONCATENATE(Master_Packing_Database[[#This Row],[Exp '#]],Master_Packing_Database[[#This Row],[Batch '#]])</f>
        <v/>
      </c>
      <c r="H147" t="s">
        <v>1960</v>
      </c>
      <c r="I147" t="s">
        <v>1961</v>
      </c>
      <c r="J147" t="s">
        <v>117</v>
      </c>
      <c r="L147" t="s">
        <v>1833</v>
      </c>
      <c r="AN147">
        <v>0</v>
      </c>
      <c r="AO147" t="s">
        <v>1834</v>
      </c>
      <c r="AP147" t="s">
        <v>1834</v>
      </c>
      <c r="AQ147">
        <v>0</v>
      </c>
      <c r="AR147" t="s">
        <v>1835</v>
      </c>
    </row>
    <row r="148" spans="1:44" x14ac:dyDescent="0.25">
      <c r="A148" t="s">
        <v>1828</v>
      </c>
      <c r="B148" t="s">
        <v>1829</v>
      </c>
      <c r="D148" t="s">
        <v>1947</v>
      </c>
      <c r="G148" t="str">
        <f>CONCATENATE(Master_Packing_Database[[#This Row],[Exp '#]],Master_Packing_Database[[#This Row],[Batch '#]])</f>
        <v/>
      </c>
      <c r="H148" t="s">
        <v>2129</v>
      </c>
      <c r="I148" t="s">
        <v>2044</v>
      </c>
      <c r="J148" t="s">
        <v>366</v>
      </c>
      <c r="L148" t="s">
        <v>1849</v>
      </c>
      <c r="AN148">
        <v>0</v>
      </c>
      <c r="AO148" t="s">
        <v>1834</v>
      </c>
      <c r="AP148" t="s">
        <v>1834</v>
      </c>
      <c r="AQ148">
        <v>0</v>
      </c>
      <c r="AR148" t="s">
        <v>1835</v>
      </c>
    </row>
    <row r="149" spans="1:44" x14ac:dyDescent="0.25">
      <c r="A149" t="s">
        <v>1828</v>
      </c>
      <c r="B149" t="s">
        <v>1829</v>
      </c>
      <c r="D149" t="s">
        <v>1921</v>
      </c>
      <c r="G149" t="str">
        <f>CONCATENATE(Master_Packing_Database[[#This Row],[Exp '#]],Master_Packing_Database[[#This Row],[Batch '#]])</f>
        <v/>
      </c>
      <c r="H149" t="s">
        <v>1960</v>
      </c>
      <c r="I149" t="s">
        <v>1961</v>
      </c>
      <c r="J149" t="s">
        <v>117</v>
      </c>
      <c r="L149" t="s">
        <v>1833</v>
      </c>
      <c r="AN149">
        <v>0</v>
      </c>
      <c r="AO149" t="s">
        <v>1834</v>
      </c>
      <c r="AP149" t="s">
        <v>1834</v>
      </c>
      <c r="AQ149">
        <v>0</v>
      </c>
      <c r="AR149" t="s">
        <v>1835</v>
      </c>
    </row>
    <row r="150" spans="1:44" x14ac:dyDescent="0.25">
      <c r="A150" t="s">
        <v>1828</v>
      </c>
      <c r="B150" t="s">
        <v>1829</v>
      </c>
      <c r="D150" t="s">
        <v>1918</v>
      </c>
      <c r="G150" t="str">
        <f>CONCATENATE(Master_Packing_Database[[#This Row],[Exp '#]],Master_Packing_Database[[#This Row],[Batch '#]])</f>
        <v/>
      </c>
      <c r="H150" t="s">
        <v>2130</v>
      </c>
      <c r="I150" t="s">
        <v>2131</v>
      </c>
      <c r="J150" t="s">
        <v>366</v>
      </c>
      <c r="L150" t="s">
        <v>1833</v>
      </c>
      <c r="AN150">
        <v>0</v>
      </c>
      <c r="AO150" t="s">
        <v>1834</v>
      </c>
      <c r="AP150" t="s">
        <v>1834</v>
      </c>
      <c r="AQ150">
        <v>0</v>
      </c>
      <c r="AR150" t="s">
        <v>1835</v>
      </c>
    </row>
    <row r="151" spans="1:44" x14ac:dyDescent="0.25">
      <c r="A151" t="s">
        <v>1828</v>
      </c>
      <c r="B151" t="s">
        <v>1829</v>
      </c>
      <c r="D151" t="s">
        <v>1976</v>
      </c>
      <c r="G151" t="str">
        <f>CONCATENATE(Master_Packing_Database[[#This Row],[Exp '#]],Master_Packing_Database[[#This Row],[Batch '#]])</f>
        <v/>
      </c>
      <c r="H151" t="s">
        <v>2132</v>
      </c>
      <c r="I151" t="s">
        <v>2074</v>
      </c>
      <c r="J151" t="s">
        <v>366</v>
      </c>
      <c r="L151" t="s">
        <v>2010</v>
      </c>
      <c r="AN151">
        <v>0</v>
      </c>
      <c r="AO151" t="s">
        <v>1834</v>
      </c>
      <c r="AP151" t="s">
        <v>1834</v>
      </c>
      <c r="AQ151">
        <v>0</v>
      </c>
      <c r="AR151" t="s">
        <v>1835</v>
      </c>
    </row>
    <row r="152" spans="1:44" x14ac:dyDescent="0.25">
      <c r="A152" t="s">
        <v>1828</v>
      </c>
      <c r="B152" t="s">
        <v>1829</v>
      </c>
      <c r="D152" t="s">
        <v>2036</v>
      </c>
      <c r="G152" t="str">
        <f>CONCATENATE(Master_Packing_Database[[#This Row],[Exp '#]],Master_Packing_Database[[#This Row],[Batch '#]])</f>
        <v/>
      </c>
      <c r="H152" t="s">
        <v>2133</v>
      </c>
      <c r="I152" t="s">
        <v>2134</v>
      </c>
      <c r="J152" t="s">
        <v>117</v>
      </c>
      <c r="L152" t="s">
        <v>1849</v>
      </c>
      <c r="AN152">
        <v>0</v>
      </c>
      <c r="AO152" t="s">
        <v>1834</v>
      </c>
      <c r="AP152" t="s">
        <v>1834</v>
      </c>
      <c r="AQ152">
        <v>0</v>
      </c>
      <c r="AR152" t="s">
        <v>1835</v>
      </c>
    </row>
    <row r="153" spans="1:44" x14ac:dyDescent="0.25">
      <c r="A153" t="s">
        <v>1828</v>
      </c>
      <c r="B153" t="s">
        <v>1829</v>
      </c>
      <c r="D153" t="s">
        <v>1965</v>
      </c>
      <c r="G153" t="str">
        <f>CONCATENATE(Master_Packing_Database[[#This Row],[Exp '#]],Master_Packing_Database[[#This Row],[Batch '#]])</f>
        <v/>
      </c>
      <c r="H153" t="s">
        <v>2135</v>
      </c>
      <c r="I153" t="s">
        <v>1897</v>
      </c>
      <c r="J153" t="s">
        <v>117</v>
      </c>
      <c r="L153" t="s">
        <v>1849</v>
      </c>
      <c r="AN153">
        <v>0</v>
      </c>
      <c r="AO153" t="s">
        <v>1834</v>
      </c>
      <c r="AP153" t="s">
        <v>1834</v>
      </c>
      <c r="AQ153">
        <v>0</v>
      </c>
      <c r="AR153" t="s">
        <v>1835</v>
      </c>
    </row>
    <row r="154" spans="1:44" x14ac:dyDescent="0.25">
      <c r="A154" t="s">
        <v>1828</v>
      </c>
      <c r="B154" t="s">
        <v>1829</v>
      </c>
      <c r="D154" t="s">
        <v>1965</v>
      </c>
      <c r="G154" t="str">
        <f>CONCATENATE(Master_Packing_Database[[#This Row],[Exp '#]],Master_Packing_Database[[#This Row],[Batch '#]])</f>
        <v/>
      </c>
      <c r="H154" t="s">
        <v>2136</v>
      </c>
      <c r="I154" t="s">
        <v>1897</v>
      </c>
      <c r="J154" t="s">
        <v>117</v>
      </c>
      <c r="L154" t="s">
        <v>1849</v>
      </c>
      <c r="AN154">
        <v>0</v>
      </c>
      <c r="AO154" t="s">
        <v>1834</v>
      </c>
      <c r="AP154" t="s">
        <v>1834</v>
      </c>
      <c r="AQ154">
        <v>0</v>
      </c>
      <c r="AR154" t="s">
        <v>1835</v>
      </c>
    </row>
    <row r="155" spans="1:44" x14ac:dyDescent="0.25">
      <c r="A155" t="s">
        <v>1828</v>
      </c>
      <c r="B155" t="s">
        <v>1829</v>
      </c>
      <c r="D155" t="s">
        <v>1895</v>
      </c>
      <c r="G155" t="str">
        <f>CONCATENATE(Master_Packing_Database[[#This Row],[Exp '#]],Master_Packing_Database[[#This Row],[Batch '#]])</f>
        <v/>
      </c>
      <c r="H155" t="s">
        <v>2137</v>
      </c>
      <c r="I155" t="s">
        <v>1897</v>
      </c>
      <c r="J155" t="s">
        <v>117</v>
      </c>
      <c r="L155" t="s">
        <v>1849</v>
      </c>
      <c r="AN155">
        <v>0</v>
      </c>
      <c r="AO155" t="s">
        <v>1834</v>
      </c>
      <c r="AP155" t="s">
        <v>1834</v>
      </c>
      <c r="AQ155">
        <v>0</v>
      </c>
      <c r="AR155" t="s">
        <v>1835</v>
      </c>
    </row>
    <row r="156" spans="1:44" x14ac:dyDescent="0.25">
      <c r="A156" t="s">
        <v>1828</v>
      </c>
      <c r="B156" t="s">
        <v>1829</v>
      </c>
      <c r="D156" t="s">
        <v>1915</v>
      </c>
      <c r="G156" t="str">
        <f>CONCATENATE(Master_Packing_Database[[#This Row],[Exp '#]],Master_Packing_Database[[#This Row],[Batch '#]])</f>
        <v/>
      </c>
      <c r="H156" t="s">
        <v>2138</v>
      </c>
      <c r="I156" t="s">
        <v>1914</v>
      </c>
      <c r="J156" t="s">
        <v>117</v>
      </c>
      <c r="L156" t="s">
        <v>1849</v>
      </c>
      <c r="AN156">
        <v>0</v>
      </c>
      <c r="AO156" t="s">
        <v>1834</v>
      </c>
      <c r="AP156" t="s">
        <v>1834</v>
      </c>
      <c r="AQ156">
        <v>0</v>
      </c>
      <c r="AR156" t="s">
        <v>1835</v>
      </c>
    </row>
    <row r="157" spans="1:44" x14ac:dyDescent="0.25">
      <c r="A157" t="s">
        <v>1828</v>
      </c>
      <c r="B157" t="s">
        <v>1829</v>
      </c>
      <c r="D157" t="s">
        <v>2139</v>
      </c>
      <c r="G157" t="str">
        <f>CONCATENATE(Master_Packing_Database[[#This Row],[Exp '#]],Master_Packing_Database[[#This Row],[Batch '#]])</f>
        <v/>
      </c>
      <c r="H157" t="s">
        <v>2140</v>
      </c>
      <c r="I157" t="s">
        <v>1970</v>
      </c>
      <c r="J157" t="s">
        <v>117</v>
      </c>
      <c r="L157" t="s">
        <v>1849</v>
      </c>
      <c r="AN157">
        <v>0</v>
      </c>
      <c r="AO157" t="s">
        <v>1834</v>
      </c>
      <c r="AP157" t="s">
        <v>1834</v>
      </c>
      <c r="AQ157">
        <v>0</v>
      </c>
      <c r="AR157" t="s">
        <v>1835</v>
      </c>
    </row>
    <row r="158" spans="1:44" x14ac:dyDescent="0.25">
      <c r="A158" t="s">
        <v>1828</v>
      </c>
      <c r="B158" t="s">
        <v>1829</v>
      </c>
      <c r="D158" t="s">
        <v>1976</v>
      </c>
      <c r="G158" t="str">
        <f>CONCATENATE(Master_Packing_Database[[#This Row],[Exp '#]],Master_Packing_Database[[#This Row],[Batch '#]])</f>
        <v/>
      </c>
      <c r="H158" t="s">
        <v>2141</v>
      </c>
      <c r="I158" t="s">
        <v>2142</v>
      </c>
      <c r="J158" t="s">
        <v>366</v>
      </c>
      <c r="L158" t="s">
        <v>1987</v>
      </c>
      <c r="AN158">
        <v>0</v>
      </c>
      <c r="AO158" t="s">
        <v>1834</v>
      </c>
      <c r="AP158" t="s">
        <v>1834</v>
      </c>
      <c r="AQ158">
        <v>0</v>
      </c>
      <c r="AR158" t="s">
        <v>1835</v>
      </c>
    </row>
    <row r="159" spans="1:44" x14ac:dyDescent="0.25">
      <c r="A159" t="s">
        <v>1828</v>
      </c>
      <c r="B159" t="s">
        <v>1829</v>
      </c>
      <c r="D159" t="s">
        <v>1910</v>
      </c>
      <c r="G159" t="str">
        <f>CONCATENATE(Master_Packing_Database[[#This Row],[Exp '#]],Master_Packing_Database[[#This Row],[Batch '#]])</f>
        <v/>
      </c>
      <c r="H159" t="s">
        <v>2143</v>
      </c>
      <c r="I159" t="s">
        <v>2144</v>
      </c>
      <c r="J159" t="s">
        <v>117</v>
      </c>
      <c r="L159" t="s">
        <v>1833</v>
      </c>
      <c r="AN159">
        <v>0</v>
      </c>
      <c r="AO159" t="s">
        <v>1834</v>
      </c>
      <c r="AP159" t="s">
        <v>1834</v>
      </c>
      <c r="AQ159">
        <v>0</v>
      </c>
      <c r="AR159" t="s">
        <v>1835</v>
      </c>
    </row>
    <row r="160" spans="1:44" x14ac:dyDescent="0.25">
      <c r="A160" t="s">
        <v>1828</v>
      </c>
      <c r="B160" t="s">
        <v>1829</v>
      </c>
      <c r="D160" t="s">
        <v>2028</v>
      </c>
      <c r="G160" t="str">
        <f>CONCATENATE(Master_Packing_Database[[#This Row],[Exp '#]],Master_Packing_Database[[#This Row],[Batch '#]])</f>
        <v/>
      </c>
      <c r="H160" t="s">
        <v>2145</v>
      </c>
      <c r="I160" t="s">
        <v>1832</v>
      </c>
      <c r="J160" t="s">
        <v>117</v>
      </c>
      <c r="L160" t="s">
        <v>1849</v>
      </c>
      <c r="AN160">
        <v>0</v>
      </c>
      <c r="AO160" t="s">
        <v>1834</v>
      </c>
      <c r="AP160" t="s">
        <v>1834</v>
      </c>
      <c r="AQ160">
        <v>0</v>
      </c>
      <c r="AR160" t="s">
        <v>1835</v>
      </c>
    </row>
    <row r="161" spans="1:44" x14ac:dyDescent="0.25">
      <c r="A161" t="s">
        <v>1828</v>
      </c>
      <c r="B161" t="s">
        <v>1829</v>
      </c>
      <c r="D161" t="s">
        <v>2052</v>
      </c>
      <c r="G161" t="str">
        <f>CONCATENATE(Master_Packing_Database[[#This Row],[Exp '#]],Master_Packing_Database[[#This Row],[Batch '#]])</f>
        <v/>
      </c>
      <c r="H161" t="s">
        <v>2146</v>
      </c>
      <c r="I161" t="s">
        <v>2054</v>
      </c>
      <c r="J161" t="s">
        <v>117</v>
      </c>
      <c r="L161" t="s">
        <v>1849</v>
      </c>
      <c r="AN161">
        <v>0</v>
      </c>
      <c r="AO161" t="s">
        <v>1834</v>
      </c>
      <c r="AP161" t="s">
        <v>1834</v>
      </c>
      <c r="AQ161">
        <v>0</v>
      </c>
      <c r="AR161" t="s">
        <v>1835</v>
      </c>
    </row>
    <row r="162" spans="1:44" x14ac:dyDescent="0.25">
      <c r="A162" t="s">
        <v>1828</v>
      </c>
      <c r="B162" t="s">
        <v>1829</v>
      </c>
      <c r="D162" t="s">
        <v>1918</v>
      </c>
      <c r="G162" t="str">
        <f>CONCATENATE(Master_Packing_Database[[#This Row],[Exp '#]],Master_Packing_Database[[#This Row],[Batch '#]])</f>
        <v/>
      </c>
      <c r="H162" t="s">
        <v>2147</v>
      </c>
      <c r="I162" t="s">
        <v>2148</v>
      </c>
      <c r="J162" t="s">
        <v>366</v>
      </c>
      <c r="L162" t="s">
        <v>1833</v>
      </c>
      <c r="AN162">
        <v>0</v>
      </c>
      <c r="AO162" t="s">
        <v>1834</v>
      </c>
      <c r="AP162" t="s">
        <v>1834</v>
      </c>
      <c r="AQ162">
        <v>0</v>
      </c>
      <c r="AR162" t="s">
        <v>1835</v>
      </c>
    </row>
    <row r="163" spans="1:44" x14ac:dyDescent="0.25">
      <c r="A163" t="s">
        <v>1828</v>
      </c>
      <c r="B163" t="s">
        <v>1829</v>
      </c>
      <c r="D163" t="s">
        <v>1918</v>
      </c>
      <c r="G163" t="str">
        <f>CONCATENATE(Master_Packing_Database[[#This Row],[Exp '#]],Master_Packing_Database[[#This Row],[Batch '#]])</f>
        <v/>
      </c>
      <c r="H163" t="s">
        <v>2149</v>
      </c>
      <c r="I163" t="s">
        <v>2148</v>
      </c>
      <c r="J163" t="s">
        <v>366</v>
      </c>
      <c r="L163" t="s">
        <v>2010</v>
      </c>
      <c r="AN163">
        <v>0</v>
      </c>
      <c r="AO163" t="s">
        <v>1834</v>
      </c>
      <c r="AP163" t="s">
        <v>1834</v>
      </c>
      <c r="AQ163">
        <v>0</v>
      </c>
      <c r="AR163" t="s">
        <v>1835</v>
      </c>
    </row>
    <row r="164" spans="1:44" x14ac:dyDescent="0.25">
      <c r="A164" t="s">
        <v>1828</v>
      </c>
      <c r="B164" t="s">
        <v>1829</v>
      </c>
      <c r="D164" t="s">
        <v>2034</v>
      </c>
      <c r="G164" t="str">
        <f>CONCATENATE(Master_Packing_Database[[#This Row],[Exp '#]],Master_Packing_Database[[#This Row],[Batch '#]])</f>
        <v/>
      </c>
      <c r="H164" t="s">
        <v>2150</v>
      </c>
      <c r="I164" t="s">
        <v>2047</v>
      </c>
      <c r="J164" t="s">
        <v>366</v>
      </c>
      <c r="L164" t="s">
        <v>2010</v>
      </c>
      <c r="AN164">
        <v>0</v>
      </c>
      <c r="AO164" t="s">
        <v>1834</v>
      </c>
      <c r="AP164" t="s">
        <v>1834</v>
      </c>
      <c r="AQ164">
        <v>0</v>
      </c>
      <c r="AR164" t="s">
        <v>1835</v>
      </c>
    </row>
    <row r="165" spans="1:44" x14ac:dyDescent="0.25">
      <c r="A165" t="s">
        <v>1828</v>
      </c>
      <c r="B165" t="s">
        <v>1829</v>
      </c>
      <c r="D165" t="s">
        <v>1947</v>
      </c>
      <c r="G165" t="str">
        <f>CONCATENATE(Master_Packing_Database[[#This Row],[Exp '#]],Master_Packing_Database[[#This Row],[Batch '#]])</f>
        <v/>
      </c>
      <c r="H165" t="s">
        <v>2151</v>
      </c>
      <c r="I165" t="s">
        <v>2152</v>
      </c>
      <c r="J165" t="s">
        <v>366</v>
      </c>
      <c r="L165" t="s">
        <v>1833</v>
      </c>
      <c r="AN165">
        <v>0</v>
      </c>
      <c r="AO165" t="s">
        <v>1834</v>
      </c>
      <c r="AP165" t="s">
        <v>1834</v>
      </c>
      <c r="AQ165">
        <v>0</v>
      </c>
      <c r="AR165" t="s">
        <v>1835</v>
      </c>
    </row>
    <row r="166" spans="1:44" x14ac:dyDescent="0.25">
      <c r="A166" t="s">
        <v>1828</v>
      </c>
      <c r="B166" t="s">
        <v>1829</v>
      </c>
      <c r="D166" t="s">
        <v>2078</v>
      </c>
      <c r="G166" t="str">
        <f>CONCATENATE(Master_Packing_Database[[#This Row],[Exp '#]],Master_Packing_Database[[#This Row],[Batch '#]])</f>
        <v/>
      </c>
      <c r="H166" t="s">
        <v>2153</v>
      </c>
      <c r="I166" t="s">
        <v>2154</v>
      </c>
      <c r="J166" t="s">
        <v>117</v>
      </c>
      <c r="L166" t="s">
        <v>1849</v>
      </c>
      <c r="AN166">
        <v>0</v>
      </c>
      <c r="AO166" t="s">
        <v>1834</v>
      </c>
      <c r="AP166" t="s">
        <v>1834</v>
      </c>
      <c r="AQ166">
        <v>0</v>
      </c>
      <c r="AR166" t="s">
        <v>1835</v>
      </c>
    </row>
    <row r="167" spans="1:44" x14ac:dyDescent="0.25">
      <c r="A167" t="s">
        <v>1828</v>
      </c>
      <c r="B167" t="s">
        <v>1829</v>
      </c>
      <c r="D167" t="s">
        <v>2155</v>
      </c>
      <c r="G167" t="str">
        <f>CONCATENATE(Master_Packing_Database[[#This Row],[Exp '#]],Master_Packing_Database[[#This Row],[Batch '#]])</f>
        <v/>
      </c>
      <c r="H167" t="s">
        <v>2156</v>
      </c>
      <c r="I167" t="s">
        <v>2157</v>
      </c>
      <c r="J167" t="s">
        <v>117</v>
      </c>
      <c r="L167" t="s">
        <v>1849</v>
      </c>
      <c r="AN167">
        <v>0</v>
      </c>
      <c r="AO167" t="s">
        <v>1834</v>
      </c>
      <c r="AP167" t="s">
        <v>1834</v>
      </c>
      <c r="AQ167">
        <v>0</v>
      </c>
      <c r="AR167" t="s">
        <v>1835</v>
      </c>
    </row>
    <row r="168" spans="1:44" x14ac:dyDescent="0.25">
      <c r="A168" t="s">
        <v>1828</v>
      </c>
      <c r="B168" t="s">
        <v>1829</v>
      </c>
      <c r="D168" t="s">
        <v>1941</v>
      </c>
      <c r="G168" t="str">
        <f>CONCATENATE(Master_Packing_Database[[#This Row],[Exp '#]],Master_Packing_Database[[#This Row],[Batch '#]])</f>
        <v/>
      </c>
      <c r="H168" t="s">
        <v>2158</v>
      </c>
      <c r="I168" t="s">
        <v>2159</v>
      </c>
      <c r="J168" t="s">
        <v>117</v>
      </c>
      <c r="L168" t="s">
        <v>1849</v>
      </c>
      <c r="AN168">
        <v>0</v>
      </c>
      <c r="AO168" t="s">
        <v>1834</v>
      </c>
      <c r="AP168" t="s">
        <v>1834</v>
      </c>
      <c r="AQ168">
        <v>0</v>
      </c>
      <c r="AR168" t="s">
        <v>1835</v>
      </c>
    </row>
    <row r="169" spans="1:44" x14ac:dyDescent="0.25">
      <c r="A169" t="s">
        <v>1828</v>
      </c>
      <c r="B169" t="s">
        <v>1829</v>
      </c>
      <c r="D169" t="s">
        <v>1843</v>
      </c>
      <c r="G169" t="str">
        <f>CONCATENATE(Master_Packing_Database[[#This Row],[Exp '#]],Master_Packing_Database[[#This Row],[Batch '#]])</f>
        <v/>
      </c>
      <c r="H169" t="s">
        <v>2160</v>
      </c>
      <c r="I169" t="s">
        <v>2161</v>
      </c>
      <c r="J169" t="s">
        <v>366</v>
      </c>
      <c r="L169" t="s">
        <v>1833</v>
      </c>
      <c r="AN169">
        <v>0</v>
      </c>
      <c r="AO169" t="s">
        <v>1834</v>
      </c>
      <c r="AP169" t="s">
        <v>1834</v>
      </c>
      <c r="AQ169">
        <v>0</v>
      </c>
      <c r="AR169" t="s">
        <v>1835</v>
      </c>
    </row>
    <row r="170" spans="1:44" x14ac:dyDescent="0.25">
      <c r="A170" t="s">
        <v>1828</v>
      </c>
      <c r="B170" t="s">
        <v>1829</v>
      </c>
      <c r="D170" t="s">
        <v>2056</v>
      </c>
      <c r="G170" t="str">
        <f>CONCATENATE(Master_Packing_Database[[#This Row],[Exp '#]],Master_Packing_Database[[#This Row],[Batch '#]])</f>
        <v/>
      </c>
      <c r="H170" t="s">
        <v>2162</v>
      </c>
      <c r="I170" t="s">
        <v>2163</v>
      </c>
      <c r="J170" t="s">
        <v>366</v>
      </c>
      <c r="L170" t="s">
        <v>2164</v>
      </c>
      <c r="AN170">
        <v>0</v>
      </c>
      <c r="AO170" t="s">
        <v>1834</v>
      </c>
      <c r="AP170" t="s">
        <v>1834</v>
      </c>
      <c r="AQ170">
        <v>0</v>
      </c>
      <c r="AR170" t="s">
        <v>1835</v>
      </c>
    </row>
    <row r="171" spans="1:44" x14ac:dyDescent="0.25">
      <c r="A171" t="s">
        <v>1828</v>
      </c>
      <c r="B171" t="s">
        <v>1829</v>
      </c>
      <c r="D171" t="s">
        <v>2056</v>
      </c>
      <c r="G171" t="str">
        <f>CONCATENATE(Master_Packing_Database[[#This Row],[Exp '#]],Master_Packing_Database[[#This Row],[Batch '#]])</f>
        <v/>
      </c>
      <c r="H171" t="s">
        <v>2165</v>
      </c>
      <c r="I171" t="s">
        <v>2163</v>
      </c>
      <c r="J171" t="s">
        <v>366</v>
      </c>
      <c r="L171" t="s">
        <v>2166</v>
      </c>
      <c r="AN171">
        <v>0</v>
      </c>
      <c r="AO171" t="s">
        <v>1834</v>
      </c>
      <c r="AP171" t="s">
        <v>1834</v>
      </c>
      <c r="AQ171">
        <v>0</v>
      </c>
      <c r="AR171" t="s">
        <v>1835</v>
      </c>
    </row>
    <row r="172" spans="1:44" x14ac:dyDescent="0.25">
      <c r="A172" t="s">
        <v>1828</v>
      </c>
      <c r="B172" t="s">
        <v>1829</v>
      </c>
      <c r="D172" t="s">
        <v>2126</v>
      </c>
      <c r="G172" t="str">
        <f>CONCATENATE(Master_Packing_Database[[#This Row],[Exp '#]],Master_Packing_Database[[#This Row],[Batch '#]])</f>
        <v/>
      </c>
      <c r="H172" t="s">
        <v>2167</v>
      </c>
      <c r="I172" t="s">
        <v>2168</v>
      </c>
      <c r="J172" t="s">
        <v>366</v>
      </c>
      <c r="L172" t="s">
        <v>1833</v>
      </c>
      <c r="AN172">
        <v>0</v>
      </c>
      <c r="AO172" t="s">
        <v>1834</v>
      </c>
      <c r="AP172" t="s">
        <v>1834</v>
      </c>
      <c r="AQ172">
        <v>0</v>
      </c>
      <c r="AR172" t="s">
        <v>1835</v>
      </c>
    </row>
    <row r="173" spans="1:44" x14ac:dyDescent="0.25">
      <c r="A173" t="s">
        <v>1828</v>
      </c>
      <c r="B173" t="s">
        <v>1829</v>
      </c>
      <c r="D173" t="s">
        <v>1918</v>
      </c>
      <c r="G173" t="str">
        <f>CONCATENATE(Master_Packing_Database[[#This Row],[Exp '#]],Master_Packing_Database[[#This Row],[Batch '#]])</f>
        <v/>
      </c>
      <c r="H173" t="s">
        <v>2169</v>
      </c>
      <c r="I173" t="s">
        <v>2170</v>
      </c>
      <c r="J173" t="s">
        <v>366</v>
      </c>
      <c r="L173" t="s">
        <v>1833</v>
      </c>
      <c r="AN173">
        <v>0</v>
      </c>
      <c r="AO173" t="s">
        <v>1834</v>
      </c>
      <c r="AP173" t="s">
        <v>1834</v>
      </c>
      <c r="AQ173">
        <v>0</v>
      </c>
      <c r="AR173" t="s">
        <v>1835</v>
      </c>
    </row>
    <row r="174" spans="1:44" x14ac:dyDescent="0.25">
      <c r="A174" t="s">
        <v>1828</v>
      </c>
      <c r="B174" t="s">
        <v>1829</v>
      </c>
      <c r="D174" t="s">
        <v>2008</v>
      </c>
      <c r="G174" t="str">
        <f>CONCATENATE(Master_Packing_Database[[#This Row],[Exp '#]],Master_Packing_Database[[#This Row],[Batch '#]])</f>
        <v/>
      </c>
      <c r="H174" t="s">
        <v>2171</v>
      </c>
      <c r="I174" t="s">
        <v>1914</v>
      </c>
      <c r="J174" t="s">
        <v>366</v>
      </c>
      <c r="L174" t="s">
        <v>1833</v>
      </c>
      <c r="AN174">
        <v>0</v>
      </c>
      <c r="AO174" t="s">
        <v>1834</v>
      </c>
      <c r="AP174" t="s">
        <v>1834</v>
      </c>
      <c r="AQ174">
        <v>0</v>
      </c>
      <c r="AR174" t="s">
        <v>1835</v>
      </c>
    </row>
    <row r="175" spans="1:44" x14ac:dyDescent="0.25">
      <c r="A175" t="s">
        <v>1828</v>
      </c>
      <c r="B175" t="s">
        <v>1829</v>
      </c>
      <c r="D175" t="s">
        <v>1976</v>
      </c>
      <c r="G175" t="str">
        <f>CONCATENATE(Master_Packing_Database[[#This Row],[Exp '#]],Master_Packing_Database[[#This Row],[Batch '#]])</f>
        <v/>
      </c>
      <c r="H175" t="s">
        <v>2172</v>
      </c>
      <c r="I175" t="s">
        <v>2074</v>
      </c>
      <c r="J175" t="s">
        <v>366</v>
      </c>
      <c r="L175" t="s">
        <v>2013</v>
      </c>
      <c r="AN175">
        <v>0</v>
      </c>
      <c r="AO175" t="s">
        <v>1834</v>
      </c>
      <c r="AP175" t="s">
        <v>1834</v>
      </c>
      <c r="AQ175">
        <v>0</v>
      </c>
      <c r="AR175" t="s">
        <v>1835</v>
      </c>
    </row>
    <row r="176" spans="1:44" x14ac:dyDescent="0.25">
      <c r="A176" t="s">
        <v>1828</v>
      </c>
      <c r="B176" t="s">
        <v>1829</v>
      </c>
      <c r="D176" t="s">
        <v>2107</v>
      </c>
      <c r="G176" t="str">
        <f>CONCATENATE(Master_Packing_Database[[#This Row],[Exp '#]],Master_Packing_Database[[#This Row],[Batch '#]])</f>
        <v/>
      </c>
      <c r="H176" t="s">
        <v>2173</v>
      </c>
      <c r="I176" t="s">
        <v>2174</v>
      </c>
      <c r="J176" t="s">
        <v>117</v>
      </c>
      <c r="L176" t="s">
        <v>1849</v>
      </c>
      <c r="AN176">
        <v>0</v>
      </c>
      <c r="AO176" t="s">
        <v>1834</v>
      </c>
      <c r="AP176" t="s">
        <v>1834</v>
      </c>
      <c r="AQ176">
        <v>0</v>
      </c>
      <c r="AR176" t="s">
        <v>1835</v>
      </c>
    </row>
    <row r="177" spans="1:44" x14ac:dyDescent="0.25">
      <c r="A177" t="s">
        <v>1828</v>
      </c>
      <c r="B177" t="s">
        <v>1829</v>
      </c>
      <c r="D177" t="s">
        <v>2175</v>
      </c>
      <c r="G177" t="str">
        <f>CONCATENATE(Master_Packing_Database[[#This Row],[Exp '#]],Master_Packing_Database[[#This Row],[Batch '#]])</f>
        <v/>
      </c>
      <c r="H177" t="s">
        <v>2176</v>
      </c>
      <c r="I177" t="s">
        <v>2175</v>
      </c>
      <c r="J177" t="s">
        <v>117</v>
      </c>
      <c r="L177" t="s">
        <v>1849</v>
      </c>
      <c r="AN177">
        <v>0</v>
      </c>
      <c r="AO177" t="s">
        <v>1834</v>
      </c>
      <c r="AP177" t="s">
        <v>1834</v>
      </c>
      <c r="AQ177">
        <v>0</v>
      </c>
      <c r="AR177" t="s">
        <v>1835</v>
      </c>
    </row>
    <row r="178" spans="1:44" x14ac:dyDescent="0.25">
      <c r="A178" t="s">
        <v>1828</v>
      </c>
      <c r="B178" t="s">
        <v>1829</v>
      </c>
      <c r="D178" t="s">
        <v>2036</v>
      </c>
      <c r="G178" t="str">
        <f>CONCATENATE(Master_Packing_Database[[#This Row],[Exp '#]],Master_Packing_Database[[#This Row],[Batch '#]])</f>
        <v/>
      </c>
      <c r="H178" t="s">
        <v>2177</v>
      </c>
      <c r="I178" t="s">
        <v>2178</v>
      </c>
      <c r="J178" t="s">
        <v>117</v>
      </c>
      <c r="L178" t="s">
        <v>1849</v>
      </c>
      <c r="AN178">
        <v>0</v>
      </c>
      <c r="AO178" t="s">
        <v>1834</v>
      </c>
      <c r="AP178" t="s">
        <v>1834</v>
      </c>
      <c r="AQ178">
        <v>0</v>
      </c>
      <c r="AR178" t="s">
        <v>1835</v>
      </c>
    </row>
    <row r="179" spans="1:44" x14ac:dyDescent="0.25">
      <c r="A179" t="s">
        <v>1828</v>
      </c>
      <c r="B179" t="s">
        <v>1829</v>
      </c>
      <c r="D179" t="s">
        <v>2036</v>
      </c>
      <c r="G179" t="str">
        <f>CONCATENATE(Master_Packing_Database[[#This Row],[Exp '#]],Master_Packing_Database[[#This Row],[Batch '#]])</f>
        <v/>
      </c>
      <c r="H179" t="s">
        <v>2179</v>
      </c>
      <c r="I179" t="s">
        <v>2134</v>
      </c>
      <c r="J179" t="s">
        <v>117</v>
      </c>
      <c r="L179" t="s">
        <v>1849</v>
      </c>
      <c r="AN179">
        <v>0</v>
      </c>
      <c r="AO179" t="s">
        <v>1834</v>
      </c>
      <c r="AP179" t="s">
        <v>1834</v>
      </c>
      <c r="AQ179">
        <v>0</v>
      </c>
      <c r="AR179" t="s">
        <v>1835</v>
      </c>
    </row>
    <row r="180" spans="1:44" x14ac:dyDescent="0.25">
      <c r="A180" t="s">
        <v>1828</v>
      </c>
      <c r="B180" t="s">
        <v>1829</v>
      </c>
      <c r="D180" t="s">
        <v>1976</v>
      </c>
      <c r="G180" t="str">
        <f>CONCATENATE(Master_Packing_Database[[#This Row],[Exp '#]],Master_Packing_Database[[#This Row],[Batch '#]])</f>
        <v/>
      </c>
      <c r="H180" t="s">
        <v>2180</v>
      </c>
      <c r="I180" t="s">
        <v>2181</v>
      </c>
      <c r="J180" t="s">
        <v>366</v>
      </c>
      <c r="L180" t="s">
        <v>1987</v>
      </c>
      <c r="AN180">
        <v>0</v>
      </c>
      <c r="AO180" t="s">
        <v>1834</v>
      </c>
      <c r="AP180" t="s">
        <v>1834</v>
      </c>
      <c r="AQ180">
        <v>0</v>
      </c>
      <c r="AR180" t="s">
        <v>1835</v>
      </c>
    </row>
    <row r="181" spans="1:44" x14ac:dyDescent="0.25">
      <c r="A181" t="s">
        <v>1828</v>
      </c>
      <c r="B181" t="s">
        <v>1829</v>
      </c>
      <c r="D181" t="s">
        <v>1910</v>
      </c>
      <c r="G181" t="str">
        <f>CONCATENATE(Master_Packing_Database[[#This Row],[Exp '#]],Master_Packing_Database[[#This Row],[Batch '#]])</f>
        <v/>
      </c>
      <c r="H181" t="s">
        <v>2182</v>
      </c>
      <c r="I181" t="s">
        <v>1912</v>
      </c>
      <c r="J181" t="s">
        <v>117</v>
      </c>
      <c r="L181" t="s">
        <v>1833</v>
      </c>
      <c r="AN181">
        <v>0</v>
      </c>
      <c r="AO181" t="s">
        <v>1834</v>
      </c>
      <c r="AP181" t="s">
        <v>1834</v>
      </c>
      <c r="AQ181">
        <v>0</v>
      </c>
      <c r="AR181" t="s">
        <v>1835</v>
      </c>
    </row>
    <row r="182" spans="1:44" x14ac:dyDescent="0.25">
      <c r="A182" t="s">
        <v>1828</v>
      </c>
      <c r="B182" t="s">
        <v>1829</v>
      </c>
      <c r="D182" t="s">
        <v>1932</v>
      </c>
      <c r="G182" t="str">
        <f>CONCATENATE(Master_Packing_Database[[#This Row],[Exp '#]],Master_Packing_Database[[#This Row],[Batch '#]])</f>
        <v/>
      </c>
      <c r="H182" t="s">
        <v>2183</v>
      </c>
      <c r="I182" t="s">
        <v>2100</v>
      </c>
      <c r="J182" t="s">
        <v>366</v>
      </c>
      <c r="L182" t="s">
        <v>521</v>
      </c>
      <c r="AN182">
        <v>0</v>
      </c>
      <c r="AO182" t="s">
        <v>1834</v>
      </c>
      <c r="AP182" t="s">
        <v>1834</v>
      </c>
      <c r="AQ182">
        <v>0</v>
      </c>
      <c r="AR182" t="s">
        <v>1835</v>
      </c>
    </row>
    <row r="183" spans="1:44" x14ac:dyDescent="0.25">
      <c r="A183" t="s">
        <v>1828</v>
      </c>
      <c r="B183" t="s">
        <v>1829</v>
      </c>
      <c r="D183" t="s">
        <v>2036</v>
      </c>
      <c r="G183" t="str">
        <f>CONCATENATE(Master_Packing_Database[[#This Row],[Exp '#]],Master_Packing_Database[[#This Row],[Batch '#]])</f>
        <v/>
      </c>
      <c r="H183" t="s">
        <v>2184</v>
      </c>
      <c r="I183" t="s">
        <v>1897</v>
      </c>
      <c r="J183" t="s">
        <v>117</v>
      </c>
      <c r="L183" t="s">
        <v>1849</v>
      </c>
      <c r="AN183">
        <v>0</v>
      </c>
      <c r="AO183" t="s">
        <v>1834</v>
      </c>
      <c r="AP183" t="s">
        <v>1834</v>
      </c>
      <c r="AQ183">
        <v>0</v>
      </c>
      <c r="AR183" t="s">
        <v>1835</v>
      </c>
    </row>
    <row r="184" spans="1:44" x14ac:dyDescent="0.25">
      <c r="A184" t="s">
        <v>1828</v>
      </c>
      <c r="B184" t="s">
        <v>1829</v>
      </c>
      <c r="D184" t="s">
        <v>2185</v>
      </c>
      <c r="G184" t="str">
        <f>CONCATENATE(Master_Packing_Database[[#This Row],[Exp '#]],Master_Packing_Database[[#This Row],[Batch '#]])</f>
        <v/>
      </c>
      <c r="H184" t="s">
        <v>2186</v>
      </c>
      <c r="I184" t="s">
        <v>1949</v>
      </c>
      <c r="J184" t="s">
        <v>366</v>
      </c>
      <c r="L184" t="s">
        <v>1950</v>
      </c>
      <c r="AN184">
        <v>0</v>
      </c>
      <c r="AO184" t="s">
        <v>1834</v>
      </c>
      <c r="AP184" t="s">
        <v>1834</v>
      </c>
      <c r="AQ184">
        <v>0</v>
      </c>
      <c r="AR184" t="s">
        <v>1835</v>
      </c>
    </row>
    <row r="185" spans="1:44" x14ac:dyDescent="0.25">
      <c r="A185" t="s">
        <v>1828</v>
      </c>
      <c r="B185" t="s">
        <v>1829</v>
      </c>
      <c r="D185" t="s">
        <v>1918</v>
      </c>
      <c r="G185" t="str">
        <f>CONCATENATE(Master_Packing_Database[[#This Row],[Exp '#]],Master_Packing_Database[[#This Row],[Batch '#]])</f>
        <v/>
      </c>
      <c r="H185" t="s">
        <v>2187</v>
      </c>
      <c r="I185" t="s">
        <v>2188</v>
      </c>
      <c r="J185" t="s">
        <v>366</v>
      </c>
      <c r="L185" t="s">
        <v>1833</v>
      </c>
      <c r="AN185">
        <v>0</v>
      </c>
      <c r="AO185" t="s">
        <v>1834</v>
      </c>
      <c r="AP185" t="s">
        <v>1834</v>
      </c>
      <c r="AQ185">
        <v>0</v>
      </c>
      <c r="AR185" t="s">
        <v>1835</v>
      </c>
    </row>
    <row r="186" spans="1:44" x14ac:dyDescent="0.25">
      <c r="A186" t="s">
        <v>1828</v>
      </c>
      <c r="B186" t="s">
        <v>1829</v>
      </c>
      <c r="D186" t="s">
        <v>1918</v>
      </c>
      <c r="G186" t="str">
        <f>CONCATENATE(Master_Packing_Database[[#This Row],[Exp '#]],Master_Packing_Database[[#This Row],[Batch '#]])</f>
        <v/>
      </c>
      <c r="H186" t="s">
        <v>2189</v>
      </c>
      <c r="I186" t="s">
        <v>2190</v>
      </c>
      <c r="J186" t="s">
        <v>366</v>
      </c>
      <c r="L186" t="s">
        <v>1833</v>
      </c>
      <c r="AN186">
        <v>0</v>
      </c>
      <c r="AO186" t="s">
        <v>1834</v>
      </c>
      <c r="AP186" t="s">
        <v>1834</v>
      </c>
      <c r="AQ186">
        <v>0</v>
      </c>
      <c r="AR186" t="s">
        <v>1835</v>
      </c>
    </row>
    <row r="187" spans="1:44" x14ac:dyDescent="0.25">
      <c r="A187" t="s">
        <v>1828</v>
      </c>
      <c r="B187" t="s">
        <v>1829</v>
      </c>
      <c r="D187" t="s">
        <v>2034</v>
      </c>
      <c r="G187" t="str">
        <f>CONCATENATE(Master_Packing_Database[[#This Row],[Exp '#]],Master_Packing_Database[[#This Row],[Batch '#]])</f>
        <v/>
      </c>
      <c r="H187" t="s">
        <v>2191</v>
      </c>
      <c r="I187" t="s">
        <v>2047</v>
      </c>
      <c r="J187" t="s">
        <v>366</v>
      </c>
      <c r="L187" t="s">
        <v>1923</v>
      </c>
      <c r="AN187">
        <v>0</v>
      </c>
      <c r="AO187" t="s">
        <v>1834</v>
      </c>
      <c r="AP187" t="s">
        <v>1834</v>
      </c>
      <c r="AQ187">
        <v>0</v>
      </c>
      <c r="AR187" t="s">
        <v>1835</v>
      </c>
    </row>
    <row r="188" spans="1:44" x14ac:dyDescent="0.25">
      <c r="A188" t="s">
        <v>1828</v>
      </c>
      <c r="B188" t="s">
        <v>1829</v>
      </c>
      <c r="D188" t="s">
        <v>2192</v>
      </c>
      <c r="G188" t="str">
        <f>CONCATENATE(Master_Packing_Database[[#This Row],[Exp '#]],Master_Packing_Database[[#This Row],[Batch '#]])</f>
        <v/>
      </c>
      <c r="H188" t="s">
        <v>2193</v>
      </c>
      <c r="I188" t="s">
        <v>2054</v>
      </c>
      <c r="J188" t="s">
        <v>117</v>
      </c>
      <c r="L188" t="s">
        <v>2010</v>
      </c>
      <c r="AN188">
        <v>0</v>
      </c>
      <c r="AO188" t="s">
        <v>1834</v>
      </c>
      <c r="AP188" t="s">
        <v>1834</v>
      </c>
      <c r="AQ188">
        <v>0</v>
      </c>
      <c r="AR188" t="s">
        <v>1835</v>
      </c>
    </row>
    <row r="189" spans="1:44" x14ac:dyDescent="0.25">
      <c r="A189" t="s">
        <v>1828</v>
      </c>
      <c r="B189" t="s">
        <v>1829</v>
      </c>
      <c r="D189" t="s">
        <v>1918</v>
      </c>
      <c r="G189" t="str">
        <f>CONCATENATE(Master_Packing_Database[[#This Row],[Exp '#]],Master_Packing_Database[[#This Row],[Batch '#]])</f>
        <v/>
      </c>
      <c r="H189" t="s">
        <v>2194</v>
      </c>
      <c r="I189" t="s">
        <v>2195</v>
      </c>
      <c r="J189" t="s">
        <v>366</v>
      </c>
      <c r="L189" t="s">
        <v>1833</v>
      </c>
      <c r="AN189">
        <v>0</v>
      </c>
      <c r="AO189" t="s">
        <v>1834</v>
      </c>
      <c r="AP189" t="s">
        <v>1834</v>
      </c>
      <c r="AQ189">
        <v>0</v>
      </c>
      <c r="AR189" t="s">
        <v>1835</v>
      </c>
    </row>
    <row r="190" spans="1:44" x14ac:dyDescent="0.25">
      <c r="A190" t="s">
        <v>1828</v>
      </c>
      <c r="B190" t="s">
        <v>1829</v>
      </c>
      <c r="D190" t="s">
        <v>1921</v>
      </c>
      <c r="G190" t="str">
        <f>CONCATENATE(Master_Packing_Database[[#This Row],[Exp '#]],Master_Packing_Database[[#This Row],[Batch '#]])</f>
        <v/>
      </c>
      <c r="H190" t="s">
        <v>2196</v>
      </c>
      <c r="I190" t="s">
        <v>2197</v>
      </c>
      <c r="J190" t="s">
        <v>117</v>
      </c>
      <c r="L190" t="s">
        <v>2198</v>
      </c>
      <c r="AN190">
        <v>0</v>
      </c>
      <c r="AO190" t="s">
        <v>1834</v>
      </c>
      <c r="AP190" t="s">
        <v>1834</v>
      </c>
      <c r="AQ190">
        <v>0</v>
      </c>
      <c r="AR190" t="s">
        <v>1835</v>
      </c>
    </row>
    <row r="191" spans="1:44" x14ac:dyDescent="0.25">
      <c r="A191" t="s">
        <v>1828</v>
      </c>
      <c r="B191" t="s">
        <v>1829</v>
      </c>
      <c r="D191" t="s">
        <v>1976</v>
      </c>
      <c r="G191" t="str">
        <f>CONCATENATE(Master_Packing_Database[[#This Row],[Exp '#]],Master_Packing_Database[[#This Row],[Batch '#]])</f>
        <v/>
      </c>
      <c r="H191" t="s">
        <v>2180</v>
      </c>
      <c r="I191" t="s">
        <v>2181</v>
      </c>
      <c r="J191" t="s">
        <v>366</v>
      </c>
      <c r="L191" t="s">
        <v>1987</v>
      </c>
      <c r="AN191">
        <v>0</v>
      </c>
      <c r="AO191" t="s">
        <v>1834</v>
      </c>
      <c r="AP191" t="s">
        <v>1834</v>
      </c>
      <c r="AQ191">
        <v>0</v>
      </c>
      <c r="AR191" t="s">
        <v>1835</v>
      </c>
    </row>
    <row r="192" spans="1:44" x14ac:dyDescent="0.25">
      <c r="A192" t="s">
        <v>1828</v>
      </c>
      <c r="B192" t="s">
        <v>1829</v>
      </c>
      <c r="D192" t="s">
        <v>2199</v>
      </c>
      <c r="G192" t="str">
        <f>CONCATENATE(Master_Packing_Database[[#This Row],[Exp '#]],Master_Packing_Database[[#This Row],[Batch '#]])</f>
        <v/>
      </c>
      <c r="H192" t="s">
        <v>2200</v>
      </c>
      <c r="I192" t="s">
        <v>2201</v>
      </c>
      <c r="J192" t="s">
        <v>117</v>
      </c>
      <c r="L192" t="s">
        <v>1849</v>
      </c>
      <c r="AN192">
        <v>0</v>
      </c>
      <c r="AO192" t="s">
        <v>1834</v>
      </c>
      <c r="AP192" t="s">
        <v>1834</v>
      </c>
      <c r="AQ192">
        <v>0</v>
      </c>
      <c r="AR192" t="s">
        <v>1835</v>
      </c>
    </row>
    <row r="193" spans="1:44" x14ac:dyDescent="0.25">
      <c r="A193" t="s">
        <v>1828</v>
      </c>
      <c r="B193" t="s">
        <v>1829</v>
      </c>
      <c r="D193" t="s">
        <v>1968</v>
      </c>
      <c r="G193" t="str">
        <f>CONCATENATE(Master_Packing_Database[[#This Row],[Exp '#]],Master_Packing_Database[[#This Row],[Batch '#]])</f>
        <v/>
      </c>
      <c r="H193" t="s">
        <v>2202</v>
      </c>
      <c r="I193" t="s">
        <v>1897</v>
      </c>
      <c r="J193" t="s">
        <v>117</v>
      </c>
      <c r="L193" t="s">
        <v>1849</v>
      </c>
      <c r="AN193">
        <v>0</v>
      </c>
      <c r="AO193" t="s">
        <v>1834</v>
      </c>
      <c r="AP193" t="s">
        <v>1834</v>
      </c>
      <c r="AQ193">
        <v>0</v>
      </c>
      <c r="AR193" t="s">
        <v>1835</v>
      </c>
    </row>
    <row r="194" spans="1:44" x14ac:dyDescent="0.25">
      <c r="A194" t="s">
        <v>1828</v>
      </c>
      <c r="B194" t="s">
        <v>1829</v>
      </c>
      <c r="D194" t="s">
        <v>2112</v>
      </c>
      <c r="G194" t="str">
        <f>CONCATENATE(Master_Packing_Database[[#This Row],[Exp '#]],Master_Packing_Database[[#This Row],[Batch '#]])</f>
        <v/>
      </c>
      <c r="H194" t="s">
        <v>2203</v>
      </c>
      <c r="I194" t="s">
        <v>2114</v>
      </c>
      <c r="J194" t="s">
        <v>366</v>
      </c>
      <c r="L194" t="s">
        <v>2204</v>
      </c>
      <c r="AN194">
        <v>0</v>
      </c>
      <c r="AO194" t="s">
        <v>1834</v>
      </c>
      <c r="AP194" t="s">
        <v>1834</v>
      </c>
      <c r="AQ194">
        <v>0</v>
      </c>
      <c r="AR194" t="s">
        <v>1835</v>
      </c>
    </row>
    <row r="195" spans="1:44" x14ac:dyDescent="0.25">
      <c r="A195" t="s">
        <v>1828</v>
      </c>
      <c r="B195" t="s">
        <v>1829</v>
      </c>
      <c r="D195" t="s">
        <v>1971</v>
      </c>
      <c r="G195" t="str">
        <f>CONCATENATE(Master_Packing_Database[[#This Row],[Exp '#]],Master_Packing_Database[[#This Row],[Batch '#]])</f>
        <v/>
      </c>
      <c r="H195" t="s">
        <v>2205</v>
      </c>
      <c r="I195" t="s">
        <v>1832</v>
      </c>
      <c r="J195" t="s">
        <v>117</v>
      </c>
      <c r="L195" t="s">
        <v>1849</v>
      </c>
      <c r="AN195">
        <v>0</v>
      </c>
      <c r="AO195" t="s">
        <v>1834</v>
      </c>
      <c r="AP195" t="s">
        <v>1834</v>
      </c>
      <c r="AQ195">
        <v>0</v>
      </c>
      <c r="AR195" t="s">
        <v>1835</v>
      </c>
    </row>
    <row r="196" spans="1:44" x14ac:dyDescent="0.25">
      <c r="A196" t="s">
        <v>1828</v>
      </c>
      <c r="B196" t="s">
        <v>1829</v>
      </c>
      <c r="D196" t="s">
        <v>2064</v>
      </c>
      <c r="G196" t="str">
        <f>CONCATENATE(Master_Packing_Database[[#This Row],[Exp '#]],Master_Packing_Database[[#This Row],[Batch '#]])</f>
        <v/>
      </c>
      <c r="H196" t="s">
        <v>2206</v>
      </c>
      <c r="I196" t="s">
        <v>1832</v>
      </c>
      <c r="J196" t="s">
        <v>117</v>
      </c>
      <c r="L196" t="s">
        <v>1849</v>
      </c>
      <c r="AN196">
        <v>0</v>
      </c>
      <c r="AO196" t="s">
        <v>1834</v>
      </c>
      <c r="AP196" t="s">
        <v>1834</v>
      </c>
      <c r="AQ196">
        <v>0</v>
      </c>
      <c r="AR196" t="s">
        <v>1835</v>
      </c>
    </row>
    <row r="197" spans="1:44" x14ac:dyDescent="0.25">
      <c r="A197" t="s">
        <v>1828</v>
      </c>
      <c r="B197" t="s">
        <v>1829</v>
      </c>
      <c r="D197" t="s">
        <v>2064</v>
      </c>
      <c r="G197" t="str">
        <f>CONCATENATE(Master_Packing_Database[[#This Row],[Exp '#]],Master_Packing_Database[[#This Row],[Batch '#]])</f>
        <v/>
      </c>
      <c r="H197" t="s">
        <v>2207</v>
      </c>
      <c r="I197" t="s">
        <v>1832</v>
      </c>
      <c r="J197" t="s">
        <v>117</v>
      </c>
      <c r="L197" t="s">
        <v>1849</v>
      </c>
      <c r="AN197">
        <v>0</v>
      </c>
      <c r="AO197" t="s">
        <v>1834</v>
      </c>
      <c r="AP197" t="s">
        <v>1834</v>
      </c>
      <c r="AQ197">
        <v>0</v>
      </c>
      <c r="AR197" t="s">
        <v>1835</v>
      </c>
    </row>
    <row r="198" spans="1:44" x14ac:dyDescent="0.25">
      <c r="A198" t="s">
        <v>1828</v>
      </c>
      <c r="B198" t="s">
        <v>1829</v>
      </c>
      <c r="D198" t="s">
        <v>1886</v>
      </c>
      <c r="G198" t="str">
        <f>CONCATENATE(Master_Packing_Database[[#This Row],[Exp '#]],Master_Packing_Database[[#This Row],[Batch '#]])</f>
        <v/>
      </c>
      <c r="H198" t="s">
        <v>2208</v>
      </c>
      <c r="I198" t="s">
        <v>1914</v>
      </c>
      <c r="J198" t="s">
        <v>117</v>
      </c>
      <c r="L198" t="s">
        <v>1833</v>
      </c>
      <c r="AN198">
        <v>0</v>
      </c>
      <c r="AO198" t="s">
        <v>1834</v>
      </c>
      <c r="AP198" t="s">
        <v>1834</v>
      </c>
      <c r="AQ198">
        <v>0</v>
      </c>
      <c r="AR198" t="s">
        <v>1835</v>
      </c>
    </row>
    <row r="199" spans="1:44" x14ac:dyDescent="0.25">
      <c r="A199" t="s">
        <v>1828</v>
      </c>
      <c r="B199" t="s">
        <v>1829</v>
      </c>
      <c r="D199" t="s">
        <v>2209</v>
      </c>
      <c r="G199" t="str">
        <f>CONCATENATE(Master_Packing_Database[[#This Row],[Exp '#]],Master_Packing_Database[[#This Row],[Batch '#]])</f>
        <v/>
      </c>
      <c r="H199" t="s">
        <v>2210</v>
      </c>
      <c r="I199" t="s">
        <v>2211</v>
      </c>
      <c r="J199" t="s">
        <v>366</v>
      </c>
      <c r="L199" t="s">
        <v>2212</v>
      </c>
      <c r="AN199">
        <v>0</v>
      </c>
      <c r="AO199" t="s">
        <v>1834</v>
      </c>
      <c r="AP199" t="s">
        <v>1834</v>
      </c>
      <c r="AQ199">
        <v>0</v>
      </c>
      <c r="AR199" t="s">
        <v>1835</v>
      </c>
    </row>
    <row r="200" spans="1:44" x14ac:dyDescent="0.25">
      <c r="A200" t="s">
        <v>1828</v>
      </c>
      <c r="B200" t="s">
        <v>1829</v>
      </c>
      <c r="D200" t="s">
        <v>1886</v>
      </c>
      <c r="G200" t="str">
        <f>CONCATENATE(Master_Packing_Database[[#This Row],[Exp '#]],Master_Packing_Database[[#This Row],[Batch '#]])</f>
        <v/>
      </c>
      <c r="H200" t="s">
        <v>2213</v>
      </c>
      <c r="I200" t="s">
        <v>2085</v>
      </c>
      <c r="J200" t="s">
        <v>366</v>
      </c>
      <c r="L200" t="s">
        <v>1979</v>
      </c>
      <c r="AN200">
        <v>0</v>
      </c>
      <c r="AO200" t="s">
        <v>1834</v>
      </c>
      <c r="AP200" t="s">
        <v>1834</v>
      </c>
      <c r="AQ200">
        <v>0</v>
      </c>
      <c r="AR200" t="s">
        <v>1835</v>
      </c>
    </row>
    <row r="201" spans="1:44" x14ac:dyDescent="0.25">
      <c r="A201" t="s">
        <v>1828</v>
      </c>
      <c r="B201" t="s">
        <v>1829</v>
      </c>
      <c r="D201" t="s">
        <v>1886</v>
      </c>
      <c r="G201" t="str">
        <f>CONCATENATE(Master_Packing_Database[[#This Row],[Exp '#]],Master_Packing_Database[[#This Row],[Batch '#]])</f>
        <v/>
      </c>
      <c r="H201" t="s">
        <v>2214</v>
      </c>
      <c r="I201" t="s">
        <v>2215</v>
      </c>
      <c r="J201" t="s">
        <v>366</v>
      </c>
      <c r="L201" t="s">
        <v>1987</v>
      </c>
      <c r="AN201">
        <v>0</v>
      </c>
      <c r="AO201" t="s">
        <v>1834</v>
      </c>
      <c r="AP201" t="s">
        <v>1834</v>
      </c>
      <c r="AQ201">
        <v>0</v>
      </c>
      <c r="AR201" t="s">
        <v>1835</v>
      </c>
    </row>
    <row r="202" spans="1:44" x14ac:dyDescent="0.25">
      <c r="A202" t="s">
        <v>1828</v>
      </c>
      <c r="B202" t="s">
        <v>1829</v>
      </c>
      <c r="D202" t="s">
        <v>1886</v>
      </c>
      <c r="G202" t="str">
        <f>CONCATENATE(Master_Packing_Database[[#This Row],[Exp '#]],Master_Packing_Database[[#This Row],[Batch '#]])</f>
        <v/>
      </c>
      <c r="H202" t="s">
        <v>2216</v>
      </c>
      <c r="I202" t="s">
        <v>2217</v>
      </c>
      <c r="J202" t="s">
        <v>366</v>
      </c>
      <c r="L202" t="s">
        <v>1987</v>
      </c>
      <c r="AN202">
        <v>0</v>
      </c>
      <c r="AO202" t="s">
        <v>1834</v>
      </c>
      <c r="AP202" t="s">
        <v>1834</v>
      </c>
      <c r="AQ202">
        <v>0</v>
      </c>
      <c r="AR202" t="s">
        <v>1835</v>
      </c>
    </row>
    <row r="203" spans="1:44" x14ac:dyDescent="0.25">
      <c r="A203" t="s">
        <v>1828</v>
      </c>
      <c r="B203" t="s">
        <v>1829</v>
      </c>
      <c r="D203" t="s">
        <v>1886</v>
      </c>
      <c r="G203" t="str">
        <f>CONCATENATE(Master_Packing_Database[[#This Row],[Exp '#]],Master_Packing_Database[[#This Row],[Batch '#]])</f>
        <v/>
      </c>
      <c r="H203" t="s">
        <v>2218</v>
      </c>
      <c r="I203" t="s">
        <v>2219</v>
      </c>
      <c r="J203" t="s">
        <v>366</v>
      </c>
      <c r="L203" t="s">
        <v>1987</v>
      </c>
      <c r="AN203">
        <v>0</v>
      </c>
      <c r="AO203" t="s">
        <v>1834</v>
      </c>
      <c r="AP203" t="s">
        <v>1834</v>
      </c>
      <c r="AQ203">
        <v>0</v>
      </c>
      <c r="AR203" t="s">
        <v>1835</v>
      </c>
    </row>
    <row r="204" spans="1:44" x14ac:dyDescent="0.25">
      <c r="A204" t="s">
        <v>1828</v>
      </c>
      <c r="B204" t="s">
        <v>1829</v>
      </c>
      <c r="D204" t="s">
        <v>1886</v>
      </c>
      <c r="G204" t="str">
        <f>CONCATENATE(Master_Packing_Database[[#This Row],[Exp '#]],Master_Packing_Database[[#This Row],[Batch '#]])</f>
        <v/>
      </c>
      <c r="H204" t="s">
        <v>2220</v>
      </c>
      <c r="I204" t="s">
        <v>2221</v>
      </c>
      <c r="J204" t="s">
        <v>366</v>
      </c>
      <c r="L204" t="s">
        <v>1987</v>
      </c>
      <c r="AN204">
        <v>0</v>
      </c>
      <c r="AO204" t="s">
        <v>1834</v>
      </c>
      <c r="AP204" t="s">
        <v>1834</v>
      </c>
      <c r="AQ204">
        <v>0</v>
      </c>
      <c r="AR204" t="s">
        <v>1835</v>
      </c>
    </row>
    <row r="205" spans="1:44" x14ac:dyDescent="0.25">
      <c r="A205" t="s">
        <v>1828</v>
      </c>
      <c r="B205" t="s">
        <v>1829</v>
      </c>
      <c r="D205" t="s">
        <v>2222</v>
      </c>
      <c r="G205" t="str">
        <f>CONCATENATE(Master_Packing_Database[[#This Row],[Exp '#]],Master_Packing_Database[[#This Row],[Batch '#]])</f>
        <v/>
      </c>
      <c r="H205" t="s">
        <v>2223</v>
      </c>
      <c r="I205" t="s">
        <v>1970</v>
      </c>
      <c r="J205" t="s">
        <v>117</v>
      </c>
      <c r="L205" t="s">
        <v>1849</v>
      </c>
      <c r="AN205">
        <v>0</v>
      </c>
      <c r="AO205" t="s">
        <v>1834</v>
      </c>
      <c r="AP205" t="s">
        <v>1834</v>
      </c>
      <c r="AQ205">
        <v>0</v>
      </c>
      <c r="AR205" t="s">
        <v>1835</v>
      </c>
    </row>
    <row r="206" spans="1:44" x14ac:dyDescent="0.25">
      <c r="A206" t="s">
        <v>1828</v>
      </c>
      <c r="B206" t="s">
        <v>1829</v>
      </c>
      <c r="D206" t="s">
        <v>1938</v>
      </c>
      <c r="G206" t="str">
        <f>CONCATENATE(Master_Packing_Database[[#This Row],[Exp '#]],Master_Packing_Database[[#This Row],[Batch '#]])</f>
        <v/>
      </c>
      <c r="H206" t="s">
        <v>2224</v>
      </c>
      <c r="I206" t="s">
        <v>2225</v>
      </c>
      <c r="J206" t="s">
        <v>117</v>
      </c>
      <c r="L206" t="s">
        <v>1849</v>
      </c>
      <c r="AN206">
        <v>0</v>
      </c>
      <c r="AO206" t="s">
        <v>1834</v>
      </c>
      <c r="AP206" t="s">
        <v>1834</v>
      </c>
      <c r="AQ206">
        <v>0</v>
      </c>
      <c r="AR206" t="s">
        <v>1835</v>
      </c>
    </row>
    <row r="207" spans="1:44" x14ac:dyDescent="0.25">
      <c r="A207" t="s">
        <v>1828</v>
      </c>
      <c r="B207" t="s">
        <v>1829</v>
      </c>
      <c r="D207" t="s">
        <v>2226</v>
      </c>
      <c r="G207" t="str">
        <f>CONCATENATE(Master_Packing_Database[[#This Row],[Exp '#]],Master_Packing_Database[[#This Row],[Batch '#]])</f>
        <v/>
      </c>
      <c r="H207" t="s">
        <v>2227</v>
      </c>
      <c r="I207" t="s">
        <v>2074</v>
      </c>
      <c r="J207" t="s">
        <v>366</v>
      </c>
      <c r="L207" t="s">
        <v>2010</v>
      </c>
      <c r="AN207">
        <v>0</v>
      </c>
      <c r="AO207" t="s">
        <v>1834</v>
      </c>
      <c r="AP207" t="s">
        <v>1834</v>
      </c>
      <c r="AQ207">
        <v>0</v>
      </c>
      <c r="AR207" t="s">
        <v>1835</v>
      </c>
    </row>
    <row r="208" spans="1:44" x14ac:dyDescent="0.25">
      <c r="A208" t="s">
        <v>1828</v>
      </c>
      <c r="B208" t="s">
        <v>1829</v>
      </c>
      <c r="D208" t="s">
        <v>1843</v>
      </c>
      <c r="G208" t="str">
        <f>CONCATENATE(Master_Packing_Database[[#This Row],[Exp '#]],Master_Packing_Database[[#This Row],[Batch '#]])</f>
        <v/>
      </c>
      <c r="H208" t="s">
        <v>2227</v>
      </c>
      <c r="I208" t="s">
        <v>2074</v>
      </c>
      <c r="J208" t="s">
        <v>117</v>
      </c>
      <c r="L208" t="s">
        <v>2010</v>
      </c>
      <c r="AN208">
        <v>0</v>
      </c>
      <c r="AO208" t="s">
        <v>1834</v>
      </c>
      <c r="AP208" t="s">
        <v>1834</v>
      </c>
      <c r="AQ208">
        <v>0</v>
      </c>
      <c r="AR208" t="s">
        <v>1835</v>
      </c>
    </row>
    <row r="209" spans="1:44" x14ac:dyDescent="0.25">
      <c r="A209" t="s">
        <v>1828</v>
      </c>
      <c r="B209" t="s">
        <v>1829</v>
      </c>
      <c r="D209" t="s">
        <v>2126</v>
      </c>
      <c r="G209" t="str">
        <f>CONCATENATE(Master_Packing_Database[[#This Row],[Exp '#]],Master_Packing_Database[[#This Row],[Batch '#]])</f>
        <v/>
      </c>
      <c r="H209" t="s">
        <v>2228</v>
      </c>
      <c r="I209" t="s">
        <v>2128</v>
      </c>
      <c r="J209" t="s">
        <v>366</v>
      </c>
      <c r="L209" t="s">
        <v>2010</v>
      </c>
      <c r="AN209">
        <v>0</v>
      </c>
      <c r="AO209" t="s">
        <v>1834</v>
      </c>
      <c r="AP209" t="s">
        <v>1834</v>
      </c>
      <c r="AQ209">
        <v>0</v>
      </c>
      <c r="AR209" t="s">
        <v>1835</v>
      </c>
    </row>
    <row r="210" spans="1:44" x14ac:dyDescent="0.25">
      <c r="A210" t="s">
        <v>1828</v>
      </c>
      <c r="B210" t="s">
        <v>1829</v>
      </c>
      <c r="D210" t="s">
        <v>1976</v>
      </c>
      <c r="G210" t="str">
        <f>CONCATENATE(Master_Packing_Database[[#This Row],[Exp '#]],Master_Packing_Database[[#This Row],[Batch '#]])</f>
        <v/>
      </c>
      <c r="H210" t="s">
        <v>2229</v>
      </c>
      <c r="I210" t="s">
        <v>2033</v>
      </c>
      <c r="J210" t="s">
        <v>366</v>
      </c>
      <c r="L210" t="s">
        <v>2010</v>
      </c>
      <c r="AN210">
        <v>0</v>
      </c>
      <c r="AO210" t="s">
        <v>1834</v>
      </c>
      <c r="AP210" t="s">
        <v>1834</v>
      </c>
      <c r="AQ210">
        <v>0</v>
      </c>
      <c r="AR210" t="s">
        <v>1835</v>
      </c>
    </row>
    <row r="211" spans="1:44" x14ac:dyDescent="0.25">
      <c r="A211" t="s">
        <v>1828</v>
      </c>
      <c r="B211" t="s">
        <v>1829</v>
      </c>
      <c r="D211" t="s">
        <v>1976</v>
      </c>
      <c r="G211" t="str">
        <f>CONCATENATE(Master_Packing_Database[[#This Row],[Exp '#]],Master_Packing_Database[[#This Row],[Batch '#]])</f>
        <v/>
      </c>
      <c r="H211" t="s">
        <v>2229</v>
      </c>
      <c r="I211" t="s">
        <v>2033</v>
      </c>
      <c r="J211" t="s">
        <v>366</v>
      </c>
      <c r="L211" t="s">
        <v>2010</v>
      </c>
      <c r="AN211">
        <v>0</v>
      </c>
      <c r="AO211" t="s">
        <v>1834</v>
      </c>
      <c r="AP211" t="s">
        <v>1834</v>
      </c>
      <c r="AQ211">
        <v>0</v>
      </c>
      <c r="AR211" t="s">
        <v>1835</v>
      </c>
    </row>
    <row r="212" spans="1:44" x14ac:dyDescent="0.25">
      <c r="A212" t="s">
        <v>1828</v>
      </c>
      <c r="B212" t="s">
        <v>1829</v>
      </c>
      <c r="D212" t="s">
        <v>1918</v>
      </c>
      <c r="G212" t="str">
        <f>CONCATENATE(Master_Packing_Database[[#This Row],[Exp '#]],Master_Packing_Database[[#This Row],[Batch '#]])</f>
        <v/>
      </c>
      <c r="H212" t="s">
        <v>2230</v>
      </c>
      <c r="I212" t="s">
        <v>2231</v>
      </c>
      <c r="J212" t="s">
        <v>366</v>
      </c>
      <c r="L212" t="s">
        <v>1833</v>
      </c>
      <c r="AN212">
        <v>0</v>
      </c>
      <c r="AO212" t="s">
        <v>1834</v>
      </c>
      <c r="AP212" t="s">
        <v>1834</v>
      </c>
      <c r="AQ212">
        <v>0</v>
      </c>
      <c r="AR212" t="s">
        <v>1835</v>
      </c>
    </row>
    <row r="213" spans="1:44" x14ac:dyDescent="0.25">
      <c r="A213" t="s">
        <v>1828</v>
      </c>
      <c r="B213" t="s">
        <v>1829</v>
      </c>
      <c r="D213" t="s">
        <v>1921</v>
      </c>
      <c r="G213" t="str">
        <f>CONCATENATE(Master_Packing_Database[[#This Row],[Exp '#]],Master_Packing_Database[[#This Row],[Batch '#]])</f>
        <v/>
      </c>
      <c r="H213" t="s">
        <v>2232</v>
      </c>
      <c r="I213" t="s">
        <v>2233</v>
      </c>
      <c r="J213" t="s">
        <v>117</v>
      </c>
      <c r="L213" t="s">
        <v>1923</v>
      </c>
      <c r="AN213">
        <v>0</v>
      </c>
      <c r="AO213" t="s">
        <v>1834</v>
      </c>
      <c r="AP213" t="s">
        <v>1834</v>
      </c>
      <c r="AQ213">
        <v>0</v>
      </c>
      <c r="AR213" t="s">
        <v>1835</v>
      </c>
    </row>
    <row r="214" spans="1:44" x14ac:dyDescent="0.25">
      <c r="A214" t="s">
        <v>1828</v>
      </c>
      <c r="B214" t="s">
        <v>1829</v>
      </c>
      <c r="D214" t="s">
        <v>2234</v>
      </c>
      <c r="G214" t="str">
        <f>CONCATENATE(Master_Packing_Database[[#This Row],[Exp '#]],Master_Packing_Database[[#This Row],[Batch '#]])</f>
        <v/>
      </c>
      <c r="H214" t="s">
        <v>2235</v>
      </c>
      <c r="I214" t="s">
        <v>696</v>
      </c>
      <c r="J214" t="s">
        <v>117</v>
      </c>
      <c r="L214" t="s">
        <v>521</v>
      </c>
      <c r="AN214">
        <v>0</v>
      </c>
      <c r="AO214" t="s">
        <v>1834</v>
      </c>
      <c r="AP214" t="s">
        <v>1834</v>
      </c>
      <c r="AQ214">
        <v>0</v>
      </c>
      <c r="AR214" t="s">
        <v>1835</v>
      </c>
    </row>
    <row r="215" spans="1:44" x14ac:dyDescent="0.25">
      <c r="A215" t="s">
        <v>1828</v>
      </c>
      <c r="B215" t="s">
        <v>1829</v>
      </c>
      <c r="D215" t="s">
        <v>1971</v>
      </c>
      <c r="G215" t="str">
        <f>CONCATENATE(Master_Packing_Database[[#This Row],[Exp '#]],Master_Packing_Database[[#This Row],[Batch '#]])</f>
        <v/>
      </c>
      <c r="H215" t="s">
        <v>2236</v>
      </c>
      <c r="I215" t="s">
        <v>1970</v>
      </c>
      <c r="J215" t="s">
        <v>117</v>
      </c>
      <c r="L215" t="s">
        <v>1979</v>
      </c>
      <c r="AN215">
        <v>0</v>
      </c>
      <c r="AO215" t="s">
        <v>1834</v>
      </c>
      <c r="AP215" t="s">
        <v>1834</v>
      </c>
      <c r="AQ215">
        <v>0</v>
      </c>
      <c r="AR215" t="s">
        <v>1835</v>
      </c>
    </row>
    <row r="216" spans="1:44" x14ac:dyDescent="0.25">
      <c r="A216" t="s">
        <v>1828</v>
      </c>
      <c r="B216" t="s">
        <v>1829</v>
      </c>
      <c r="D216" t="s">
        <v>1968</v>
      </c>
      <c r="G216" t="str">
        <f>CONCATENATE(Master_Packing_Database[[#This Row],[Exp '#]],Master_Packing_Database[[#This Row],[Batch '#]])</f>
        <v/>
      </c>
      <c r="H216" t="s">
        <v>2237</v>
      </c>
      <c r="I216" t="s">
        <v>2238</v>
      </c>
      <c r="J216" t="s">
        <v>366</v>
      </c>
      <c r="L216" t="s">
        <v>2212</v>
      </c>
      <c r="AN216">
        <v>0</v>
      </c>
      <c r="AO216" t="s">
        <v>1834</v>
      </c>
      <c r="AP216" t="s">
        <v>1834</v>
      </c>
      <c r="AQ216">
        <v>0</v>
      </c>
      <c r="AR216" t="s">
        <v>1835</v>
      </c>
    </row>
    <row r="217" spans="1:44" x14ac:dyDescent="0.25">
      <c r="A217" t="s">
        <v>1828</v>
      </c>
      <c r="B217" t="s">
        <v>1829</v>
      </c>
      <c r="D217" t="s">
        <v>1968</v>
      </c>
      <c r="G217" t="str">
        <f>CONCATENATE(Master_Packing_Database[[#This Row],[Exp '#]],Master_Packing_Database[[#This Row],[Batch '#]])</f>
        <v/>
      </c>
      <c r="H217" t="s">
        <v>2239</v>
      </c>
      <c r="I217" t="s">
        <v>2240</v>
      </c>
      <c r="J217" t="s">
        <v>366</v>
      </c>
      <c r="L217" t="s">
        <v>2212</v>
      </c>
      <c r="AN217">
        <v>0</v>
      </c>
      <c r="AO217" t="s">
        <v>1834</v>
      </c>
      <c r="AP217" t="s">
        <v>1834</v>
      </c>
      <c r="AQ217">
        <v>0</v>
      </c>
      <c r="AR217" t="s">
        <v>1835</v>
      </c>
    </row>
    <row r="218" spans="1:44" x14ac:dyDescent="0.25">
      <c r="A218" t="s">
        <v>1828</v>
      </c>
      <c r="B218" t="s">
        <v>1829</v>
      </c>
      <c r="D218" t="s">
        <v>2241</v>
      </c>
      <c r="G218" t="str">
        <f>CONCATENATE(Master_Packing_Database[[#This Row],[Exp '#]],Master_Packing_Database[[#This Row],[Batch '#]])</f>
        <v/>
      </c>
      <c r="H218" t="s">
        <v>2242</v>
      </c>
      <c r="I218" t="s">
        <v>1970</v>
      </c>
      <c r="J218" t="s">
        <v>117</v>
      </c>
      <c r="L218" t="s">
        <v>2082</v>
      </c>
      <c r="AN218">
        <v>0</v>
      </c>
      <c r="AO218" t="s">
        <v>1834</v>
      </c>
      <c r="AP218" t="s">
        <v>1834</v>
      </c>
      <c r="AQ218">
        <v>0</v>
      </c>
      <c r="AR218" t="s">
        <v>1835</v>
      </c>
    </row>
    <row r="219" spans="1:44" x14ac:dyDescent="0.25">
      <c r="A219" t="s">
        <v>1828</v>
      </c>
      <c r="B219" t="s">
        <v>1829</v>
      </c>
      <c r="D219" t="s">
        <v>2028</v>
      </c>
      <c r="G219" t="str">
        <f>CONCATENATE(Master_Packing_Database[[#This Row],[Exp '#]],Master_Packing_Database[[#This Row],[Batch '#]])</f>
        <v/>
      </c>
      <c r="H219" t="s">
        <v>2243</v>
      </c>
      <c r="I219" t="s">
        <v>696</v>
      </c>
      <c r="J219" t="s">
        <v>117</v>
      </c>
      <c r="L219" t="s">
        <v>1849</v>
      </c>
      <c r="AN219">
        <v>0</v>
      </c>
      <c r="AO219" t="s">
        <v>1834</v>
      </c>
      <c r="AP219" t="s">
        <v>1834</v>
      </c>
      <c r="AQ219">
        <v>0</v>
      </c>
      <c r="AR219" t="s">
        <v>1835</v>
      </c>
    </row>
    <row r="220" spans="1:44" x14ac:dyDescent="0.25">
      <c r="A220" t="s">
        <v>1828</v>
      </c>
      <c r="B220" t="s">
        <v>1829</v>
      </c>
      <c r="D220" t="s">
        <v>2036</v>
      </c>
      <c r="G220" t="str">
        <f>CONCATENATE(Master_Packing_Database[[#This Row],[Exp '#]],Master_Packing_Database[[#This Row],[Batch '#]])</f>
        <v/>
      </c>
      <c r="H220" t="s">
        <v>2244</v>
      </c>
      <c r="I220" t="s">
        <v>2134</v>
      </c>
      <c r="J220" t="s">
        <v>117</v>
      </c>
      <c r="L220" t="s">
        <v>1849</v>
      </c>
      <c r="AN220">
        <v>0</v>
      </c>
      <c r="AO220" t="s">
        <v>1834</v>
      </c>
      <c r="AP220" t="s">
        <v>1834</v>
      </c>
      <c r="AQ220">
        <v>0</v>
      </c>
      <c r="AR220" t="s">
        <v>1835</v>
      </c>
    </row>
    <row r="221" spans="1:44" x14ac:dyDescent="0.25">
      <c r="A221" t="s">
        <v>1828</v>
      </c>
      <c r="B221" t="s">
        <v>1829</v>
      </c>
      <c r="D221" t="s">
        <v>2199</v>
      </c>
      <c r="G221" t="str">
        <f>CONCATENATE(Master_Packing_Database[[#This Row],[Exp '#]],Master_Packing_Database[[#This Row],[Batch '#]])</f>
        <v/>
      </c>
      <c r="H221" t="s">
        <v>2245</v>
      </c>
      <c r="I221" t="s">
        <v>2201</v>
      </c>
      <c r="J221" t="s">
        <v>117</v>
      </c>
      <c r="L221" t="s">
        <v>1849</v>
      </c>
      <c r="AN221">
        <v>0</v>
      </c>
      <c r="AO221" t="s">
        <v>1834</v>
      </c>
      <c r="AP221" t="s">
        <v>1834</v>
      </c>
      <c r="AQ221">
        <v>0</v>
      </c>
      <c r="AR221" t="s">
        <v>1835</v>
      </c>
    </row>
    <row r="222" spans="1:44" x14ac:dyDescent="0.25">
      <c r="A222" t="s">
        <v>1828</v>
      </c>
      <c r="B222" t="s">
        <v>1829</v>
      </c>
      <c r="D222" t="s">
        <v>2199</v>
      </c>
      <c r="G222" t="str">
        <f>CONCATENATE(Master_Packing_Database[[#This Row],[Exp '#]],Master_Packing_Database[[#This Row],[Batch '#]])</f>
        <v/>
      </c>
      <c r="H222" t="s">
        <v>2246</v>
      </c>
      <c r="I222" t="s">
        <v>1975</v>
      </c>
      <c r="J222" t="s">
        <v>117</v>
      </c>
      <c r="L222" t="s">
        <v>1849</v>
      </c>
      <c r="AN222">
        <v>0</v>
      </c>
      <c r="AO222" t="s">
        <v>1834</v>
      </c>
      <c r="AP222" t="s">
        <v>1834</v>
      </c>
      <c r="AQ222">
        <v>0</v>
      </c>
      <c r="AR222" t="s">
        <v>1835</v>
      </c>
    </row>
    <row r="223" spans="1:44" x14ac:dyDescent="0.25">
      <c r="A223" t="s">
        <v>1828</v>
      </c>
      <c r="B223" t="s">
        <v>1829</v>
      </c>
      <c r="D223" t="s">
        <v>2036</v>
      </c>
      <c r="G223" t="str">
        <f>CONCATENATE(Master_Packing_Database[[#This Row],[Exp '#]],Master_Packing_Database[[#This Row],[Batch '#]])</f>
        <v/>
      </c>
      <c r="H223" t="s">
        <v>2247</v>
      </c>
      <c r="I223" t="s">
        <v>1970</v>
      </c>
      <c r="J223" t="s">
        <v>117</v>
      </c>
      <c r="L223" t="s">
        <v>2248</v>
      </c>
      <c r="AN223">
        <v>0</v>
      </c>
      <c r="AO223" t="s">
        <v>1834</v>
      </c>
      <c r="AP223" t="s">
        <v>1834</v>
      </c>
      <c r="AQ223">
        <v>0</v>
      </c>
      <c r="AR223" t="s">
        <v>1835</v>
      </c>
    </row>
    <row r="224" spans="1:44" x14ac:dyDescent="0.25">
      <c r="A224" t="s">
        <v>1828</v>
      </c>
      <c r="B224" t="s">
        <v>1829</v>
      </c>
      <c r="D224" t="s">
        <v>2083</v>
      </c>
      <c r="G224" t="str">
        <f>CONCATENATE(Master_Packing_Database[[#This Row],[Exp '#]],Master_Packing_Database[[#This Row],[Batch '#]])</f>
        <v/>
      </c>
      <c r="H224" t="s">
        <v>2249</v>
      </c>
      <c r="I224" t="s">
        <v>2033</v>
      </c>
      <c r="J224" t="s">
        <v>117</v>
      </c>
      <c r="L224" t="s">
        <v>2212</v>
      </c>
      <c r="AN224">
        <v>0</v>
      </c>
      <c r="AO224" t="s">
        <v>1834</v>
      </c>
      <c r="AP224" t="s">
        <v>1834</v>
      </c>
      <c r="AQ224">
        <v>0</v>
      </c>
      <c r="AR224" t="s">
        <v>1835</v>
      </c>
    </row>
    <row r="225" spans="1:44" x14ac:dyDescent="0.25">
      <c r="A225" t="s">
        <v>1828</v>
      </c>
      <c r="B225" t="s">
        <v>1829</v>
      </c>
      <c r="D225" t="s">
        <v>1886</v>
      </c>
      <c r="G225" t="str">
        <f>CONCATENATE(Master_Packing_Database[[#This Row],[Exp '#]],Master_Packing_Database[[#This Row],[Batch '#]])</f>
        <v/>
      </c>
      <c r="H225" t="s">
        <v>2250</v>
      </c>
      <c r="I225" t="s">
        <v>2074</v>
      </c>
      <c r="J225" t="s">
        <v>366</v>
      </c>
      <c r="L225" t="s">
        <v>2248</v>
      </c>
      <c r="AN225">
        <v>0</v>
      </c>
      <c r="AO225" t="s">
        <v>1834</v>
      </c>
      <c r="AP225" t="s">
        <v>1834</v>
      </c>
      <c r="AQ225">
        <v>0</v>
      </c>
      <c r="AR225" t="s">
        <v>1835</v>
      </c>
    </row>
    <row r="226" spans="1:44" x14ac:dyDescent="0.25">
      <c r="A226" t="s">
        <v>1828</v>
      </c>
      <c r="B226" t="s">
        <v>1829</v>
      </c>
      <c r="D226" t="s">
        <v>1843</v>
      </c>
      <c r="G226" t="str">
        <f>CONCATENATE(Master_Packing_Database[[#This Row],[Exp '#]],Master_Packing_Database[[#This Row],[Batch '#]])</f>
        <v/>
      </c>
      <c r="H226" t="s">
        <v>2251</v>
      </c>
      <c r="I226" t="s">
        <v>2252</v>
      </c>
      <c r="J226" t="s">
        <v>366</v>
      </c>
      <c r="L226" t="s">
        <v>2253</v>
      </c>
      <c r="AN226">
        <v>0</v>
      </c>
      <c r="AO226" t="s">
        <v>1834</v>
      </c>
      <c r="AP226" t="s">
        <v>1834</v>
      </c>
      <c r="AQ226">
        <v>0</v>
      </c>
      <c r="AR226" t="s">
        <v>1835</v>
      </c>
    </row>
    <row r="227" spans="1:44" x14ac:dyDescent="0.25">
      <c r="A227" t="s">
        <v>1828</v>
      </c>
      <c r="B227" t="s">
        <v>1829</v>
      </c>
      <c r="D227" t="s">
        <v>1918</v>
      </c>
      <c r="G227" t="str">
        <f>CONCATENATE(Master_Packing_Database[[#This Row],[Exp '#]],Master_Packing_Database[[#This Row],[Batch '#]])</f>
        <v/>
      </c>
      <c r="H227" t="s">
        <v>2254</v>
      </c>
      <c r="I227" t="s">
        <v>1914</v>
      </c>
      <c r="J227" t="s">
        <v>366</v>
      </c>
      <c r="L227" t="s">
        <v>1833</v>
      </c>
      <c r="AN227">
        <v>0</v>
      </c>
      <c r="AO227" t="s">
        <v>1834</v>
      </c>
      <c r="AP227" t="s">
        <v>1834</v>
      </c>
      <c r="AQ227">
        <v>0</v>
      </c>
      <c r="AR227" t="s">
        <v>1835</v>
      </c>
    </row>
    <row r="228" spans="1:44" x14ac:dyDescent="0.25">
      <c r="A228" t="s">
        <v>1828</v>
      </c>
      <c r="B228" t="s">
        <v>1829</v>
      </c>
      <c r="D228" t="s">
        <v>1918</v>
      </c>
      <c r="G228" t="str">
        <f>CONCATENATE(Master_Packing_Database[[#This Row],[Exp '#]],Master_Packing_Database[[#This Row],[Batch '#]])</f>
        <v/>
      </c>
      <c r="H228" t="s">
        <v>2255</v>
      </c>
      <c r="I228" t="s">
        <v>2148</v>
      </c>
      <c r="J228" t="s">
        <v>366</v>
      </c>
      <c r="L228" t="s">
        <v>1923</v>
      </c>
      <c r="AN228">
        <v>0</v>
      </c>
      <c r="AO228" t="s">
        <v>1834</v>
      </c>
      <c r="AP228" t="s">
        <v>1834</v>
      </c>
      <c r="AQ228">
        <v>0</v>
      </c>
      <c r="AR228" t="s">
        <v>1835</v>
      </c>
    </row>
    <row r="229" spans="1:44" x14ac:dyDescent="0.25">
      <c r="A229" t="s">
        <v>1828</v>
      </c>
      <c r="B229" t="s">
        <v>1829</v>
      </c>
      <c r="D229" t="s">
        <v>2256</v>
      </c>
      <c r="G229" t="str">
        <f>CONCATENATE(Master_Packing_Database[[#This Row],[Exp '#]],Master_Packing_Database[[#This Row],[Batch '#]])</f>
        <v/>
      </c>
      <c r="H229" t="s">
        <v>2257</v>
      </c>
      <c r="I229" t="s">
        <v>2258</v>
      </c>
      <c r="J229" t="s">
        <v>117</v>
      </c>
      <c r="L229" t="s">
        <v>1833</v>
      </c>
      <c r="AN229">
        <v>0</v>
      </c>
      <c r="AO229" t="s">
        <v>1834</v>
      </c>
      <c r="AP229" t="s">
        <v>1834</v>
      </c>
      <c r="AQ229">
        <v>0</v>
      </c>
      <c r="AR229" t="s">
        <v>1835</v>
      </c>
    </row>
    <row r="230" spans="1:44" x14ac:dyDescent="0.25">
      <c r="A230" t="s">
        <v>1828</v>
      </c>
      <c r="B230" t="s">
        <v>1829</v>
      </c>
      <c r="D230" t="s">
        <v>1976</v>
      </c>
      <c r="G230" t="str">
        <f>CONCATENATE(Master_Packing_Database[[#This Row],[Exp '#]],Master_Packing_Database[[#This Row],[Batch '#]])</f>
        <v/>
      </c>
      <c r="H230" t="s">
        <v>2259</v>
      </c>
      <c r="I230" t="s">
        <v>2260</v>
      </c>
      <c r="J230" t="s">
        <v>366</v>
      </c>
      <c r="L230" t="s">
        <v>1833</v>
      </c>
      <c r="AN230">
        <v>0</v>
      </c>
      <c r="AO230" t="s">
        <v>1834</v>
      </c>
      <c r="AP230" t="s">
        <v>1834</v>
      </c>
      <c r="AQ230">
        <v>0</v>
      </c>
      <c r="AR230" t="s">
        <v>1835</v>
      </c>
    </row>
    <row r="231" spans="1:44" x14ac:dyDescent="0.25">
      <c r="A231" t="s">
        <v>1828</v>
      </c>
      <c r="B231" t="s">
        <v>1829</v>
      </c>
      <c r="D231" t="s">
        <v>1918</v>
      </c>
      <c r="G231" t="str">
        <f>CONCATENATE(Master_Packing_Database[[#This Row],[Exp '#]],Master_Packing_Database[[#This Row],[Batch '#]])</f>
        <v/>
      </c>
      <c r="H231" t="s">
        <v>2261</v>
      </c>
      <c r="I231" t="s">
        <v>2262</v>
      </c>
      <c r="J231" t="s">
        <v>366</v>
      </c>
      <c r="L231" t="s">
        <v>2263</v>
      </c>
      <c r="AN231">
        <v>0</v>
      </c>
      <c r="AO231" t="s">
        <v>1834</v>
      </c>
      <c r="AP231" t="s">
        <v>1834</v>
      </c>
      <c r="AQ231">
        <v>0</v>
      </c>
      <c r="AR231" t="s">
        <v>1835</v>
      </c>
    </row>
    <row r="232" spans="1:44" x14ac:dyDescent="0.25">
      <c r="A232" t="s">
        <v>1828</v>
      </c>
      <c r="B232" t="s">
        <v>1829</v>
      </c>
      <c r="D232" t="s">
        <v>1918</v>
      </c>
      <c r="G232" t="str">
        <f>CONCATENATE(Master_Packing_Database[[#This Row],[Exp '#]],Master_Packing_Database[[#This Row],[Batch '#]])</f>
        <v/>
      </c>
      <c r="H232" t="s">
        <v>2264</v>
      </c>
      <c r="I232" t="s">
        <v>2265</v>
      </c>
      <c r="J232" t="s">
        <v>366</v>
      </c>
      <c r="L232" t="s">
        <v>1958</v>
      </c>
      <c r="AN232">
        <v>0</v>
      </c>
      <c r="AO232" t="s">
        <v>1834</v>
      </c>
      <c r="AP232" t="s">
        <v>1834</v>
      </c>
      <c r="AQ232">
        <v>0</v>
      </c>
      <c r="AR232" t="s">
        <v>1835</v>
      </c>
    </row>
    <row r="233" spans="1:44" x14ac:dyDescent="0.25">
      <c r="A233" t="s">
        <v>1828</v>
      </c>
      <c r="B233" t="s">
        <v>1829</v>
      </c>
      <c r="D233" t="s">
        <v>1976</v>
      </c>
      <c r="G233" t="str">
        <f>CONCATENATE(Master_Packing_Database[[#This Row],[Exp '#]],Master_Packing_Database[[#This Row],[Batch '#]])</f>
        <v/>
      </c>
      <c r="H233" t="s">
        <v>2266</v>
      </c>
      <c r="I233" t="s">
        <v>2142</v>
      </c>
      <c r="J233" t="s">
        <v>366</v>
      </c>
      <c r="L233" t="s">
        <v>1979</v>
      </c>
      <c r="AN233">
        <v>0</v>
      </c>
      <c r="AO233" t="s">
        <v>1834</v>
      </c>
      <c r="AP233" t="s">
        <v>1834</v>
      </c>
      <c r="AQ233">
        <v>0</v>
      </c>
      <c r="AR233" t="s">
        <v>1835</v>
      </c>
    </row>
    <row r="234" spans="1:44" x14ac:dyDescent="0.25">
      <c r="A234" t="s">
        <v>1828</v>
      </c>
      <c r="B234" t="s">
        <v>1829</v>
      </c>
      <c r="D234" t="s">
        <v>2267</v>
      </c>
      <c r="G234" t="str">
        <f>CONCATENATE(Master_Packing_Database[[#This Row],[Exp '#]],Master_Packing_Database[[#This Row],[Batch '#]])</f>
        <v/>
      </c>
      <c r="H234" t="s">
        <v>2268</v>
      </c>
      <c r="I234" t="s">
        <v>1970</v>
      </c>
      <c r="J234" t="s">
        <v>117</v>
      </c>
      <c r="L234" t="s">
        <v>1849</v>
      </c>
      <c r="AN234">
        <v>0</v>
      </c>
      <c r="AO234" t="s">
        <v>1834</v>
      </c>
      <c r="AP234" t="s">
        <v>1834</v>
      </c>
      <c r="AQ234">
        <v>0</v>
      </c>
      <c r="AR234" t="s">
        <v>1835</v>
      </c>
    </row>
    <row r="235" spans="1:44" x14ac:dyDescent="0.25">
      <c r="A235" t="s">
        <v>1828</v>
      </c>
      <c r="B235" t="s">
        <v>1829</v>
      </c>
      <c r="D235" t="s">
        <v>2031</v>
      </c>
      <c r="G235" t="str">
        <f>CONCATENATE(Master_Packing_Database[[#This Row],[Exp '#]],Master_Packing_Database[[#This Row],[Batch '#]])</f>
        <v/>
      </c>
      <c r="H235" t="s">
        <v>2269</v>
      </c>
      <c r="I235" t="s">
        <v>2270</v>
      </c>
      <c r="J235" t="s">
        <v>117</v>
      </c>
      <c r="L235" t="s">
        <v>2010</v>
      </c>
      <c r="AN235">
        <v>0</v>
      </c>
      <c r="AO235" t="s">
        <v>1834</v>
      </c>
      <c r="AP235" t="s">
        <v>1834</v>
      </c>
      <c r="AQ235">
        <v>0</v>
      </c>
      <c r="AR235" t="s">
        <v>1835</v>
      </c>
    </row>
    <row r="236" spans="1:44" x14ac:dyDescent="0.25">
      <c r="A236" t="s">
        <v>1828</v>
      </c>
      <c r="B236" t="s">
        <v>1829</v>
      </c>
      <c r="D236" t="s">
        <v>2271</v>
      </c>
      <c r="G236" t="str">
        <f>CONCATENATE(Master_Packing_Database[[#This Row],[Exp '#]],Master_Packing_Database[[#This Row],[Batch '#]])</f>
        <v/>
      </c>
      <c r="H236" t="s">
        <v>2272</v>
      </c>
      <c r="I236" t="s">
        <v>2273</v>
      </c>
      <c r="J236" t="s">
        <v>366</v>
      </c>
      <c r="L236" t="s">
        <v>1849</v>
      </c>
      <c r="AN236">
        <v>0</v>
      </c>
      <c r="AO236" t="s">
        <v>1834</v>
      </c>
      <c r="AP236" t="s">
        <v>1834</v>
      </c>
      <c r="AQ236">
        <v>0</v>
      </c>
      <c r="AR236" t="s">
        <v>1835</v>
      </c>
    </row>
    <row r="237" spans="1:44" x14ac:dyDescent="0.25">
      <c r="A237" t="s">
        <v>1828</v>
      </c>
      <c r="B237" t="s">
        <v>1829</v>
      </c>
      <c r="D237" t="s">
        <v>2271</v>
      </c>
      <c r="G237" t="str">
        <f>CONCATENATE(Master_Packing_Database[[#This Row],[Exp '#]],Master_Packing_Database[[#This Row],[Batch '#]])</f>
        <v/>
      </c>
      <c r="H237" t="s">
        <v>2274</v>
      </c>
      <c r="I237" t="s">
        <v>1967</v>
      </c>
      <c r="J237" t="s">
        <v>366</v>
      </c>
      <c r="L237" t="s">
        <v>1849</v>
      </c>
      <c r="AN237">
        <v>0</v>
      </c>
      <c r="AO237" t="s">
        <v>1834</v>
      </c>
      <c r="AP237" t="s">
        <v>1834</v>
      </c>
      <c r="AQ237">
        <v>0</v>
      </c>
      <c r="AR237" t="s">
        <v>1835</v>
      </c>
    </row>
    <row r="238" spans="1:44" x14ac:dyDescent="0.25">
      <c r="A238" t="s">
        <v>1828</v>
      </c>
      <c r="B238" t="s">
        <v>1829</v>
      </c>
      <c r="D238" t="s">
        <v>2271</v>
      </c>
      <c r="G238" t="str">
        <f>CONCATENATE(Master_Packing_Database[[#This Row],[Exp '#]],Master_Packing_Database[[#This Row],[Batch '#]])</f>
        <v/>
      </c>
      <c r="H238" t="s">
        <v>2275</v>
      </c>
      <c r="I238" t="s">
        <v>2276</v>
      </c>
      <c r="J238" t="s">
        <v>366</v>
      </c>
      <c r="L238" t="s">
        <v>1849</v>
      </c>
      <c r="AN238">
        <v>0</v>
      </c>
      <c r="AO238" t="s">
        <v>1834</v>
      </c>
      <c r="AP238" t="s">
        <v>1834</v>
      </c>
      <c r="AQ238">
        <v>0</v>
      </c>
      <c r="AR238" t="s">
        <v>1835</v>
      </c>
    </row>
    <row r="239" spans="1:44" x14ac:dyDescent="0.25">
      <c r="A239" t="s">
        <v>1828</v>
      </c>
      <c r="B239" t="s">
        <v>1829</v>
      </c>
      <c r="D239" t="s">
        <v>1971</v>
      </c>
      <c r="G239" t="str">
        <f>CONCATENATE(Master_Packing_Database[[#This Row],[Exp '#]],Master_Packing_Database[[#This Row],[Batch '#]])</f>
        <v/>
      </c>
      <c r="H239" t="s">
        <v>2277</v>
      </c>
      <c r="I239" t="s">
        <v>1967</v>
      </c>
      <c r="J239" t="s">
        <v>366</v>
      </c>
      <c r="L239" t="s">
        <v>1860</v>
      </c>
      <c r="AN239">
        <v>0</v>
      </c>
      <c r="AO239" t="s">
        <v>1834</v>
      </c>
      <c r="AP239" t="s">
        <v>1834</v>
      </c>
      <c r="AQ239">
        <v>0</v>
      </c>
      <c r="AR239" t="s">
        <v>1835</v>
      </c>
    </row>
    <row r="240" spans="1:44" x14ac:dyDescent="0.25">
      <c r="A240" t="s">
        <v>1828</v>
      </c>
      <c r="B240" t="s">
        <v>1829</v>
      </c>
      <c r="D240" t="s">
        <v>2064</v>
      </c>
      <c r="G240" t="str">
        <f>CONCATENATE(Master_Packing_Database[[#This Row],[Exp '#]],Master_Packing_Database[[#This Row],[Batch '#]])</f>
        <v/>
      </c>
      <c r="H240" t="s">
        <v>2278</v>
      </c>
      <c r="I240" t="s">
        <v>2279</v>
      </c>
      <c r="J240" t="s">
        <v>117</v>
      </c>
      <c r="L240" t="s">
        <v>1849</v>
      </c>
      <c r="AN240">
        <v>0</v>
      </c>
      <c r="AO240" t="s">
        <v>1834</v>
      </c>
      <c r="AP240" t="s">
        <v>1834</v>
      </c>
      <c r="AQ240">
        <v>0</v>
      </c>
      <c r="AR240" t="s">
        <v>1835</v>
      </c>
    </row>
    <row r="241" spans="1:44" x14ac:dyDescent="0.25">
      <c r="A241" t="s">
        <v>1828</v>
      </c>
      <c r="B241" t="s">
        <v>1829</v>
      </c>
      <c r="D241" t="s">
        <v>1971</v>
      </c>
      <c r="G241" t="str">
        <f>CONCATENATE(Master_Packing_Database[[#This Row],[Exp '#]],Master_Packing_Database[[#This Row],[Batch '#]])</f>
        <v/>
      </c>
      <c r="H241" t="s">
        <v>2280</v>
      </c>
      <c r="I241" t="s">
        <v>2076</v>
      </c>
      <c r="J241" t="s">
        <v>117</v>
      </c>
      <c r="L241" t="s">
        <v>1979</v>
      </c>
      <c r="AN241">
        <v>0</v>
      </c>
      <c r="AO241" t="s">
        <v>1834</v>
      </c>
      <c r="AP241" t="s">
        <v>1834</v>
      </c>
      <c r="AQ241">
        <v>0</v>
      </c>
      <c r="AR241" t="s">
        <v>1835</v>
      </c>
    </row>
    <row r="242" spans="1:44" x14ac:dyDescent="0.25">
      <c r="A242" t="s">
        <v>1828</v>
      </c>
      <c r="B242" t="s">
        <v>1829</v>
      </c>
      <c r="D242" t="s">
        <v>2281</v>
      </c>
      <c r="G242" t="str">
        <f>CONCATENATE(Master_Packing_Database[[#This Row],[Exp '#]],Master_Packing_Database[[#This Row],[Batch '#]])</f>
        <v/>
      </c>
      <c r="H242" t="s">
        <v>2282</v>
      </c>
      <c r="I242" t="s">
        <v>2281</v>
      </c>
      <c r="J242" t="s">
        <v>117</v>
      </c>
      <c r="L242" t="s">
        <v>1849</v>
      </c>
      <c r="AN242">
        <v>0</v>
      </c>
      <c r="AO242" t="s">
        <v>1834</v>
      </c>
      <c r="AP242" t="s">
        <v>1834</v>
      </c>
      <c r="AQ242">
        <v>0</v>
      </c>
      <c r="AR242" t="s">
        <v>1835</v>
      </c>
    </row>
    <row r="243" spans="1:44" x14ac:dyDescent="0.25">
      <c r="A243" t="s">
        <v>1828</v>
      </c>
      <c r="B243" t="s">
        <v>1829</v>
      </c>
      <c r="D243" t="s">
        <v>1918</v>
      </c>
      <c r="G243" t="str">
        <f>CONCATENATE(Master_Packing_Database[[#This Row],[Exp '#]],Master_Packing_Database[[#This Row],[Batch '#]])</f>
        <v/>
      </c>
      <c r="H243" t="s">
        <v>2283</v>
      </c>
      <c r="I243" t="s">
        <v>2284</v>
      </c>
      <c r="J243" t="s">
        <v>366</v>
      </c>
      <c r="L243" t="s">
        <v>1833</v>
      </c>
      <c r="AN243">
        <v>0</v>
      </c>
      <c r="AO243" t="s">
        <v>1834</v>
      </c>
      <c r="AP243" t="s">
        <v>1834</v>
      </c>
      <c r="AQ243">
        <v>0</v>
      </c>
      <c r="AR243" t="s">
        <v>1835</v>
      </c>
    </row>
    <row r="244" spans="1:44" x14ac:dyDescent="0.25">
      <c r="A244" t="s">
        <v>1828</v>
      </c>
      <c r="B244" t="s">
        <v>1829</v>
      </c>
      <c r="D244" t="s">
        <v>1918</v>
      </c>
      <c r="G244" t="str">
        <f>CONCATENATE(Master_Packing_Database[[#This Row],[Exp '#]],Master_Packing_Database[[#This Row],[Batch '#]])</f>
        <v/>
      </c>
      <c r="H244" t="s">
        <v>2285</v>
      </c>
      <c r="I244" t="s">
        <v>2188</v>
      </c>
      <c r="J244" t="s">
        <v>366</v>
      </c>
      <c r="L244" t="s">
        <v>2010</v>
      </c>
      <c r="AN244">
        <v>0</v>
      </c>
      <c r="AO244" t="s">
        <v>1834</v>
      </c>
      <c r="AP244" t="s">
        <v>1834</v>
      </c>
      <c r="AQ244">
        <v>0</v>
      </c>
      <c r="AR244" t="s">
        <v>1835</v>
      </c>
    </row>
    <row r="245" spans="1:44" x14ac:dyDescent="0.25">
      <c r="A245" t="s">
        <v>1828</v>
      </c>
      <c r="B245" t="s">
        <v>1829</v>
      </c>
      <c r="D245" t="s">
        <v>2056</v>
      </c>
      <c r="G245" t="str">
        <f>CONCATENATE(Master_Packing_Database[[#This Row],[Exp '#]],Master_Packing_Database[[#This Row],[Batch '#]])</f>
        <v/>
      </c>
      <c r="H245" t="s">
        <v>2286</v>
      </c>
      <c r="I245" t="s">
        <v>2287</v>
      </c>
      <c r="J245" t="s">
        <v>366</v>
      </c>
      <c r="L245" t="s">
        <v>1860</v>
      </c>
      <c r="AN245">
        <v>0</v>
      </c>
      <c r="AO245" t="s">
        <v>1834</v>
      </c>
      <c r="AP245" t="s">
        <v>1834</v>
      </c>
      <c r="AQ245">
        <v>0</v>
      </c>
      <c r="AR245" t="s">
        <v>1835</v>
      </c>
    </row>
    <row r="246" spans="1:44" x14ac:dyDescent="0.25">
      <c r="A246" t="s">
        <v>1828</v>
      </c>
      <c r="B246" t="s">
        <v>1829</v>
      </c>
      <c r="D246" t="s">
        <v>2288</v>
      </c>
      <c r="G246" t="str">
        <f>CONCATENATE(Master_Packing_Database[[#This Row],[Exp '#]],Master_Packing_Database[[#This Row],[Batch '#]])</f>
        <v/>
      </c>
      <c r="H246" t="s">
        <v>2289</v>
      </c>
      <c r="I246" t="s">
        <v>2290</v>
      </c>
      <c r="J246" t="s">
        <v>366</v>
      </c>
      <c r="L246" t="s">
        <v>1860</v>
      </c>
      <c r="AN246">
        <v>0</v>
      </c>
      <c r="AO246" t="s">
        <v>1834</v>
      </c>
      <c r="AP246" t="s">
        <v>1834</v>
      </c>
      <c r="AQ246">
        <v>0</v>
      </c>
      <c r="AR246" t="s">
        <v>1835</v>
      </c>
    </row>
    <row r="247" spans="1:44" x14ac:dyDescent="0.25">
      <c r="A247" t="s">
        <v>1828</v>
      </c>
      <c r="B247" t="s">
        <v>1829</v>
      </c>
      <c r="D247" t="s">
        <v>1843</v>
      </c>
      <c r="G247" t="str">
        <f>CONCATENATE(Master_Packing_Database[[#This Row],[Exp '#]],Master_Packing_Database[[#This Row],[Batch '#]])</f>
        <v/>
      </c>
      <c r="H247" t="s">
        <v>2291</v>
      </c>
      <c r="I247" t="s">
        <v>2292</v>
      </c>
      <c r="J247" t="s">
        <v>366</v>
      </c>
      <c r="L247" t="s">
        <v>2293</v>
      </c>
      <c r="AN247">
        <v>0</v>
      </c>
      <c r="AO247" t="s">
        <v>1834</v>
      </c>
      <c r="AP247" t="s">
        <v>1834</v>
      </c>
      <c r="AQ247">
        <v>0</v>
      </c>
      <c r="AR247" t="s">
        <v>1835</v>
      </c>
    </row>
    <row r="248" spans="1:44" x14ac:dyDescent="0.25">
      <c r="A248" t="s">
        <v>1828</v>
      </c>
      <c r="B248" t="s">
        <v>1829</v>
      </c>
      <c r="D248" t="s">
        <v>2056</v>
      </c>
      <c r="G248" t="str">
        <f>CONCATENATE(Master_Packing_Database[[#This Row],[Exp '#]],Master_Packing_Database[[#This Row],[Batch '#]])</f>
        <v/>
      </c>
      <c r="H248" t="s">
        <v>2294</v>
      </c>
      <c r="I248" t="s">
        <v>2295</v>
      </c>
      <c r="J248" t="s">
        <v>366</v>
      </c>
      <c r="L248" t="s">
        <v>2296</v>
      </c>
      <c r="AN248">
        <v>0</v>
      </c>
      <c r="AO248" t="s">
        <v>1834</v>
      </c>
      <c r="AP248" t="s">
        <v>1834</v>
      </c>
      <c r="AQ248">
        <v>0</v>
      </c>
      <c r="AR248" t="s">
        <v>1835</v>
      </c>
    </row>
    <row r="249" spans="1:44" x14ac:dyDescent="0.25">
      <c r="A249" t="s">
        <v>1828</v>
      </c>
      <c r="B249" t="s">
        <v>1829</v>
      </c>
      <c r="D249" t="s">
        <v>1947</v>
      </c>
      <c r="G249" t="str">
        <f>CONCATENATE(Master_Packing_Database[[#This Row],[Exp '#]],Master_Packing_Database[[#This Row],[Batch '#]])</f>
        <v/>
      </c>
      <c r="H249" t="s">
        <v>2297</v>
      </c>
      <c r="I249" t="s">
        <v>2298</v>
      </c>
      <c r="J249" t="s">
        <v>366</v>
      </c>
      <c r="L249" t="s">
        <v>2299</v>
      </c>
      <c r="AN249">
        <v>0</v>
      </c>
      <c r="AO249" t="s">
        <v>1834</v>
      </c>
      <c r="AP249" t="s">
        <v>1834</v>
      </c>
      <c r="AQ249">
        <v>0</v>
      </c>
      <c r="AR249" t="s">
        <v>1835</v>
      </c>
    </row>
    <row r="250" spans="1:44" x14ac:dyDescent="0.25">
      <c r="A250" t="s">
        <v>1828</v>
      </c>
      <c r="B250" t="s">
        <v>1829</v>
      </c>
      <c r="D250" t="s">
        <v>1918</v>
      </c>
      <c r="G250" t="str">
        <f>CONCATENATE(Master_Packing_Database[[#This Row],[Exp '#]],Master_Packing_Database[[#This Row],[Batch '#]])</f>
        <v/>
      </c>
      <c r="H250" t="s">
        <v>2300</v>
      </c>
      <c r="I250" t="s">
        <v>2301</v>
      </c>
      <c r="J250" t="s">
        <v>366</v>
      </c>
      <c r="L250" t="s">
        <v>1833</v>
      </c>
      <c r="AN250">
        <v>0</v>
      </c>
      <c r="AO250" t="s">
        <v>1834</v>
      </c>
      <c r="AP250" t="s">
        <v>1834</v>
      </c>
      <c r="AQ250">
        <v>0</v>
      </c>
      <c r="AR250" t="s">
        <v>1835</v>
      </c>
    </row>
    <row r="251" spans="1:44" x14ac:dyDescent="0.25">
      <c r="A251" t="s">
        <v>1828</v>
      </c>
      <c r="B251" t="s">
        <v>1829</v>
      </c>
      <c r="D251" t="s">
        <v>2192</v>
      </c>
      <c r="G251" t="str">
        <f>CONCATENATE(Master_Packing_Database[[#This Row],[Exp '#]],Master_Packing_Database[[#This Row],[Batch '#]])</f>
        <v/>
      </c>
      <c r="H251" t="s">
        <v>2302</v>
      </c>
      <c r="I251" t="s">
        <v>2054</v>
      </c>
      <c r="J251" t="s">
        <v>117</v>
      </c>
      <c r="L251" t="s">
        <v>2010</v>
      </c>
      <c r="AN251">
        <v>0</v>
      </c>
      <c r="AO251" t="s">
        <v>1834</v>
      </c>
      <c r="AP251" t="s">
        <v>1834</v>
      </c>
      <c r="AQ251">
        <v>0</v>
      </c>
      <c r="AR251" t="s">
        <v>1835</v>
      </c>
    </row>
    <row r="252" spans="1:44" x14ac:dyDescent="0.25">
      <c r="A252" t="s">
        <v>1828</v>
      </c>
      <c r="B252" t="s">
        <v>1829</v>
      </c>
      <c r="D252" t="s">
        <v>1918</v>
      </c>
      <c r="G252" t="str">
        <f>CONCATENATE(Master_Packing_Database[[#This Row],[Exp '#]],Master_Packing_Database[[#This Row],[Batch '#]])</f>
        <v/>
      </c>
      <c r="H252" t="s">
        <v>2303</v>
      </c>
      <c r="I252" t="s">
        <v>2304</v>
      </c>
      <c r="J252" t="s">
        <v>366</v>
      </c>
      <c r="L252" t="s">
        <v>1833</v>
      </c>
      <c r="AN252">
        <v>0</v>
      </c>
      <c r="AO252" t="s">
        <v>1834</v>
      </c>
      <c r="AP252" t="s">
        <v>1834</v>
      </c>
      <c r="AQ252">
        <v>0</v>
      </c>
      <c r="AR252" t="s">
        <v>1835</v>
      </c>
    </row>
    <row r="253" spans="1:44" x14ac:dyDescent="0.25">
      <c r="A253" t="s">
        <v>1828</v>
      </c>
      <c r="B253" t="s">
        <v>1829</v>
      </c>
      <c r="D253" t="s">
        <v>1921</v>
      </c>
      <c r="G253" t="str">
        <f>CONCATENATE(Master_Packing_Database[[#This Row],[Exp '#]],Master_Packing_Database[[#This Row],[Batch '#]])</f>
        <v/>
      </c>
      <c r="H253" t="s">
        <v>2305</v>
      </c>
      <c r="I253" t="s">
        <v>1949</v>
      </c>
      <c r="J253" t="s">
        <v>366</v>
      </c>
      <c r="L253" t="s">
        <v>1950</v>
      </c>
      <c r="AN253">
        <v>0</v>
      </c>
      <c r="AO253" t="s">
        <v>1834</v>
      </c>
      <c r="AP253" t="s">
        <v>1834</v>
      </c>
      <c r="AQ253">
        <v>0</v>
      </c>
      <c r="AR253" t="s">
        <v>1835</v>
      </c>
    </row>
    <row r="254" spans="1:44" x14ac:dyDescent="0.25">
      <c r="A254" t="s">
        <v>1828</v>
      </c>
      <c r="B254" t="s">
        <v>1829</v>
      </c>
      <c r="D254" t="s">
        <v>2126</v>
      </c>
      <c r="G254" t="str">
        <f>CONCATENATE(Master_Packing_Database[[#This Row],[Exp '#]],Master_Packing_Database[[#This Row],[Batch '#]])</f>
        <v/>
      </c>
      <c r="H254" t="s">
        <v>2306</v>
      </c>
      <c r="I254" t="s">
        <v>2307</v>
      </c>
      <c r="J254" t="s">
        <v>366</v>
      </c>
      <c r="L254" t="s">
        <v>1833</v>
      </c>
      <c r="AN254">
        <v>0</v>
      </c>
      <c r="AO254" t="s">
        <v>1834</v>
      </c>
      <c r="AP254" t="s">
        <v>1834</v>
      </c>
      <c r="AQ254">
        <v>0</v>
      </c>
      <c r="AR254" t="s">
        <v>1835</v>
      </c>
    </row>
    <row r="255" spans="1:44" x14ac:dyDescent="0.25">
      <c r="A255" t="s">
        <v>1828</v>
      </c>
      <c r="B255" t="s">
        <v>1829</v>
      </c>
      <c r="D255" t="s">
        <v>2052</v>
      </c>
      <c r="G255" t="str">
        <f>CONCATENATE(Master_Packing_Database[[#This Row],[Exp '#]],Master_Packing_Database[[#This Row],[Batch '#]])</f>
        <v/>
      </c>
      <c r="H255" t="s">
        <v>2308</v>
      </c>
      <c r="I255" t="s">
        <v>2054</v>
      </c>
      <c r="J255" t="s">
        <v>117</v>
      </c>
      <c r="L255" t="s">
        <v>1923</v>
      </c>
      <c r="AN255">
        <v>0</v>
      </c>
      <c r="AO255" t="s">
        <v>1834</v>
      </c>
      <c r="AP255" t="s">
        <v>1834</v>
      </c>
      <c r="AQ255">
        <v>0</v>
      </c>
      <c r="AR255" t="s">
        <v>1835</v>
      </c>
    </row>
    <row r="256" spans="1:44" x14ac:dyDescent="0.25">
      <c r="A256" t="s">
        <v>1828</v>
      </c>
      <c r="B256" t="s">
        <v>1829</v>
      </c>
      <c r="D256" t="s">
        <v>1932</v>
      </c>
      <c r="G256" t="str">
        <f>CONCATENATE(Master_Packing_Database[[#This Row],[Exp '#]],Master_Packing_Database[[#This Row],[Batch '#]])</f>
        <v/>
      </c>
      <c r="H256" t="s">
        <v>2183</v>
      </c>
      <c r="I256" t="s">
        <v>2100</v>
      </c>
      <c r="J256" t="s">
        <v>366</v>
      </c>
      <c r="L256" t="s">
        <v>521</v>
      </c>
      <c r="AN256">
        <v>0</v>
      </c>
      <c r="AO256" t="s">
        <v>1834</v>
      </c>
      <c r="AP256" t="s">
        <v>1834</v>
      </c>
      <c r="AQ256">
        <v>0</v>
      </c>
      <c r="AR256" t="s">
        <v>1835</v>
      </c>
    </row>
    <row r="257" spans="1:44" x14ac:dyDescent="0.25">
      <c r="A257" t="s">
        <v>1828</v>
      </c>
      <c r="B257" t="s">
        <v>1829</v>
      </c>
      <c r="D257" t="s">
        <v>1910</v>
      </c>
      <c r="G257" t="str">
        <f>CONCATENATE(Master_Packing_Database[[#This Row],[Exp '#]],Master_Packing_Database[[#This Row],[Batch '#]])</f>
        <v/>
      </c>
      <c r="H257" t="s">
        <v>2309</v>
      </c>
      <c r="I257" t="s">
        <v>2144</v>
      </c>
      <c r="J257" t="s">
        <v>117</v>
      </c>
      <c r="L257" t="s">
        <v>1833</v>
      </c>
      <c r="AN257">
        <v>0</v>
      </c>
      <c r="AO257" t="s">
        <v>1834</v>
      </c>
      <c r="AP257" t="s">
        <v>1834</v>
      </c>
      <c r="AQ257">
        <v>0</v>
      </c>
      <c r="AR257" t="s">
        <v>1835</v>
      </c>
    </row>
    <row r="258" spans="1:44" x14ac:dyDescent="0.25">
      <c r="A258" t="s">
        <v>1828</v>
      </c>
      <c r="B258" t="s">
        <v>1829</v>
      </c>
      <c r="D258" t="s">
        <v>2005</v>
      </c>
      <c r="G258" t="str">
        <f>CONCATENATE(Master_Packing_Database[[#This Row],[Exp '#]],Master_Packing_Database[[#This Row],[Batch '#]])</f>
        <v/>
      </c>
      <c r="H258" t="s">
        <v>2023</v>
      </c>
      <c r="I258" t="s">
        <v>2024</v>
      </c>
      <c r="J258" t="s">
        <v>117</v>
      </c>
      <c r="L258" t="s">
        <v>2010</v>
      </c>
      <c r="AN258">
        <v>0</v>
      </c>
      <c r="AO258" t="s">
        <v>1834</v>
      </c>
      <c r="AP258" t="s">
        <v>1834</v>
      </c>
      <c r="AQ258">
        <v>0</v>
      </c>
      <c r="AR258" t="s">
        <v>1835</v>
      </c>
    </row>
    <row r="259" spans="1:44" x14ac:dyDescent="0.25">
      <c r="A259" t="s">
        <v>1828</v>
      </c>
      <c r="B259" t="s">
        <v>1829</v>
      </c>
      <c r="D259" t="s">
        <v>1976</v>
      </c>
      <c r="G259" t="str">
        <f>CONCATENATE(Master_Packing_Database[[#This Row],[Exp '#]],Master_Packing_Database[[#This Row],[Batch '#]])</f>
        <v/>
      </c>
      <c r="H259" t="s">
        <v>2310</v>
      </c>
      <c r="I259" t="s">
        <v>2311</v>
      </c>
      <c r="J259" t="s">
        <v>366</v>
      </c>
      <c r="L259" t="s">
        <v>2027</v>
      </c>
      <c r="AN259">
        <v>0</v>
      </c>
      <c r="AO259" t="s">
        <v>1834</v>
      </c>
      <c r="AP259" t="s">
        <v>1834</v>
      </c>
      <c r="AQ259">
        <v>0</v>
      </c>
      <c r="AR259" t="s">
        <v>1835</v>
      </c>
    </row>
    <row r="260" spans="1:44" x14ac:dyDescent="0.25">
      <c r="A260" t="s">
        <v>1828</v>
      </c>
      <c r="B260" t="s">
        <v>1829</v>
      </c>
      <c r="D260" t="s">
        <v>2312</v>
      </c>
      <c r="G260" t="str">
        <f>CONCATENATE(Master_Packing_Database[[#This Row],[Exp '#]],Master_Packing_Database[[#This Row],[Batch '#]])</f>
        <v/>
      </c>
      <c r="H260" t="s">
        <v>2313</v>
      </c>
      <c r="I260" t="s">
        <v>2033</v>
      </c>
      <c r="J260" t="s">
        <v>117</v>
      </c>
      <c r="L260" t="s">
        <v>1849</v>
      </c>
      <c r="AN260">
        <v>0</v>
      </c>
      <c r="AO260" t="s">
        <v>1834</v>
      </c>
      <c r="AP260" t="s">
        <v>1834</v>
      </c>
      <c r="AQ260">
        <v>0</v>
      </c>
      <c r="AR260" t="s">
        <v>1835</v>
      </c>
    </row>
    <row r="261" spans="1:44" x14ac:dyDescent="0.25">
      <c r="A261" t="s">
        <v>1828</v>
      </c>
      <c r="B261" t="s">
        <v>1829</v>
      </c>
      <c r="D261" t="s">
        <v>1965</v>
      </c>
      <c r="G261" t="str">
        <f>CONCATENATE(Master_Packing_Database[[#This Row],[Exp '#]],Master_Packing_Database[[#This Row],[Batch '#]])</f>
        <v/>
      </c>
      <c r="H261" t="s">
        <v>2314</v>
      </c>
      <c r="I261" t="s">
        <v>1897</v>
      </c>
      <c r="J261" t="s">
        <v>117</v>
      </c>
      <c r="L261" t="s">
        <v>1849</v>
      </c>
      <c r="AN261">
        <v>0</v>
      </c>
      <c r="AO261" t="s">
        <v>1834</v>
      </c>
      <c r="AP261" t="s">
        <v>1834</v>
      </c>
      <c r="AQ261">
        <v>0</v>
      </c>
      <c r="AR261" t="s">
        <v>1835</v>
      </c>
    </row>
    <row r="262" spans="1:44" x14ac:dyDescent="0.25">
      <c r="A262" t="s">
        <v>1828</v>
      </c>
      <c r="B262" t="s">
        <v>1829</v>
      </c>
      <c r="D262" t="s">
        <v>2241</v>
      </c>
      <c r="G262" t="str">
        <f>CONCATENATE(Master_Packing_Database[[#This Row],[Exp '#]],Master_Packing_Database[[#This Row],[Batch '#]])</f>
        <v/>
      </c>
      <c r="H262" t="s">
        <v>2315</v>
      </c>
      <c r="I262" t="s">
        <v>1970</v>
      </c>
      <c r="J262" t="s">
        <v>117</v>
      </c>
      <c r="L262" t="s">
        <v>1849</v>
      </c>
      <c r="AN262">
        <v>0</v>
      </c>
      <c r="AO262" t="s">
        <v>1834</v>
      </c>
      <c r="AP262" t="s">
        <v>1834</v>
      </c>
      <c r="AQ262">
        <v>0</v>
      </c>
      <c r="AR262" t="s">
        <v>1835</v>
      </c>
    </row>
    <row r="263" spans="1:44" x14ac:dyDescent="0.25">
      <c r="A263" t="s">
        <v>1828</v>
      </c>
      <c r="B263" t="s">
        <v>1829</v>
      </c>
      <c r="D263" t="s">
        <v>2078</v>
      </c>
      <c r="G263" t="str">
        <f>CONCATENATE(Master_Packing_Database[[#This Row],[Exp '#]],Master_Packing_Database[[#This Row],[Batch '#]])</f>
        <v/>
      </c>
      <c r="H263" t="s">
        <v>2316</v>
      </c>
      <c r="I263" t="s">
        <v>1949</v>
      </c>
      <c r="J263" t="s">
        <v>117</v>
      </c>
      <c r="L263" t="s">
        <v>2111</v>
      </c>
      <c r="AN263">
        <v>0</v>
      </c>
      <c r="AO263" t="s">
        <v>1834</v>
      </c>
      <c r="AP263" t="s">
        <v>1834</v>
      </c>
      <c r="AQ263">
        <v>0</v>
      </c>
      <c r="AR263" t="s">
        <v>1835</v>
      </c>
    </row>
    <row r="264" spans="1:44" x14ac:dyDescent="0.25">
      <c r="A264" t="s">
        <v>1828</v>
      </c>
      <c r="B264" t="s">
        <v>1829</v>
      </c>
      <c r="D264" t="s">
        <v>2078</v>
      </c>
      <c r="G264" t="str">
        <f>CONCATENATE(Master_Packing_Database[[#This Row],[Exp '#]],Master_Packing_Database[[#This Row],[Batch '#]])</f>
        <v/>
      </c>
      <c r="H264" t="s">
        <v>2317</v>
      </c>
      <c r="I264" t="s">
        <v>1949</v>
      </c>
      <c r="J264" t="s">
        <v>117</v>
      </c>
      <c r="L264" t="s">
        <v>2051</v>
      </c>
      <c r="AN264">
        <v>0</v>
      </c>
      <c r="AO264" t="s">
        <v>1834</v>
      </c>
      <c r="AP264" t="s">
        <v>1834</v>
      </c>
      <c r="AQ264">
        <v>0</v>
      </c>
      <c r="AR264" t="s">
        <v>1835</v>
      </c>
    </row>
    <row r="265" spans="1:44" x14ac:dyDescent="0.25">
      <c r="A265" t="s">
        <v>1828</v>
      </c>
      <c r="B265" t="s">
        <v>1829</v>
      </c>
      <c r="D265" t="s">
        <v>1968</v>
      </c>
      <c r="G265" t="str">
        <f>CONCATENATE(Master_Packing_Database[[#This Row],[Exp '#]],Master_Packing_Database[[#This Row],[Batch '#]])</f>
        <v/>
      </c>
      <c r="H265" t="s">
        <v>2318</v>
      </c>
      <c r="I265" t="s">
        <v>1897</v>
      </c>
      <c r="J265" t="s">
        <v>117</v>
      </c>
      <c r="L265" t="s">
        <v>1849</v>
      </c>
      <c r="AN265">
        <v>0</v>
      </c>
      <c r="AO265" t="s">
        <v>1834</v>
      </c>
      <c r="AP265" t="s">
        <v>1834</v>
      </c>
      <c r="AQ265">
        <v>0</v>
      </c>
      <c r="AR265" t="s">
        <v>1835</v>
      </c>
    </row>
    <row r="266" spans="1:44" x14ac:dyDescent="0.25">
      <c r="A266" t="s">
        <v>1828</v>
      </c>
      <c r="B266" t="s">
        <v>1829</v>
      </c>
      <c r="D266" t="s">
        <v>1968</v>
      </c>
      <c r="G266" t="str">
        <f>CONCATENATE(Master_Packing_Database[[#This Row],[Exp '#]],Master_Packing_Database[[#This Row],[Batch '#]])</f>
        <v/>
      </c>
      <c r="H266" t="s">
        <v>2319</v>
      </c>
      <c r="I266" t="s">
        <v>2240</v>
      </c>
      <c r="J266" t="s">
        <v>366</v>
      </c>
      <c r="L266" t="s">
        <v>1860</v>
      </c>
      <c r="AN266">
        <v>0</v>
      </c>
      <c r="AO266" t="s">
        <v>1834</v>
      </c>
      <c r="AP266" t="s">
        <v>1834</v>
      </c>
      <c r="AQ266">
        <v>0</v>
      </c>
      <c r="AR266" t="s">
        <v>1835</v>
      </c>
    </row>
    <row r="267" spans="1:44" x14ac:dyDescent="0.25">
      <c r="A267" t="s">
        <v>1828</v>
      </c>
      <c r="B267" t="s">
        <v>1829</v>
      </c>
      <c r="D267" t="s">
        <v>1971</v>
      </c>
      <c r="G267" t="str">
        <f>CONCATENATE(Master_Packing_Database[[#This Row],[Exp '#]],Master_Packing_Database[[#This Row],[Batch '#]])</f>
        <v/>
      </c>
      <c r="H267" t="s">
        <v>2320</v>
      </c>
      <c r="I267" t="s">
        <v>2273</v>
      </c>
      <c r="J267" t="s">
        <v>366</v>
      </c>
      <c r="L267" t="s">
        <v>1860</v>
      </c>
      <c r="AN267">
        <v>0</v>
      </c>
      <c r="AO267" t="s">
        <v>1834</v>
      </c>
      <c r="AP267" t="s">
        <v>1834</v>
      </c>
      <c r="AQ267">
        <v>0</v>
      </c>
      <c r="AR267" t="s">
        <v>1835</v>
      </c>
    </row>
    <row r="268" spans="1:44" x14ac:dyDescent="0.25">
      <c r="A268" t="s">
        <v>1828</v>
      </c>
      <c r="B268" t="s">
        <v>1829</v>
      </c>
      <c r="D268" t="s">
        <v>1921</v>
      </c>
      <c r="G268" t="str">
        <f>CONCATENATE(Master_Packing_Database[[#This Row],[Exp '#]],Master_Packing_Database[[#This Row],[Batch '#]])</f>
        <v/>
      </c>
      <c r="H268" t="s">
        <v>2321</v>
      </c>
      <c r="I268" t="s">
        <v>2085</v>
      </c>
      <c r="J268" t="s">
        <v>117</v>
      </c>
      <c r="L268" t="s">
        <v>521</v>
      </c>
      <c r="AN268">
        <v>0</v>
      </c>
      <c r="AO268" t="s">
        <v>1834</v>
      </c>
      <c r="AP268" t="s">
        <v>1834</v>
      </c>
      <c r="AQ268">
        <v>0</v>
      </c>
      <c r="AR268" t="s">
        <v>1835</v>
      </c>
    </row>
    <row r="269" spans="1:44" x14ac:dyDescent="0.25">
      <c r="A269" t="s">
        <v>1828</v>
      </c>
      <c r="B269" t="s">
        <v>1829</v>
      </c>
      <c r="D269" t="s">
        <v>1976</v>
      </c>
      <c r="G269" t="str">
        <f>CONCATENATE(Master_Packing_Database[[#This Row],[Exp '#]],Master_Packing_Database[[#This Row],[Batch '#]])</f>
        <v/>
      </c>
      <c r="H269" t="s">
        <v>2322</v>
      </c>
      <c r="I269" t="s">
        <v>2323</v>
      </c>
      <c r="J269" t="s">
        <v>366</v>
      </c>
      <c r="L269" t="s">
        <v>1833</v>
      </c>
      <c r="AN269">
        <v>0</v>
      </c>
      <c r="AO269" t="s">
        <v>1834</v>
      </c>
      <c r="AP269" t="s">
        <v>1834</v>
      </c>
      <c r="AQ269">
        <v>0</v>
      </c>
      <c r="AR269" t="s">
        <v>1835</v>
      </c>
    </row>
    <row r="270" spans="1:44" x14ac:dyDescent="0.25">
      <c r="A270" t="s">
        <v>1828</v>
      </c>
      <c r="B270" t="s">
        <v>1829</v>
      </c>
      <c r="D270" t="s">
        <v>2324</v>
      </c>
      <c r="G270" t="str">
        <f>CONCATENATE(Master_Packing_Database[[#This Row],[Exp '#]],Master_Packing_Database[[#This Row],[Batch '#]])</f>
        <v/>
      </c>
      <c r="H270" t="s">
        <v>2325</v>
      </c>
      <c r="I270" t="s">
        <v>1970</v>
      </c>
      <c r="J270" t="s">
        <v>117</v>
      </c>
      <c r="L270" t="s">
        <v>1849</v>
      </c>
      <c r="AN270">
        <v>0</v>
      </c>
      <c r="AO270" t="s">
        <v>1834</v>
      </c>
      <c r="AP270" t="s">
        <v>1834</v>
      </c>
      <c r="AQ270">
        <v>0</v>
      </c>
      <c r="AR270" t="s">
        <v>1835</v>
      </c>
    </row>
    <row r="271" spans="1:44" x14ac:dyDescent="0.25">
      <c r="A271" t="s">
        <v>1828</v>
      </c>
      <c r="B271" t="s">
        <v>1829</v>
      </c>
      <c r="D271" t="s">
        <v>2036</v>
      </c>
      <c r="G271" t="str">
        <f>CONCATENATE(Master_Packing_Database[[#This Row],[Exp '#]],Master_Packing_Database[[#This Row],[Batch '#]])</f>
        <v/>
      </c>
      <c r="H271" t="s">
        <v>2326</v>
      </c>
      <c r="I271" t="s">
        <v>2327</v>
      </c>
      <c r="J271" t="s">
        <v>117</v>
      </c>
      <c r="L271" t="s">
        <v>1849</v>
      </c>
      <c r="AN271">
        <v>0</v>
      </c>
      <c r="AO271" t="s">
        <v>1834</v>
      </c>
      <c r="AP271" t="s">
        <v>1834</v>
      </c>
      <c r="AQ271">
        <v>0</v>
      </c>
      <c r="AR271" t="s">
        <v>1835</v>
      </c>
    </row>
    <row r="272" spans="1:44" x14ac:dyDescent="0.25">
      <c r="A272" t="s">
        <v>1828</v>
      </c>
      <c r="B272" t="s">
        <v>1829</v>
      </c>
      <c r="D272" t="s">
        <v>2031</v>
      </c>
      <c r="G272" t="str">
        <f>CONCATENATE(Master_Packing_Database[[#This Row],[Exp '#]],Master_Packing_Database[[#This Row],[Batch '#]])</f>
        <v/>
      </c>
      <c r="H272" t="s">
        <v>2328</v>
      </c>
      <c r="I272" t="s">
        <v>2074</v>
      </c>
      <c r="J272" t="s">
        <v>117</v>
      </c>
      <c r="L272" t="s">
        <v>2027</v>
      </c>
      <c r="AN272">
        <v>0</v>
      </c>
      <c r="AO272" t="s">
        <v>1834</v>
      </c>
      <c r="AP272" t="s">
        <v>1834</v>
      </c>
      <c r="AQ272">
        <v>0</v>
      </c>
      <c r="AR272" t="s">
        <v>1835</v>
      </c>
    </row>
    <row r="273" spans="1:44" x14ac:dyDescent="0.25">
      <c r="A273" t="s">
        <v>1828</v>
      </c>
      <c r="B273" t="s">
        <v>1829</v>
      </c>
      <c r="D273" t="s">
        <v>2329</v>
      </c>
      <c r="G273" t="str">
        <f>CONCATENATE(Master_Packing_Database[[#This Row],[Exp '#]],Master_Packing_Database[[#This Row],[Batch '#]])</f>
        <v/>
      </c>
      <c r="H273" t="s">
        <v>2330</v>
      </c>
      <c r="I273" t="s">
        <v>696</v>
      </c>
      <c r="J273" t="s">
        <v>366</v>
      </c>
      <c r="L273" t="s">
        <v>521</v>
      </c>
      <c r="AN273">
        <v>0</v>
      </c>
      <c r="AO273" t="s">
        <v>1834</v>
      </c>
      <c r="AP273" t="s">
        <v>1834</v>
      </c>
      <c r="AQ273">
        <v>0</v>
      </c>
      <c r="AR273" t="s">
        <v>1835</v>
      </c>
    </row>
    <row r="274" spans="1:44" x14ac:dyDescent="0.25">
      <c r="A274" t="s">
        <v>1828</v>
      </c>
      <c r="B274" t="s">
        <v>1829</v>
      </c>
      <c r="D274" t="s">
        <v>1968</v>
      </c>
      <c r="G274" t="str">
        <f>CONCATENATE(Master_Packing_Database[[#This Row],[Exp '#]],Master_Packing_Database[[#This Row],[Batch '#]])</f>
        <v/>
      </c>
      <c r="H274" t="s">
        <v>2331</v>
      </c>
      <c r="I274" t="s">
        <v>2238</v>
      </c>
      <c r="J274" t="s">
        <v>366</v>
      </c>
      <c r="L274" t="s">
        <v>1860</v>
      </c>
      <c r="AN274">
        <v>0</v>
      </c>
      <c r="AO274" t="s">
        <v>1834</v>
      </c>
      <c r="AP274" t="s">
        <v>1834</v>
      </c>
      <c r="AQ274">
        <v>0</v>
      </c>
      <c r="AR274" t="s">
        <v>1835</v>
      </c>
    </row>
    <row r="275" spans="1:44" x14ac:dyDescent="0.25">
      <c r="A275" t="s">
        <v>1828</v>
      </c>
      <c r="B275" t="s">
        <v>1829</v>
      </c>
      <c r="D275" t="s">
        <v>1971</v>
      </c>
      <c r="G275" t="str">
        <f>CONCATENATE(Master_Packing_Database[[#This Row],[Exp '#]],Master_Packing_Database[[#This Row],[Batch '#]])</f>
        <v/>
      </c>
      <c r="H275" t="s">
        <v>2332</v>
      </c>
      <c r="I275" t="s">
        <v>1832</v>
      </c>
      <c r="J275" t="s">
        <v>117</v>
      </c>
      <c r="L275" t="s">
        <v>1849</v>
      </c>
      <c r="AN275">
        <v>0</v>
      </c>
      <c r="AO275" t="s">
        <v>1834</v>
      </c>
      <c r="AP275" t="s">
        <v>1834</v>
      </c>
      <c r="AQ275">
        <v>0</v>
      </c>
      <c r="AR275" t="s">
        <v>1835</v>
      </c>
    </row>
    <row r="276" spans="1:44" x14ac:dyDescent="0.25">
      <c r="A276" t="s">
        <v>1828</v>
      </c>
      <c r="B276" t="s">
        <v>1829</v>
      </c>
      <c r="D276" t="s">
        <v>2333</v>
      </c>
      <c r="G276" t="str">
        <f>CONCATENATE(Master_Packing_Database[[#This Row],[Exp '#]],Master_Packing_Database[[#This Row],[Batch '#]])</f>
        <v/>
      </c>
      <c r="H276" t="s">
        <v>2334</v>
      </c>
      <c r="I276" t="s">
        <v>2033</v>
      </c>
      <c r="J276" t="s">
        <v>117</v>
      </c>
      <c r="L276" t="s">
        <v>1987</v>
      </c>
      <c r="AN276">
        <v>0</v>
      </c>
      <c r="AO276" t="s">
        <v>1834</v>
      </c>
      <c r="AP276" t="s">
        <v>1834</v>
      </c>
      <c r="AQ276">
        <v>0</v>
      </c>
      <c r="AR276" t="s">
        <v>1835</v>
      </c>
    </row>
    <row r="277" spans="1:44" x14ac:dyDescent="0.25">
      <c r="A277" t="s">
        <v>1828</v>
      </c>
      <c r="B277" t="s">
        <v>1829</v>
      </c>
      <c r="D277" t="s">
        <v>2126</v>
      </c>
      <c r="G277" t="str">
        <f>CONCATENATE(Master_Packing_Database[[#This Row],[Exp '#]],Master_Packing_Database[[#This Row],[Batch '#]])</f>
        <v/>
      </c>
      <c r="H277" t="s">
        <v>2335</v>
      </c>
      <c r="I277" t="s">
        <v>2336</v>
      </c>
      <c r="J277" t="s">
        <v>117</v>
      </c>
      <c r="L277" t="s">
        <v>2337</v>
      </c>
      <c r="AN277">
        <v>0</v>
      </c>
      <c r="AO277" t="s">
        <v>1834</v>
      </c>
      <c r="AP277" t="s">
        <v>1834</v>
      </c>
      <c r="AQ277">
        <v>0</v>
      </c>
      <c r="AR277" t="s">
        <v>1835</v>
      </c>
    </row>
    <row r="278" spans="1:44" x14ac:dyDescent="0.25">
      <c r="A278" t="s">
        <v>1828</v>
      </c>
      <c r="B278" t="s">
        <v>1829</v>
      </c>
      <c r="D278" t="s">
        <v>1843</v>
      </c>
      <c r="G278" t="str">
        <f>CONCATENATE(Master_Packing_Database[[#This Row],[Exp '#]],Master_Packing_Database[[#This Row],[Batch '#]])</f>
        <v/>
      </c>
      <c r="H278" t="s">
        <v>2338</v>
      </c>
      <c r="I278" t="s">
        <v>2074</v>
      </c>
      <c r="J278" t="s">
        <v>117</v>
      </c>
      <c r="L278" t="s">
        <v>2010</v>
      </c>
      <c r="AN278">
        <v>0</v>
      </c>
      <c r="AO278" t="s">
        <v>1834</v>
      </c>
      <c r="AP278" t="s">
        <v>1834</v>
      </c>
      <c r="AQ278">
        <v>0</v>
      </c>
      <c r="AR278" t="s">
        <v>1835</v>
      </c>
    </row>
    <row r="279" spans="1:44" x14ac:dyDescent="0.25">
      <c r="A279" t="s">
        <v>1828</v>
      </c>
      <c r="B279" t="s">
        <v>1829</v>
      </c>
      <c r="D279" t="s">
        <v>2339</v>
      </c>
      <c r="G279" t="str">
        <f>CONCATENATE(Master_Packing_Database[[#This Row],[Exp '#]],Master_Packing_Database[[#This Row],[Batch '#]])</f>
        <v/>
      </c>
      <c r="H279" t="s">
        <v>2338</v>
      </c>
      <c r="I279" t="s">
        <v>2074</v>
      </c>
      <c r="J279" t="s">
        <v>366</v>
      </c>
      <c r="L279" t="s">
        <v>2013</v>
      </c>
      <c r="AN279">
        <v>0</v>
      </c>
      <c r="AO279" t="s">
        <v>1834</v>
      </c>
      <c r="AP279" t="s">
        <v>1834</v>
      </c>
      <c r="AQ279">
        <v>0</v>
      </c>
      <c r="AR279" t="s">
        <v>1835</v>
      </c>
    </row>
    <row r="280" spans="1:44" x14ac:dyDescent="0.25">
      <c r="A280" t="s">
        <v>1828</v>
      </c>
      <c r="B280" t="s">
        <v>1829</v>
      </c>
      <c r="D280" t="s">
        <v>1976</v>
      </c>
      <c r="G280" t="str">
        <f>CONCATENATE(Master_Packing_Database[[#This Row],[Exp '#]],Master_Packing_Database[[#This Row],[Batch '#]])</f>
        <v/>
      </c>
      <c r="H280" t="s">
        <v>2340</v>
      </c>
      <c r="I280" t="s">
        <v>2033</v>
      </c>
      <c r="J280" t="s">
        <v>366</v>
      </c>
      <c r="L280" t="s">
        <v>2010</v>
      </c>
      <c r="AN280">
        <v>0</v>
      </c>
      <c r="AO280" t="s">
        <v>1834</v>
      </c>
      <c r="AP280" t="s">
        <v>1834</v>
      </c>
      <c r="AQ280">
        <v>0</v>
      </c>
      <c r="AR280" t="s">
        <v>1835</v>
      </c>
    </row>
    <row r="281" spans="1:44" x14ac:dyDescent="0.25">
      <c r="A281" t="s">
        <v>1828</v>
      </c>
      <c r="B281" t="s">
        <v>1829</v>
      </c>
      <c r="D281" t="s">
        <v>1976</v>
      </c>
      <c r="G281" t="str">
        <f>CONCATENATE(Master_Packing_Database[[#This Row],[Exp '#]],Master_Packing_Database[[#This Row],[Batch '#]])</f>
        <v/>
      </c>
      <c r="H281" t="s">
        <v>2341</v>
      </c>
      <c r="I281" t="s">
        <v>2342</v>
      </c>
      <c r="J281" t="s">
        <v>366</v>
      </c>
      <c r="L281" t="s">
        <v>2010</v>
      </c>
      <c r="AN281">
        <v>0</v>
      </c>
      <c r="AO281" t="s">
        <v>1834</v>
      </c>
      <c r="AP281" t="s">
        <v>1834</v>
      </c>
      <c r="AQ281">
        <v>0</v>
      </c>
      <c r="AR281" t="s">
        <v>1835</v>
      </c>
    </row>
    <row r="282" spans="1:44" x14ac:dyDescent="0.25">
      <c r="A282" t="s">
        <v>1828</v>
      </c>
      <c r="B282" t="s">
        <v>1829</v>
      </c>
      <c r="D282" t="s">
        <v>1976</v>
      </c>
      <c r="G282" t="str">
        <f>CONCATENATE(Master_Packing_Database[[#This Row],[Exp '#]],Master_Packing_Database[[#This Row],[Batch '#]])</f>
        <v/>
      </c>
      <c r="H282" t="s">
        <v>2343</v>
      </c>
      <c r="I282" t="s">
        <v>2342</v>
      </c>
      <c r="J282" t="s">
        <v>366</v>
      </c>
      <c r="L282" t="s">
        <v>2010</v>
      </c>
      <c r="AN282">
        <v>0</v>
      </c>
      <c r="AO282" t="s">
        <v>1834</v>
      </c>
      <c r="AP282" t="s">
        <v>1834</v>
      </c>
      <c r="AQ282">
        <v>0</v>
      </c>
      <c r="AR282" t="s">
        <v>1835</v>
      </c>
    </row>
    <row r="283" spans="1:44" x14ac:dyDescent="0.25">
      <c r="A283" t="s">
        <v>1828</v>
      </c>
      <c r="B283" t="s">
        <v>1829</v>
      </c>
      <c r="D283" t="s">
        <v>2344</v>
      </c>
      <c r="G283" t="str">
        <f>CONCATENATE(Master_Packing_Database[[#This Row],[Exp '#]],Master_Packing_Database[[#This Row],[Batch '#]])</f>
        <v/>
      </c>
      <c r="H283" t="s">
        <v>2345</v>
      </c>
      <c r="I283" t="s">
        <v>1914</v>
      </c>
      <c r="J283" t="s">
        <v>117</v>
      </c>
      <c r="L283" t="s">
        <v>1849</v>
      </c>
      <c r="AN283">
        <v>0</v>
      </c>
      <c r="AO283" t="s">
        <v>1834</v>
      </c>
      <c r="AP283" t="s">
        <v>1834</v>
      </c>
      <c r="AQ283">
        <v>0</v>
      </c>
      <c r="AR283" t="s">
        <v>1835</v>
      </c>
    </row>
    <row r="284" spans="1:44" x14ac:dyDescent="0.25">
      <c r="A284" t="s">
        <v>1828</v>
      </c>
      <c r="B284" t="s">
        <v>1829</v>
      </c>
      <c r="D284" t="s">
        <v>2241</v>
      </c>
      <c r="G284" t="str">
        <f>CONCATENATE(Master_Packing_Database[[#This Row],[Exp '#]],Master_Packing_Database[[#This Row],[Batch '#]])</f>
        <v/>
      </c>
      <c r="H284" t="s">
        <v>2346</v>
      </c>
      <c r="I284" t="s">
        <v>2347</v>
      </c>
      <c r="J284" t="s">
        <v>117</v>
      </c>
      <c r="L284" t="s">
        <v>1860</v>
      </c>
      <c r="AN284">
        <v>0</v>
      </c>
      <c r="AO284" t="s">
        <v>1834</v>
      </c>
      <c r="AP284" t="s">
        <v>1834</v>
      </c>
      <c r="AQ284">
        <v>0</v>
      </c>
      <c r="AR284" t="s">
        <v>1835</v>
      </c>
    </row>
    <row r="285" spans="1:44" x14ac:dyDescent="0.25">
      <c r="A285" t="s">
        <v>1828</v>
      </c>
      <c r="B285" t="s">
        <v>1829</v>
      </c>
      <c r="D285" t="s">
        <v>1971</v>
      </c>
      <c r="G285" t="str">
        <f>CONCATENATE(Master_Packing_Database[[#This Row],[Exp '#]],Master_Packing_Database[[#This Row],[Batch '#]])</f>
        <v/>
      </c>
      <c r="H285" t="s">
        <v>2348</v>
      </c>
      <c r="I285" t="s">
        <v>1970</v>
      </c>
      <c r="J285" t="s">
        <v>117</v>
      </c>
      <c r="L285" t="s">
        <v>1979</v>
      </c>
      <c r="AN285">
        <v>0</v>
      </c>
      <c r="AO285" t="s">
        <v>1834</v>
      </c>
      <c r="AP285" t="s">
        <v>1834</v>
      </c>
      <c r="AQ285">
        <v>0</v>
      </c>
      <c r="AR285" t="s">
        <v>1835</v>
      </c>
    </row>
    <row r="286" spans="1:44" x14ac:dyDescent="0.25">
      <c r="A286" t="s">
        <v>1828</v>
      </c>
      <c r="B286" t="s">
        <v>1829</v>
      </c>
      <c r="D286" t="s">
        <v>2349</v>
      </c>
      <c r="G286" t="str">
        <f>CONCATENATE(Master_Packing_Database[[#This Row],[Exp '#]],Master_Packing_Database[[#This Row],[Batch '#]])</f>
        <v/>
      </c>
      <c r="H286" t="s">
        <v>2350</v>
      </c>
      <c r="I286" t="s">
        <v>2351</v>
      </c>
      <c r="J286" t="s">
        <v>117</v>
      </c>
      <c r="L286" t="s">
        <v>1849</v>
      </c>
      <c r="AN286">
        <v>0</v>
      </c>
      <c r="AO286" t="s">
        <v>1834</v>
      </c>
      <c r="AP286" t="s">
        <v>1834</v>
      </c>
      <c r="AQ286">
        <v>0</v>
      </c>
      <c r="AR286" t="s">
        <v>1835</v>
      </c>
    </row>
    <row r="287" spans="1:44" x14ac:dyDescent="0.25">
      <c r="A287" t="s">
        <v>1828</v>
      </c>
      <c r="B287" t="s">
        <v>1829</v>
      </c>
      <c r="D287" t="s">
        <v>2034</v>
      </c>
      <c r="G287" t="str">
        <f>CONCATENATE(Master_Packing_Database[[#This Row],[Exp '#]],Master_Packing_Database[[#This Row],[Batch '#]])</f>
        <v/>
      </c>
      <c r="H287" t="s">
        <v>2352</v>
      </c>
      <c r="I287" t="s">
        <v>1970</v>
      </c>
      <c r="J287" t="s">
        <v>117</v>
      </c>
      <c r="L287" t="s">
        <v>1979</v>
      </c>
      <c r="AN287">
        <v>0</v>
      </c>
      <c r="AO287" t="s">
        <v>1834</v>
      </c>
      <c r="AP287" t="s">
        <v>1834</v>
      </c>
      <c r="AQ287">
        <v>0</v>
      </c>
      <c r="AR287" t="s">
        <v>1835</v>
      </c>
    </row>
    <row r="288" spans="1:44" x14ac:dyDescent="0.25">
      <c r="A288" t="s">
        <v>1828</v>
      </c>
      <c r="B288" t="s">
        <v>1829</v>
      </c>
      <c r="D288" t="s">
        <v>2036</v>
      </c>
      <c r="G288" t="str">
        <f>CONCATENATE(Master_Packing_Database[[#This Row],[Exp '#]],Master_Packing_Database[[#This Row],[Batch '#]])</f>
        <v/>
      </c>
      <c r="H288" t="s">
        <v>2353</v>
      </c>
      <c r="I288" t="s">
        <v>2110</v>
      </c>
      <c r="J288" t="s">
        <v>117</v>
      </c>
      <c r="L288" t="s">
        <v>2354</v>
      </c>
      <c r="AN288">
        <v>0</v>
      </c>
      <c r="AO288" t="s">
        <v>1834</v>
      </c>
      <c r="AP288" t="s">
        <v>1834</v>
      </c>
      <c r="AQ288">
        <v>0</v>
      </c>
      <c r="AR288" t="s">
        <v>1835</v>
      </c>
    </row>
    <row r="289" spans="1:44" x14ac:dyDescent="0.25">
      <c r="A289" t="s">
        <v>1828</v>
      </c>
      <c r="B289" t="s">
        <v>1829</v>
      </c>
      <c r="D289" t="s">
        <v>1965</v>
      </c>
      <c r="G289" t="str">
        <f>CONCATENATE(Master_Packing_Database[[#This Row],[Exp '#]],Master_Packing_Database[[#This Row],[Batch '#]])</f>
        <v/>
      </c>
      <c r="H289" t="s">
        <v>2355</v>
      </c>
      <c r="I289" t="s">
        <v>1897</v>
      </c>
      <c r="J289" t="s">
        <v>117</v>
      </c>
      <c r="L289" t="s">
        <v>1849</v>
      </c>
      <c r="AN289">
        <v>0</v>
      </c>
      <c r="AO289" t="s">
        <v>1834</v>
      </c>
      <c r="AP289" t="s">
        <v>1834</v>
      </c>
      <c r="AQ289">
        <v>0</v>
      </c>
      <c r="AR289" t="s">
        <v>1835</v>
      </c>
    </row>
    <row r="290" spans="1:44" x14ac:dyDescent="0.25">
      <c r="A290" t="s">
        <v>1828</v>
      </c>
      <c r="B290" t="s">
        <v>1829</v>
      </c>
      <c r="D290" t="s">
        <v>2199</v>
      </c>
      <c r="G290" t="str">
        <f>CONCATENATE(Master_Packing_Database[[#This Row],[Exp '#]],Master_Packing_Database[[#This Row],[Batch '#]])</f>
        <v/>
      </c>
      <c r="H290" t="s">
        <v>2356</v>
      </c>
      <c r="I290" t="s">
        <v>1931</v>
      </c>
      <c r="J290" t="s">
        <v>117</v>
      </c>
      <c r="L290" t="s">
        <v>1849</v>
      </c>
      <c r="AN290">
        <v>0</v>
      </c>
      <c r="AO290" t="s">
        <v>1834</v>
      </c>
      <c r="AP290" t="s">
        <v>1834</v>
      </c>
      <c r="AQ290">
        <v>0</v>
      </c>
      <c r="AR290" t="s">
        <v>1835</v>
      </c>
    </row>
    <row r="291" spans="1:44" x14ac:dyDescent="0.25">
      <c r="A291" t="s">
        <v>1828</v>
      </c>
      <c r="B291" t="s">
        <v>1829</v>
      </c>
      <c r="D291" t="s">
        <v>2234</v>
      </c>
      <c r="G291" t="str">
        <f>CONCATENATE(Master_Packing_Database[[#This Row],[Exp '#]],Master_Packing_Database[[#This Row],[Batch '#]])</f>
        <v/>
      </c>
      <c r="H291" t="s">
        <v>2357</v>
      </c>
      <c r="I291" t="s">
        <v>1970</v>
      </c>
      <c r="J291" t="s">
        <v>117</v>
      </c>
      <c r="L291" t="s">
        <v>1849</v>
      </c>
      <c r="AN291">
        <v>0</v>
      </c>
      <c r="AO291" t="s">
        <v>1834</v>
      </c>
      <c r="AP291" t="s">
        <v>1834</v>
      </c>
      <c r="AQ291">
        <v>0</v>
      </c>
      <c r="AR291" t="s">
        <v>1835</v>
      </c>
    </row>
    <row r="292" spans="1:44" x14ac:dyDescent="0.25">
      <c r="A292" t="s">
        <v>1828</v>
      </c>
      <c r="B292" t="s">
        <v>1829</v>
      </c>
      <c r="D292" t="s">
        <v>2333</v>
      </c>
      <c r="G292" t="str">
        <f>CONCATENATE(Master_Packing_Database[[#This Row],[Exp '#]],Master_Packing_Database[[#This Row],[Batch '#]])</f>
        <v/>
      </c>
      <c r="H292" t="s">
        <v>2358</v>
      </c>
      <c r="I292" t="s">
        <v>2033</v>
      </c>
      <c r="J292" t="s">
        <v>117</v>
      </c>
      <c r="L292" t="s">
        <v>1987</v>
      </c>
      <c r="AN292">
        <v>0</v>
      </c>
      <c r="AO292" t="s">
        <v>1834</v>
      </c>
      <c r="AP292" t="s">
        <v>1834</v>
      </c>
      <c r="AQ292">
        <v>0</v>
      </c>
      <c r="AR292" t="s">
        <v>1835</v>
      </c>
    </row>
    <row r="293" spans="1:44" x14ac:dyDescent="0.25">
      <c r="A293" t="s">
        <v>1828</v>
      </c>
      <c r="B293" t="s">
        <v>1829</v>
      </c>
      <c r="D293" t="s">
        <v>2083</v>
      </c>
      <c r="G293" t="str">
        <f>CONCATENATE(Master_Packing_Database[[#This Row],[Exp '#]],Master_Packing_Database[[#This Row],[Batch '#]])</f>
        <v/>
      </c>
      <c r="H293" t="s">
        <v>2359</v>
      </c>
      <c r="I293" t="s">
        <v>2074</v>
      </c>
      <c r="J293" t="s">
        <v>117</v>
      </c>
      <c r="L293" t="s">
        <v>1979</v>
      </c>
      <c r="AN293">
        <v>0</v>
      </c>
      <c r="AO293" t="s">
        <v>1834</v>
      </c>
      <c r="AP293" t="s">
        <v>1834</v>
      </c>
      <c r="AQ293">
        <v>0</v>
      </c>
      <c r="AR293" t="s">
        <v>1835</v>
      </c>
    </row>
    <row r="294" spans="1:44" x14ac:dyDescent="0.25">
      <c r="A294" t="s">
        <v>1828</v>
      </c>
      <c r="B294" t="s">
        <v>1829</v>
      </c>
      <c r="D294" t="s">
        <v>2031</v>
      </c>
      <c r="G294" t="str">
        <f>CONCATENATE(Master_Packing_Database[[#This Row],[Exp '#]],Master_Packing_Database[[#This Row],[Batch '#]])</f>
        <v/>
      </c>
      <c r="H294" t="s">
        <v>2360</v>
      </c>
      <c r="I294" t="s">
        <v>2074</v>
      </c>
      <c r="J294" t="s">
        <v>117</v>
      </c>
      <c r="L294" t="s">
        <v>2010</v>
      </c>
      <c r="AN294">
        <v>0</v>
      </c>
      <c r="AO294" t="s">
        <v>1834</v>
      </c>
      <c r="AP294" t="s">
        <v>1834</v>
      </c>
      <c r="AQ294">
        <v>0</v>
      </c>
      <c r="AR294" t="s">
        <v>1835</v>
      </c>
    </row>
    <row r="295" spans="1:44" x14ac:dyDescent="0.25">
      <c r="A295" t="s">
        <v>1828</v>
      </c>
      <c r="B295" t="s">
        <v>1829</v>
      </c>
      <c r="D295" t="s">
        <v>1976</v>
      </c>
      <c r="G295" t="str">
        <f>CONCATENATE(Master_Packing_Database[[#This Row],[Exp '#]],Master_Packing_Database[[#This Row],[Batch '#]])</f>
        <v/>
      </c>
      <c r="H295" t="s">
        <v>2361</v>
      </c>
      <c r="I295" t="s">
        <v>2362</v>
      </c>
      <c r="J295" t="s">
        <v>366</v>
      </c>
      <c r="L295" t="s">
        <v>2010</v>
      </c>
      <c r="AN295">
        <v>0</v>
      </c>
      <c r="AO295" t="s">
        <v>1834</v>
      </c>
      <c r="AP295" t="s">
        <v>1834</v>
      </c>
      <c r="AQ295">
        <v>0</v>
      </c>
      <c r="AR295" t="s">
        <v>1835</v>
      </c>
    </row>
    <row r="296" spans="1:44" x14ac:dyDescent="0.25">
      <c r="A296" t="s">
        <v>1828</v>
      </c>
      <c r="B296" t="s">
        <v>1829</v>
      </c>
      <c r="D296" t="s">
        <v>1976</v>
      </c>
      <c r="G296" t="str">
        <f>CONCATENATE(Master_Packing_Database[[#This Row],[Exp '#]],Master_Packing_Database[[#This Row],[Batch '#]])</f>
        <v/>
      </c>
      <c r="H296" t="s">
        <v>2363</v>
      </c>
      <c r="I296" t="s">
        <v>2364</v>
      </c>
      <c r="J296" t="s">
        <v>366</v>
      </c>
      <c r="L296" t="s">
        <v>1987</v>
      </c>
      <c r="AN296">
        <v>0</v>
      </c>
      <c r="AO296" t="s">
        <v>1834</v>
      </c>
      <c r="AP296" t="s">
        <v>1834</v>
      </c>
      <c r="AQ296">
        <v>0</v>
      </c>
      <c r="AR296" t="s">
        <v>1835</v>
      </c>
    </row>
    <row r="297" spans="1:44" x14ac:dyDescent="0.25">
      <c r="A297" t="s">
        <v>1828</v>
      </c>
      <c r="B297" t="s">
        <v>1829</v>
      </c>
      <c r="D297" t="s">
        <v>1976</v>
      </c>
      <c r="G297" t="str">
        <f>CONCATENATE(Master_Packing_Database[[#This Row],[Exp '#]],Master_Packing_Database[[#This Row],[Batch '#]])</f>
        <v/>
      </c>
      <c r="H297" t="s">
        <v>2363</v>
      </c>
      <c r="I297" t="s">
        <v>2364</v>
      </c>
      <c r="J297" t="s">
        <v>366</v>
      </c>
      <c r="L297" t="s">
        <v>1987</v>
      </c>
      <c r="AN297">
        <v>0</v>
      </c>
      <c r="AO297" t="s">
        <v>1834</v>
      </c>
      <c r="AP297" t="s">
        <v>1834</v>
      </c>
      <c r="AQ297">
        <v>0</v>
      </c>
      <c r="AR297" t="s">
        <v>1835</v>
      </c>
    </row>
    <row r="298" spans="1:44" x14ac:dyDescent="0.25">
      <c r="A298" t="s">
        <v>1828</v>
      </c>
      <c r="B298" t="s">
        <v>1829</v>
      </c>
      <c r="D298" t="s">
        <v>1886</v>
      </c>
      <c r="G298" t="str">
        <f>CONCATENATE(Master_Packing_Database[[#This Row],[Exp '#]],Master_Packing_Database[[#This Row],[Batch '#]])</f>
        <v/>
      </c>
      <c r="H298" t="s">
        <v>2365</v>
      </c>
      <c r="I298" t="s">
        <v>2366</v>
      </c>
      <c r="J298" t="s">
        <v>117</v>
      </c>
      <c r="L298" t="s">
        <v>1833</v>
      </c>
      <c r="AN298">
        <v>0</v>
      </c>
      <c r="AO298" t="s">
        <v>1834</v>
      </c>
      <c r="AP298" t="s">
        <v>1834</v>
      </c>
      <c r="AQ298">
        <v>0</v>
      </c>
      <c r="AR298" t="s">
        <v>1835</v>
      </c>
    </row>
    <row r="299" spans="1:44" x14ac:dyDescent="0.25">
      <c r="A299" t="s">
        <v>1828</v>
      </c>
      <c r="B299" t="s">
        <v>1829</v>
      </c>
      <c r="D299" t="s">
        <v>1843</v>
      </c>
      <c r="G299" t="str">
        <f>CONCATENATE(Master_Packing_Database[[#This Row],[Exp '#]],Master_Packing_Database[[#This Row],[Batch '#]])</f>
        <v/>
      </c>
      <c r="H299" t="s">
        <v>2367</v>
      </c>
      <c r="I299" t="s">
        <v>2368</v>
      </c>
      <c r="J299" t="s">
        <v>366</v>
      </c>
      <c r="L299" t="s">
        <v>2198</v>
      </c>
      <c r="AN299">
        <v>0</v>
      </c>
      <c r="AO299" t="s">
        <v>1834</v>
      </c>
      <c r="AP299" t="s">
        <v>1834</v>
      </c>
      <c r="AQ299">
        <v>0</v>
      </c>
      <c r="AR299" t="s">
        <v>1835</v>
      </c>
    </row>
    <row r="300" spans="1:44" x14ac:dyDescent="0.25">
      <c r="A300" t="s">
        <v>1828</v>
      </c>
      <c r="B300" t="s">
        <v>1829</v>
      </c>
      <c r="D300" t="s">
        <v>1918</v>
      </c>
      <c r="G300" t="str">
        <f>CONCATENATE(Master_Packing_Database[[#This Row],[Exp '#]],Master_Packing_Database[[#This Row],[Batch '#]])</f>
        <v/>
      </c>
      <c r="H300" t="s">
        <v>2369</v>
      </c>
      <c r="I300" t="s">
        <v>2370</v>
      </c>
      <c r="J300" t="s">
        <v>366</v>
      </c>
      <c r="L300" t="s">
        <v>1833</v>
      </c>
      <c r="AN300">
        <v>0</v>
      </c>
      <c r="AO300" t="s">
        <v>1834</v>
      </c>
      <c r="AP300" t="s">
        <v>1834</v>
      </c>
      <c r="AQ300">
        <v>0</v>
      </c>
      <c r="AR300" t="s">
        <v>1835</v>
      </c>
    </row>
    <row r="301" spans="1:44" x14ac:dyDescent="0.25">
      <c r="A301" t="s">
        <v>1828</v>
      </c>
      <c r="B301" t="s">
        <v>1829</v>
      </c>
      <c r="D301" t="s">
        <v>2008</v>
      </c>
      <c r="G301" t="str">
        <f>CONCATENATE(Master_Packing_Database[[#This Row],[Exp '#]],Master_Packing_Database[[#This Row],[Batch '#]])</f>
        <v/>
      </c>
      <c r="H301" t="s">
        <v>2371</v>
      </c>
      <c r="I301" t="s">
        <v>2090</v>
      </c>
      <c r="J301" t="s">
        <v>117</v>
      </c>
      <c r="L301" t="s">
        <v>1849</v>
      </c>
      <c r="AN301">
        <v>0</v>
      </c>
      <c r="AO301" t="s">
        <v>1834</v>
      </c>
      <c r="AP301" t="s">
        <v>1834</v>
      </c>
      <c r="AQ301">
        <v>0</v>
      </c>
      <c r="AR301" t="s">
        <v>1835</v>
      </c>
    </row>
    <row r="302" spans="1:44" x14ac:dyDescent="0.25">
      <c r="A302" t="s">
        <v>1828</v>
      </c>
      <c r="B302" t="s">
        <v>1829</v>
      </c>
      <c r="D302" t="s">
        <v>2036</v>
      </c>
      <c r="G302" t="str">
        <f>CONCATENATE(Master_Packing_Database[[#This Row],[Exp '#]],Master_Packing_Database[[#This Row],[Batch '#]])</f>
        <v/>
      </c>
      <c r="H302" t="s">
        <v>2372</v>
      </c>
      <c r="I302" t="s">
        <v>696</v>
      </c>
      <c r="J302" t="s">
        <v>366</v>
      </c>
      <c r="L302" t="s">
        <v>521</v>
      </c>
      <c r="AN302">
        <v>0</v>
      </c>
      <c r="AO302" t="s">
        <v>1834</v>
      </c>
      <c r="AP302" t="s">
        <v>1834</v>
      </c>
      <c r="AQ302">
        <v>0</v>
      </c>
      <c r="AR302" t="s">
        <v>1835</v>
      </c>
    </row>
    <row r="303" spans="1:44" x14ac:dyDescent="0.25">
      <c r="A303" t="s">
        <v>1828</v>
      </c>
      <c r="B303" t="s">
        <v>1829</v>
      </c>
      <c r="D303" t="s">
        <v>2373</v>
      </c>
      <c r="G303" t="str">
        <f>CONCATENATE(Master_Packing_Database[[#This Row],[Exp '#]],Master_Packing_Database[[#This Row],[Batch '#]])</f>
        <v/>
      </c>
      <c r="H303" t="s">
        <v>2374</v>
      </c>
      <c r="I303" t="s">
        <v>2375</v>
      </c>
      <c r="J303" t="s">
        <v>366</v>
      </c>
      <c r="L303" t="s">
        <v>1860</v>
      </c>
      <c r="AN303">
        <v>0</v>
      </c>
      <c r="AO303" t="s">
        <v>1834</v>
      </c>
      <c r="AP303" t="s">
        <v>1834</v>
      </c>
      <c r="AQ303">
        <v>0</v>
      </c>
      <c r="AR303" t="s">
        <v>1835</v>
      </c>
    </row>
    <row r="304" spans="1:44" x14ac:dyDescent="0.25">
      <c r="A304" t="s">
        <v>1828</v>
      </c>
      <c r="B304" t="s">
        <v>1829</v>
      </c>
      <c r="D304" t="s">
        <v>2126</v>
      </c>
      <c r="G304" t="str">
        <f>CONCATENATE(Master_Packing_Database[[#This Row],[Exp '#]],Master_Packing_Database[[#This Row],[Batch '#]])</f>
        <v/>
      </c>
      <c r="H304" t="s">
        <v>2376</v>
      </c>
      <c r="I304" t="s">
        <v>2377</v>
      </c>
      <c r="J304" t="s">
        <v>117</v>
      </c>
      <c r="L304" t="s">
        <v>2337</v>
      </c>
      <c r="AN304">
        <v>0</v>
      </c>
      <c r="AO304" t="s">
        <v>1834</v>
      </c>
      <c r="AP304" t="s">
        <v>1834</v>
      </c>
      <c r="AQ304">
        <v>0</v>
      </c>
      <c r="AR304" t="s">
        <v>1835</v>
      </c>
    </row>
    <row r="305" spans="1:44" x14ac:dyDescent="0.25">
      <c r="A305" t="s">
        <v>1828</v>
      </c>
      <c r="B305" t="s">
        <v>1829</v>
      </c>
      <c r="D305" t="s">
        <v>2378</v>
      </c>
      <c r="G305" t="str">
        <f>CONCATENATE(Master_Packing_Database[[#This Row],[Exp '#]],Master_Packing_Database[[#This Row],[Batch '#]])</f>
        <v/>
      </c>
      <c r="H305" t="s">
        <v>2379</v>
      </c>
      <c r="I305" t="s">
        <v>1970</v>
      </c>
      <c r="J305" t="s">
        <v>117</v>
      </c>
      <c r="L305" t="s">
        <v>1849</v>
      </c>
      <c r="AN305">
        <v>0</v>
      </c>
      <c r="AO305" t="s">
        <v>1834</v>
      </c>
      <c r="AP305" t="s">
        <v>1834</v>
      </c>
      <c r="AQ305">
        <v>0</v>
      </c>
      <c r="AR305" t="s">
        <v>1835</v>
      </c>
    </row>
    <row r="306" spans="1:44" x14ac:dyDescent="0.25">
      <c r="A306" t="s">
        <v>1828</v>
      </c>
      <c r="B306" t="s">
        <v>1829</v>
      </c>
      <c r="D306" t="s">
        <v>2373</v>
      </c>
      <c r="G306" t="str">
        <f>CONCATENATE(Master_Packing_Database[[#This Row],[Exp '#]],Master_Packing_Database[[#This Row],[Batch '#]])</f>
        <v/>
      </c>
      <c r="H306" t="s">
        <v>2380</v>
      </c>
      <c r="I306" t="s">
        <v>2381</v>
      </c>
      <c r="J306" t="s">
        <v>366</v>
      </c>
      <c r="L306" t="s">
        <v>1860</v>
      </c>
      <c r="AN306">
        <v>0</v>
      </c>
      <c r="AO306" t="s">
        <v>1834</v>
      </c>
      <c r="AP306" t="s">
        <v>1834</v>
      </c>
      <c r="AQ306">
        <v>0</v>
      </c>
      <c r="AR306" t="s">
        <v>1835</v>
      </c>
    </row>
    <row r="307" spans="1:44" x14ac:dyDescent="0.25">
      <c r="A307" t="s">
        <v>1828</v>
      </c>
      <c r="B307" t="s">
        <v>1829</v>
      </c>
      <c r="D307" t="s">
        <v>2382</v>
      </c>
      <c r="G307" t="str">
        <f>CONCATENATE(Master_Packing_Database[[#This Row],[Exp '#]],Master_Packing_Database[[#This Row],[Batch '#]])</f>
        <v/>
      </c>
      <c r="H307" t="s">
        <v>2383</v>
      </c>
      <c r="I307" t="s">
        <v>1931</v>
      </c>
      <c r="J307" t="s">
        <v>117</v>
      </c>
      <c r="L307" t="s">
        <v>1849</v>
      </c>
      <c r="AN307">
        <v>0</v>
      </c>
      <c r="AO307" t="s">
        <v>1834</v>
      </c>
      <c r="AP307" t="s">
        <v>1834</v>
      </c>
      <c r="AQ307">
        <v>0</v>
      </c>
      <c r="AR307" t="s">
        <v>1835</v>
      </c>
    </row>
    <row r="308" spans="1:44" x14ac:dyDescent="0.25">
      <c r="A308" t="s">
        <v>1828</v>
      </c>
      <c r="B308" t="s">
        <v>1829</v>
      </c>
      <c r="D308" t="s">
        <v>1941</v>
      </c>
      <c r="G308" t="str">
        <f>CONCATENATE(Master_Packing_Database[[#This Row],[Exp '#]],Master_Packing_Database[[#This Row],[Batch '#]])</f>
        <v/>
      </c>
      <c r="H308" t="s">
        <v>2384</v>
      </c>
      <c r="I308" t="s">
        <v>1897</v>
      </c>
      <c r="J308" t="s">
        <v>117</v>
      </c>
      <c r="L308" t="s">
        <v>1849</v>
      </c>
      <c r="AN308">
        <v>0</v>
      </c>
      <c r="AO308" t="s">
        <v>1834</v>
      </c>
      <c r="AP308" t="s">
        <v>1834</v>
      </c>
      <c r="AQ308">
        <v>0</v>
      </c>
      <c r="AR308" t="s">
        <v>1835</v>
      </c>
    </row>
    <row r="309" spans="1:44" x14ac:dyDescent="0.25">
      <c r="A309" t="s">
        <v>1828</v>
      </c>
      <c r="B309" t="s">
        <v>1829</v>
      </c>
      <c r="D309" t="s">
        <v>1965</v>
      </c>
      <c r="G309" t="str">
        <f>CONCATENATE(Master_Packing_Database[[#This Row],[Exp '#]],Master_Packing_Database[[#This Row],[Batch '#]])</f>
        <v/>
      </c>
      <c r="H309" t="s">
        <v>2385</v>
      </c>
      <c r="I309" t="s">
        <v>2085</v>
      </c>
      <c r="J309" t="s">
        <v>117</v>
      </c>
      <c r="L309" t="s">
        <v>1849</v>
      </c>
      <c r="AN309">
        <v>0</v>
      </c>
      <c r="AO309" t="s">
        <v>1834</v>
      </c>
      <c r="AP309" t="s">
        <v>1834</v>
      </c>
      <c r="AQ309">
        <v>0</v>
      </c>
      <c r="AR309" t="s">
        <v>1835</v>
      </c>
    </row>
    <row r="310" spans="1:44" x14ac:dyDescent="0.25">
      <c r="A310" t="s">
        <v>1828</v>
      </c>
      <c r="B310" t="s">
        <v>1829</v>
      </c>
      <c r="D310" t="s">
        <v>1850</v>
      </c>
      <c r="G310" t="str">
        <f>CONCATENATE(Master_Packing_Database[[#This Row],[Exp '#]],Master_Packing_Database[[#This Row],[Batch '#]])</f>
        <v/>
      </c>
      <c r="H310" t="s">
        <v>2386</v>
      </c>
      <c r="I310" t="s">
        <v>2033</v>
      </c>
      <c r="J310" t="s">
        <v>117</v>
      </c>
      <c r="L310" t="s">
        <v>1849</v>
      </c>
      <c r="AN310">
        <v>0</v>
      </c>
      <c r="AO310" t="s">
        <v>1834</v>
      </c>
      <c r="AP310" t="s">
        <v>1834</v>
      </c>
      <c r="AQ310">
        <v>0</v>
      </c>
      <c r="AR310" t="s">
        <v>1835</v>
      </c>
    </row>
    <row r="311" spans="1:44" x14ac:dyDescent="0.25">
      <c r="A311" t="s">
        <v>1828</v>
      </c>
      <c r="B311" t="s">
        <v>1829</v>
      </c>
      <c r="D311" t="s">
        <v>2036</v>
      </c>
      <c r="G311" t="str">
        <f>CONCATENATE(Master_Packing_Database[[#This Row],[Exp '#]],Master_Packing_Database[[#This Row],[Batch '#]])</f>
        <v/>
      </c>
      <c r="H311" t="s">
        <v>2387</v>
      </c>
      <c r="I311" t="s">
        <v>2047</v>
      </c>
      <c r="J311" t="s">
        <v>117</v>
      </c>
      <c r="L311" t="s">
        <v>2111</v>
      </c>
      <c r="AN311">
        <v>0</v>
      </c>
      <c r="AO311" t="s">
        <v>1834</v>
      </c>
      <c r="AP311" t="s">
        <v>1834</v>
      </c>
      <c r="AQ311">
        <v>0</v>
      </c>
      <c r="AR311" t="s">
        <v>1835</v>
      </c>
    </row>
    <row r="312" spans="1:44" x14ac:dyDescent="0.25">
      <c r="A312" t="s">
        <v>1828</v>
      </c>
      <c r="B312" t="s">
        <v>1829</v>
      </c>
      <c r="D312" t="s">
        <v>2333</v>
      </c>
      <c r="G312" t="str">
        <f>CONCATENATE(Master_Packing_Database[[#This Row],[Exp '#]],Master_Packing_Database[[#This Row],[Batch '#]])</f>
        <v/>
      </c>
      <c r="H312" t="s">
        <v>2388</v>
      </c>
      <c r="I312" t="s">
        <v>2074</v>
      </c>
      <c r="J312" t="s">
        <v>117</v>
      </c>
      <c r="L312" t="s">
        <v>1979</v>
      </c>
      <c r="AN312">
        <v>0</v>
      </c>
      <c r="AO312" t="s">
        <v>1834</v>
      </c>
      <c r="AP312" t="s">
        <v>1834</v>
      </c>
      <c r="AQ312">
        <v>0</v>
      </c>
      <c r="AR312" t="s">
        <v>1835</v>
      </c>
    </row>
    <row r="313" spans="1:44" x14ac:dyDescent="0.25">
      <c r="A313" t="s">
        <v>1828</v>
      </c>
      <c r="B313" t="s">
        <v>1829</v>
      </c>
      <c r="D313" t="s">
        <v>2008</v>
      </c>
      <c r="G313" t="str">
        <f>CONCATENATE(Master_Packing_Database[[#This Row],[Exp '#]],Master_Packing_Database[[#This Row],[Batch '#]])</f>
        <v/>
      </c>
      <c r="H313" t="s">
        <v>2389</v>
      </c>
      <c r="I313" t="s">
        <v>2090</v>
      </c>
      <c r="J313" t="s">
        <v>117</v>
      </c>
      <c r="L313" t="s">
        <v>1849</v>
      </c>
      <c r="AN313">
        <v>0</v>
      </c>
      <c r="AO313" t="s">
        <v>1834</v>
      </c>
      <c r="AP313" t="s">
        <v>1834</v>
      </c>
      <c r="AQ313">
        <v>0</v>
      </c>
      <c r="AR313" t="s">
        <v>1835</v>
      </c>
    </row>
    <row r="314" spans="1:44" x14ac:dyDescent="0.25">
      <c r="A314" t="s">
        <v>1828</v>
      </c>
      <c r="B314" t="s">
        <v>1829</v>
      </c>
      <c r="D314" t="s">
        <v>2126</v>
      </c>
      <c r="G314" t="str">
        <f>CONCATENATE(Master_Packing_Database[[#This Row],[Exp '#]],Master_Packing_Database[[#This Row],[Batch '#]])</f>
        <v/>
      </c>
      <c r="H314" t="s">
        <v>2390</v>
      </c>
      <c r="I314" t="s">
        <v>2391</v>
      </c>
      <c r="J314" t="s">
        <v>366</v>
      </c>
      <c r="L314" t="s">
        <v>521</v>
      </c>
      <c r="AN314">
        <v>0</v>
      </c>
      <c r="AO314" t="s">
        <v>1834</v>
      </c>
      <c r="AP314" t="s">
        <v>1834</v>
      </c>
      <c r="AQ314">
        <v>0</v>
      </c>
      <c r="AR314" t="s">
        <v>1835</v>
      </c>
    </row>
    <row r="315" spans="1:44" x14ac:dyDescent="0.25">
      <c r="A315" t="s">
        <v>1828</v>
      </c>
      <c r="B315" t="s">
        <v>1829</v>
      </c>
      <c r="D315" t="s">
        <v>1918</v>
      </c>
      <c r="G315" t="str">
        <f>CONCATENATE(Master_Packing_Database[[#This Row],[Exp '#]],Master_Packing_Database[[#This Row],[Batch '#]])</f>
        <v/>
      </c>
      <c r="H315" t="s">
        <v>2392</v>
      </c>
      <c r="I315" t="s">
        <v>2188</v>
      </c>
      <c r="J315" t="s">
        <v>366</v>
      </c>
      <c r="L315" t="s">
        <v>1833</v>
      </c>
      <c r="AN315">
        <v>0</v>
      </c>
      <c r="AO315" t="s">
        <v>1834</v>
      </c>
      <c r="AP315" t="s">
        <v>1834</v>
      </c>
      <c r="AQ315">
        <v>0</v>
      </c>
      <c r="AR315" t="s">
        <v>1835</v>
      </c>
    </row>
    <row r="316" spans="1:44" x14ac:dyDescent="0.25">
      <c r="A316" t="s">
        <v>1828</v>
      </c>
      <c r="B316" t="s">
        <v>1829</v>
      </c>
      <c r="D316" t="s">
        <v>2344</v>
      </c>
      <c r="G316" t="str">
        <f>CONCATENATE(Master_Packing_Database[[#This Row],[Exp '#]],Master_Packing_Database[[#This Row],[Batch '#]])</f>
        <v/>
      </c>
      <c r="H316" t="s">
        <v>2393</v>
      </c>
      <c r="I316" t="s">
        <v>1914</v>
      </c>
      <c r="J316" t="s">
        <v>117</v>
      </c>
      <c r="L316" t="s">
        <v>1849</v>
      </c>
      <c r="AN316">
        <v>0</v>
      </c>
      <c r="AO316" t="s">
        <v>1834</v>
      </c>
      <c r="AP316" t="s">
        <v>1834</v>
      </c>
      <c r="AQ316">
        <v>0</v>
      </c>
      <c r="AR316" t="s">
        <v>1835</v>
      </c>
    </row>
    <row r="317" spans="1:44" x14ac:dyDescent="0.25">
      <c r="A317" t="s">
        <v>1828</v>
      </c>
      <c r="B317" t="s">
        <v>1829</v>
      </c>
      <c r="D317" t="s">
        <v>2394</v>
      </c>
      <c r="G317" t="str">
        <f>CONCATENATE(Master_Packing_Database[[#This Row],[Exp '#]],Master_Packing_Database[[#This Row],[Batch '#]])</f>
        <v/>
      </c>
      <c r="H317" t="s">
        <v>2395</v>
      </c>
      <c r="I317" t="s">
        <v>2396</v>
      </c>
      <c r="J317" t="s">
        <v>117</v>
      </c>
      <c r="L317" t="s">
        <v>1849</v>
      </c>
      <c r="AN317">
        <v>0</v>
      </c>
      <c r="AO317" t="s">
        <v>1834</v>
      </c>
      <c r="AP317" t="s">
        <v>1834</v>
      </c>
      <c r="AQ317">
        <v>0</v>
      </c>
      <c r="AR317" t="s">
        <v>1835</v>
      </c>
    </row>
    <row r="318" spans="1:44" x14ac:dyDescent="0.25">
      <c r="A318" t="s">
        <v>1828</v>
      </c>
      <c r="B318" t="s">
        <v>1829</v>
      </c>
      <c r="D318" t="s">
        <v>2056</v>
      </c>
      <c r="G318" t="str">
        <f>CONCATENATE(Master_Packing_Database[[#This Row],[Exp '#]],Master_Packing_Database[[#This Row],[Batch '#]])</f>
        <v/>
      </c>
      <c r="H318" t="s">
        <v>2397</v>
      </c>
      <c r="I318" t="s">
        <v>2398</v>
      </c>
      <c r="J318" t="s">
        <v>366</v>
      </c>
      <c r="L318" t="s">
        <v>521</v>
      </c>
      <c r="AN318">
        <v>0</v>
      </c>
      <c r="AO318" t="s">
        <v>1834</v>
      </c>
      <c r="AP318" t="s">
        <v>1834</v>
      </c>
      <c r="AQ318">
        <v>0</v>
      </c>
      <c r="AR318" t="s">
        <v>1835</v>
      </c>
    </row>
    <row r="319" spans="1:44" x14ac:dyDescent="0.25">
      <c r="A319" t="s">
        <v>1828</v>
      </c>
      <c r="B319" t="s">
        <v>1829</v>
      </c>
      <c r="D319" t="s">
        <v>2056</v>
      </c>
      <c r="G319" t="str">
        <f>CONCATENATE(Master_Packing_Database[[#This Row],[Exp '#]],Master_Packing_Database[[#This Row],[Batch '#]])</f>
        <v/>
      </c>
      <c r="H319" t="s">
        <v>2294</v>
      </c>
      <c r="I319" t="s">
        <v>2398</v>
      </c>
      <c r="J319" t="s">
        <v>366</v>
      </c>
      <c r="L319" t="s">
        <v>521</v>
      </c>
      <c r="AN319">
        <v>0</v>
      </c>
      <c r="AO319" t="s">
        <v>1834</v>
      </c>
      <c r="AP319" t="s">
        <v>1834</v>
      </c>
      <c r="AQ319">
        <v>0</v>
      </c>
      <c r="AR319" t="s">
        <v>1835</v>
      </c>
    </row>
    <row r="320" spans="1:44" x14ac:dyDescent="0.25">
      <c r="A320" t="s">
        <v>1828</v>
      </c>
      <c r="B320" t="s">
        <v>1829</v>
      </c>
      <c r="D320" t="s">
        <v>2399</v>
      </c>
      <c r="G320" t="str">
        <f>CONCATENATE(Master_Packing_Database[[#This Row],[Exp '#]],Master_Packing_Database[[#This Row],[Batch '#]])</f>
        <v/>
      </c>
      <c r="H320" t="s">
        <v>2400</v>
      </c>
      <c r="I320" t="s">
        <v>1832</v>
      </c>
      <c r="J320" t="s">
        <v>117</v>
      </c>
      <c r="L320" t="s">
        <v>1849</v>
      </c>
      <c r="AN320">
        <v>0</v>
      </c>
      <c r="AO320" t="s">
        <v>1834</v>
      </c>
      <c r="AP320" t="s">
        <v>1834</v>
      </c>
      <c r="AQ320">
        <v>0</v>
      </c>
      <c r="AR320" t="s">
        <v>1835</v>
      </c>
    </row>
    <row r="321" spans="1:44" x14ac:dyDescent="0.25">
      <c r="A321" t="s">
        <v>1828</v>
      </c>
      <c r="B321" t="s">
        <v>1829</v>
      </c>
      <c r="D321" t="s">
        <v>2267</v>
      </c>
      <c r="G321" t="str">
        <f>CONCATENATE(Master_Packing_Database[[#This Row],[Exp '#]],Master_Packing_Database[[#This Row],[Batch '#]])</f>
        <v/>
      </c>
      <c r="H321" t="s">
        <v>2401</v>
      </c>
      <c r="I321" t="s">
        <v>2402</v>
      </c>
      <c r="J321" t="s">
        <v>117</v>
      </c>
      <c r="L321" t="s">
        <v>1979</v>
      </c>
      <c r="AN321">
        <v>0</v>
      </c>
      <c r="AO321" t="s">
        <v>1834</v>
      </c>
      <c r="AP321" t="s">
        <v>1834</v>
      </c>
      <c r="AQ321">
        <v>0</v>
      </c>
      <c r="AR321" t="s">
        <v>1835</v>
      </c>
    </row>
    <row r="322" spans="1:44" x14ac:dyDescent="0.25">
      <c r="A322" t="s">
        <v>1828</v>
      </c>
      <c r="B322" t="s">
        <v>1829</v>
      </c>
      <c r="D322" t="s">
        <v>2394</v>
      </c>
      <c r="G322" t="str">
        <f>CONCATENATE(Master_Packing_Database[[#This Row],[Exp '#]],Master_Packing_Database[[#This Row],[Batch '#]])</f>
        <v/>
      </c>
      <c r="H322" t="s">
        <v>2403</v>
      </c>
      <c r="I322" t="s">
        <v>1970</v>
      </c>
      <c r="J322" t="s">
        <v>117</v>
      </c>
      <c r="L322" t="s">
        <v>1979</v>
      </c>
      <c r="AN322">
        <v>0</v>
      </c>
      <c r="AO322" t="s">
        <v>1834</v>
      </c>
      <c r="AP322" t="s">
        <v>1834</v>
      </c>
      <c r="AQ322">
        <v>0</v>
      </c>
      <c r="AR322" t="s">
        <v>1835</v>
      </c>
    </row>
    <row r="323" spans="1:44" x14ac:dyDescent="0.25">
      <c r="A323" t="s">
        <v>1828</v>
      </c>
      <c r="B323" t="s">
        <v>1829</v>
      </c>
      <c r="D323" t="s">
        <v>2404</v>
      </c>
      <c r="G323" t="str">
        <f>CONCATENATE(Master_Packing_Database[[#This Row],[Exp '#]],Master_Packing_Database[[#This Row],[Batch '#]])</f>
        <v/>
      </c>
      <c r="H323" t="s">
        <v>2405</v>
      </c>
      <c r="I323" t="s">
        <v>1906</v>
      </c>
      <c r="J323" t="s">
        <v>117</v>
      </c>
      <c r="L323" t="s">
        <v>1849</v>
      </c>
      <c r="AN323">
        <v>0</v>
      </c>
      <c r="AO323" t="s">
        <v>1834</v>
      </c>
      <c r="AP323" t="s">
        <v>1834</v>
      </c>
      <c r="AQ323">
        <v>0</v>
      </c>
      <c r="AR323" t="s">
        <v>1835</v>
      </c>
    </row>
    <row r="324" spans="1:44" x14ac:dyDescent="0.25">
      <c r="A324" t="s">
        <v>1828</v>
      </c>
      <c r="B324" t="s">
        <v>1829</v>
      </c>
      <c r="D324" t="s">
        <v>2241</v>
      </c>
      <c r="G324" t="str">
        <f>CONCATENATE(Master_Packing_Database[[#This Row],[Exp '#]],Master_Packing_Database[[#This Row],[Batch '#]])</f>
        <v/>
      </c>
      <c r="H324" t="s">
        <v>2406</v>
      </c>
      <c r="I324" t="s">
        <v>2407</v>
      </c>
      <c r="J324" t="s">
        <v>117</v>
      </c>
      <c r="L324" t="s">
        <v>2408</v>
      </c>
      <c r="AN324">
        <v>0</v>
      </c>
      <c r="AO324" t="s">
        <v>1834</v>
      </c>
      <c r="AP324" t="s">
        <v>1834</v>
      </c>
      <c r="AQ324">
        <v>0</v>
      </c>
      <c r="AR324" t="s">
        <v>1835</v>
      </c>
    </row>
    <row r="325" spans="1:44" x14ac:dyDescent="0.25">
      <c r="A325" t="s">
        <v>1828</v>
      </c>
      <c r="B325" t="s">
        <v>1829</v>
      </c>
      <c r="D325" t="s">
        <v>2373</v>
      </c>
      <c r="G325" t="str">
        <f>CONCATENATE(Master_Packing_Database[[#This Row],[Exp '#]],Master_Packing_Database[[#This Row],[Batch '#]])</f>
        <v/>
      </c>
      <c r="H325" t="s">
        <v>2409</v>
      </c>
      <c r="I325" t="s">
        <v>2410</v>
      </c>
      <c r="J325" t="s">
        <v>366</v>
      </c>
      <c r="L325" t="s">
        <v>1849</v>
      </c>
      <c r="AN325">
        <v>0</v>
      </c>
      <c r="AO325" t="s">
        <v>1834</v>
      </c>
      <c r="AP325" t="s">
        <v>1834</v>
      </c>
      <c r="AQ325">
        <v>0</v>
      </c>
      <c r="AR325" t="s">
        <v>1835</v>
      </c>
    </row>
    <row r="326" spans="1:44" x14ac:dyDescent="0.25">
      <c r="A326" t="s">
        <v>1828</v>
      </c>
      <c r="B326" t="s">
        <v>1829</v>
      </c>
      <c r="D326" t="s">
        <v>2222</v>
      </c>
      <c r="G326" t="str">
        <f>CONCATENATE(Master_Packing_Database[[#This Row],[Exp '#]],Master_Packing_Database[[#This Row],[Batch '#]])</f>
        <v/>
      </c>
      <c r="H326" t="s">
        <v>2411</v>
      </c>
      <c r="I326" t="s">
        <v>1970</v>
      </c>
      <c r="J326" t="s">
        <v>117</v>
      </c>
      <c r="L326" t="s">
        <v>1849</v>
      </c>
      <c r="AN326">
        <v>0</v>
      </c>
      <c r="AO326" t="s">
        <v>1834</v>
      </c>
      <c r="AP326" t="s">
        <v>1834</v>
      </c>
      <c r="AQ326">
        <v>0</v>
      </c>
      <c r="AR326" t="s">
        <v>1835</v>
      </c>
    </row>
    <row r="327" spans="1:44" x14ac:dyDescent="0.25">
      <c r="A327" t="s">
        <v>1828</v>
      </c>
      <c r="B327" t="s">
        <v>1829</v>
      </c>
      <c r="D327" t="s">
        <v>2412</v>
      </c>
      <c r="G327" t="str">
        <f>CONCATENATE(Master_Packing_Database[[#This Row],[Exp '#]],Master_Packing_Database[[#This Row],[Batch '#]])</f>
        <v/>
      </c>
      <c r="H327" t="s">
        <v>2413</v>
      </c>
      <c r="I327" t="s">
        <v>1970</v>
      </c>
      <c r="J327" t="s">
        <v>117</v>
      </c>
      <c r="L327" t="s">
        <v>1849</v>
      </c>
      <c r="AN327">
        <v>0</v>
      </c>
      <c r="AO327" t="s">
        <v>1834</v>
      </c>
      <c r="AP327" t="s">
        <v>1834</v>
      </c>
      <c r="AQ327">
        <v>0</v>
      </c>
      <c r="AR327" t="s">
        <v>1835</v>
      </c>
    </row>
    <row r="328" spans="1:44" x14ac:dyDescent="0.25">
      <c r="A328" t="s">
        <v>1828</v>
      </c>
      <c r="B328" t="s">
        <v>1829</v>
      </c>
      <c r="D328" t="s">
        <v>1965</v>
      </c>
      <c r="G328" t="str">
        <f>CONCATENATE(Master_Packing_Database[[#This Row],[Exp '#]],Master_Packing_Database[[#This Row],[Batch '#]])</f>
        <v/>
      </c>
      <c r="H328" t="s">
        <v>2414</v>
      </c>
      <c r="I328" t="s">
        <v>2074</v>
      </c>
      <c r="J328" t="s">
        <v>117</v>
      </c>
      <c r="L328" t="s">
        <v>2098</v>
      </c>
      <c r="AN328">
        <v>0</v>
      </c>
      <c r="AO328" t="s">
        <v>1834</v>
      </c>
      <c r="AP328" t="s">
        <v>1834</v>
      </c>
      <c r="AQ328">
        <v>0</v>
      </c>
      <c r="AR328" t="s">
        <v>1835</v>
      </c>
    </row>
    <row r="329" spans="1:44" x14ac:dyDescent="0.25">
      <c r="A329" t="s">
        <v>1828</v>
      </c>
      <c r="B329" t="s">
        <v>1829</v>
      </c>
      <c r="D329" t="s">
        <v>1965</v>
      </c>
      <c r="G329" t="str">
        <f>CONCATENATE(Master_Packing_Database[[#This Row],[Exp '#]],Master_Packing_Database[[#This Row],[Batch '#]])</f>
        <v/>
      </c>
      <c r="H329" t="s">
        <v>2415</v>
      </c>
      <c r="I329" t="s">
        <v>2085</v>
      </c>
      <c r="J329" t="s">
        <v>117</v>
      </c>
      <c r="L329" t="s">
        <v>1979</v>
      </c>
      <c r="AN329">
        <v>0</v>
      </c>
      <c r="AO329" t="s">
        <v>1834</v>
      </c>
      <c r="AP329" t="s">
        <v>1834</v>
      </c>
      <c r="AQ329">
        <v>0</v>
      </c>
      <c r="AR329" t="s">
        <v>1835</v>
      </c>
    </row>
    <row r="330" spans="1:44" x14ac:dyDescent="0.25">
      <c r="A330" t="s">
        <v>1828</v>
      </c>
      <c r="B330" t="s">
        <v>1829</v>
      </c>
      <c r="D330" t="s">
        <v>2333</v>
      </c>
      <c r="G330" t="str">
        <f>CONCATENATE(Master_Packing_Database[[#This Row],[Exp '#]],Master_Packing_Database[[#This Row],[Batch '#]])</f>
        <v/>
      </c>
      <c r="H330" t="s">
        <v>2416</v>
      </c>
      <c r="I330" t="s">
        <v>2074</v>
      </c>
      <c r="J330" t="s">
        <v>117</v>
      </c>
      <c r="L330" t="s">
        <v>1979</v>
      </c>
      <c r="AN330">
        <v>0</v>
      </c>
      <c r="AO330" t="s">
        <v>1834</v>
      </c>
      <c r="AP330" t="s">
        <v>1834</v>
      </c>
      <c r="AQ330">
        <v>0</v>
      </c>
      <c r="AR330" t="s">
        <v>1835</v>
      </c>
    </row>
    <row r="331" spans="1:44" x14ac:dyDescent="0.25">
      <c r="A331" t="s">
        <v>1828</v>
      </c>
      <c r="B331" t="s">
        <v>1829</v>
      </c>
      <c r="D331" t="s">
        <v>1941</v>
      </c>
      <c r="G331" t="str">
        <f>CONCATENATE(Master_Packing_Database[[#This Row],[Exp '#]],Master_Packing_Database[[#This Row],[Batch '#]])</f>
        <v/>
      </c>
      <c r="H331" t="s">
        <v>2417</v>
      </c>
      <c r="I331" t="s">
        <v>2418</v>
      </c>
      <c r="J331" t="s">
        <v>117</v>
      </c>
      <c r="L331" t="s">
        <v>1849</v>
      </c>
      <c r="AN331">
        <v>0</v>
      </c>
      <c r="AO331" t="s">
        <v>1834</v>
      </c>
      <c r="AP331" t="s">
        <v>1834</v>
      </c>
      <c r="AQ331">
        <v>0</v>
      </c>
      <c r="AR331" t="s">
        <v>1835</v>
      </c>
    </row>
    <row r="332" spans="1:44" x14ac:dyDescent="0.25">
      <c r="A332" t="s">
        <v>1828</v>
      </c>
      <c r="B332" t="s">
        <v>1829</v>
      </c>
      <c r="D332" t="s">
        <v>1941</v>
      </c>
      <c r="G332" t="str">
        <f>CONCATENATE(Master_Packing_Database[[#This Row],[Exp '#]],Master_Packing_Database[[#This Row],[Batch '#]])</f>
        <v/>
      </c>
      <c r="H332" t="s">
        <v>2419</v>
      </c>
      <c r="I332" t="s">
        <v>2420</v>
      </c>
      <c r="J332" t="s">
        <v>117</v>
      </c>
      <c r="L332" t="s">
        <v>1849</v>
      </c>
      <c r="AN332">
        <v>0</v>
      </c>
      <c r="AO332" t="s">
        <v>1834</v>
      </c>
      <c r="AP332" t="s">
        <v>1834</v>
      </c>
      <c r="AQ332">
        <v>0</v>
      </c>
      <c r="AR332" t="s">
        <v>1835</v>
      </c>
    </row>
    <row r="333" spans="1:44" x14ac:dyDescent="0.25">
      <c r="A333" t="s">
        <v>1828</v>
      </c>
      <c r="B333" t="s">
        <v>1829</v>
      </c>
      <c r="D333" t="s">
        <v>1941</v>
      </c>
      <c r="G333" t="str">
        <f>CONCATENATE(Master_Packing_Database[[#This Row],[Exp '#]],Master_Packing_Database[[#This Row],[Batch '#]])</f>
        <v/>
      </c>
      <c r="H333" t="s">
        <v>2421</v>
      </c>
      <c r="I333" t="s">
        <v>2422</v>
      </c>
      <c r="J333" t="s">
        <v>117</v>
      </c>
      <c r="L333" t="s">
        <v>2296</v>
      </c>
      <c r="AN333">
        <v>0</v>
      </c>
      <c r="AO333" t="s">
        <v>1834</v>
      </c>
      <c r="AP333" t="s">
        <v>1834</v>
      </c>
      <c r="AQ333">
        <v>0</v>
      </c>
      <c r="AR333" t="s">
        <v>1835</v>
      </c>
    </row>
    <row r="334" spans="1:44" x14ac:dyDescent="0.25">
      <c r="A334" t="s">
        <v>1828</v>
      </c>
      <c r="B334" t="s">
        <v>1829</v>
      </c>
      <c r="D334" t="s">
        <v>2423</v>
      </c>
      <c r="G334" t="str">
        <f>CONCATENATE(Master_Packing_Database[[#This Row],[Exp '#]],Master_Packing_Database[[#This Row],[Batch '#]])</f>
        <v/>
      </c>
      <c r="H334" t="s">
        <v>2424</v>
      </c>
      <c r="I334" t="s">
        <v>2425</v>
      </c>
      <c r="J334" t="s">
        <v>117</v>
      </c>
      <c r="L334" t="s">
        <v>521</v>
      </c>
      <c r="AN334">
        <v>0</v>
      </c>
      <c r="AO334" t="s">
        <v>1834</v>
      </c>
      <c r="AP334" t="s">
        <v>1834</v>
      </c>
      <c r="AQ334">
        <v>0</v>
      </c>
      <c r="AR334" t="s">
        <v>1835</v>
      </c>
    </row>
    <row r="335" spans="1:44" x14ac:dyDescent="0.25">
      <c r="A335" t="s">
        <v>1828</v>
      </c>
      <c r="B335" t="s">
        <v>1829</v>
      </c>
      <c r="D335" t="s">
        <v>2139</v>
      </c>
      <c r="G335" t="str">
        <f>CONCATENATE(Master_Packing_Database[[#This Row],[Exp '#]],Master_Packing_Database[[#This Row],[Batch '#]])</f>
        <v/>
      </c>
      <c r="H335" t="s">
        <v>2426</v>
      </c>
      <c r="I335" t="s">
        <v>1970</v>
      </c>
      <c r="J335" t="s">
        <v>117</v>
      </c>
      <c r="L335" t="s">
        <v>1849</v>
      </c>
      <c r="AN335">
        <v>0</v>
      </c>
      <c r="AO335" t="s">
        <v>1834</v>
      </c>
      <c r="AP335" t="s">
        <v>1834</v>
      </c>
      <c r="AQ335">
        <v>0</v>
      </c>
      <c r="AR335" t="s">
        <v>1835</v>
      </c>
    </row>
    <row r="336" spans="1:44" x14ac:dyDescent="0.25">
      <c r="A336" t="s">
        <v>1828</v>
      </c>
      <c r="B336" t="s">
        <v>1829</v>
      </c>
      <c r="D336" t="s">
        <v>2344</v>
      </c>
      <c r="G336" t="str">
        <f>CONCATENATE(Master_Packing_Database[[#This Row],[Exp '#]],Master_Packing_Database[[#This Row],[Batch '#]])</f>
        <v/>
      </c>
      <c r="H336" t="s">
        <v>2427</v>
      </c>
      <c r="I336" t="s">
        <v>1914</v>
      </c>
      <c r="J336" t="s">
        <v>117</v>
      </c>
      <c r="L336" t="s">
        <v>1849</v>
      </c>
      <c r="AN336">
        <v>0</v>
      </c>
      <c r="AO336" t="s">
        <v>1834</v>
      </c>
      <c r="AP336" t="s">
        <v>1834</v>
      </c>
      <c r="AQ336">
        <v>0</v>
      </c>
      <c r="AR336" t="s">
        <v>1835</v>
      </c>
    </row>
    <row r="337" spans="1:44" x14ac:dyDescent="0.25">
      <c r="A337" t="s">
        <v>1828</v>
      </c>
      <c r="B337" t="s">
        <v>1829</v>
      </c>
      <c r="D337" t="s">
        <v>2378</v>
      </c>
      <c r="G337" t="str">
        <f>CONCATENATE(Master_Packing_Database[[#This Row],[Exp '#]],Master_Packing_Database[[#This Row],[Batch '#]])</f>
        <v/>
      </c>
      <c r="H337" t="s">
        <v>2428</v>
      </c>
      <c r="I337" t="s">
        <v>1970</v>
      </c>
      <c r="J337" t="s">
        <v>117</v>
      </c>
      <c r="L337" t="s">
        <v>1849</v>
      </c>
      <c r="AN337">
        <v>0</v>
      </c>
      <c r="AO337" t="s">
        <v>1834</v>
      </c>
      <c r="AP337" t="s">
        <v>1834</v>
      </c>
      <c r="AQ337">
        <v>0</v>
      </c>
      <c r="AR337" t="s">
        <v>1835</v>
      </c>
    </row>
    <row r="338" spans="1:44" x14ac:dyDescent="0.25">
      <c r="A338" t="s">
        <v>1828</v>
      </c>
      <c r="B338" t="s">
        <v>1829</v>
      </c>
      <c r="D338" t="s">
        <v>2378</v>
      </c>
      <c r="G338" t="str">
        <f>CONCATENATE(Master_Packing_Database[[#This Row],[Exp '#]],Master_Packing_Database[[#This Row],[Batch '#]])</f>
        <v/>
      </c>
      <c r="H338" t="s">
        <v>2429</v>
      </c>
      <c r="I338" t="s">
        <v>1970</v>
      </c>
      <c r="J338" t="s">
        <v>117</v>
      </c>
      <c r="L338" t="s">
        <v>1849</v>
      </c>
      <c r="AN338">
        <v>0</v>
      </c>
      <c r="AO338" t="s">
        <v>1834</v>
      </c>
      <c r="AP338" t="s">
        <v>1834</v>
      </c>
      <c r="AQ338">
        <v>0</v>
      </c>
      <c r="AR338" t="s">
        <v>1835</v>
      </c>
    </row>
    <row r="339" spans="1:44" x14ac:dyDescent="0.25">
      <c r="A339" t="s">
        <v>1828</v>
      </c>
      <c r="B339" t="s">
        <v>1829</v>
      </c>
      <c r="D339" t="s">
        <v>1976</v>
      </c>
      <c r="G339" t="str">
        <f>CONCATENATE(Master_Packing_Database[[#This Row],[Exp '#]],Master_Packing_Database[[#This Row],[Batch '#]])</f>
        <v/>
      </c>
      <c r="H339" t="s">
        <v>2430</v>
      </c>
      <c r="I339" t="s">
        <v>2095</v>
      </c>
      <c r="J339" t="s">
        <v>366</v>
      </c>
      <c r="L339" t="s">
        <v>1833</v>
      </c>
      <c r="AN339">
        <v>0</v>
      </c>
      <c r="AO339" t="s">
        <v>1834</v>
      </c>
      <c r="AP339" t="s">
        <v>1834</v>
      </c>
      <c r="AQ339">
        <v>0</v>
      </c>
      <c r="AR339" t="s">
        <v>1835</v>
      </c>
    </row>
    <row r="340" spans="1:44" x14ac:dyDescent="0.25">
      <c r="A340" t="s">
        <v>1828</v>
      </c>
      <c r="B340" t="s">
        <v>1829</v>
      </c>
      <c r="D340" t="s">
        <v>2399</v>
      </c>
      <c r="G340" t="str">
        <f>CONCATENATE(Master_Packing_Database[[#This Row],[Exp '#]],Master_Packing_Database[[#This Row],[Batch '#]])</f>
        <v/>
      </c>
      <c r="H340" t="s">
        <v>2431</v>
      </c>
      <c r="I340" t="s">
        <v>2047</v>
      </c>
      <c r="J340" t="s">
        <v>117</v>
      </c>
      <c r="L340" t="s">
        <v>1849</v>
      </c>
      <c r="AN340">
        <v>0</v>
      </c>
      <c r="AO340" t="s">
        <v>1834</v>
      </c>
      <c r="AP340" t="s">
        <v>1834</v>
      </c>
      <c r="AQ340">
        <v>0</v>
      </c>
      <c r="AR340" t="s">
        <v>1835</v>
      </c>
    </row>
    <row r="341" spans="1:44" x14ac:dyDescent="0.25">
      <c r="A341" t="s">
        <v>1828</v>
      </c>
      <c r="B341" t="s">
        <v>1829</v>
      </c>
      <c r="D341" t="s">
        <v>2378</v>
      </c>
      <c r="G341" t="str">
        <f>CONCATENATE(Master_Packing_Database[[#This Row],[Exp '#]],Master_Packing_Database[[#This Row],[Batch '#]])</f>
        <v/>
      </c>
      <c r="H341" t="s">
        <v>2432</v>
      </c>
      <c r="I341" t="s">
        <v>1832</v>
      </c>
      <c r="J341" t="s">
        <v>117</v>
      </c>
      <c r="L341" t="s">
        <v>1849</v>
      </c>
      <c r="AN341">
        <v>0</v>
      </c>
      <c r="AO341" t="s">
        <v>1834</v>
      </c>
      <c r="AP341" t="s">
        <v>1834</v>
      </c>
      <c r="AQ341">
        <v>0</v>
      </c>
      <c r="AR341" t="s">
        <v>1835</v>
      </c>
    </row>
    <row r="342" spans="1:44" x14ac:dyDescent="0.25">
      <c r="A342" t="s">
        <v>1828</v>
      </c>
      <c r="B342" t="s">
        <v>1829</v>
      </c>
      <c r="D342" t="s">
        <v>2433</v>
      </c>
      <c r="G342" t="str">
        <f>CONCATENATE(Master_Packing_Database[[#This Row],[Exp '#]],Master_Packing_Database[[#This Row],[Batch '#]])</f>
        <v/>
      </c>
      <c r="H342" t="s">
        <v>2434</v>
      </c>
      <c r="I342" t="s">
        <v>1914</v>
      </c>
      <c r="J342" t="s">
        <v>117</v>
      </c>
      <c r="L342" t="s">
        <v>1849</v>
      </c>
      <c r="AN342">
        <v>0</v>
      </c>
      <c r="AO342" t="s">
        <v>1834</v>
      </c>
      <c r="AP342" t="s">
        <v>1834</v>
      </c>
      <c r="AQ342">
        <v>0</v>
      </c>
      <c r="AR342" t="s">
        <v>1835</v>
      </c>
    </row>
    <row r="343" spans="1:44" x14ac:dyDescent="0.25">
      <c r="A343" t="s">
        <v>1828</v>
      </c>
      <c r="B343" t="s">
        <v>1829</v>
      </c>
      <c r="D343" t="s">
        <v>1965</v>
      </c>
      <c r="G343" t="str">
        <f>CONCATENATE(Master_Packing_Database[[#This Row],[Exp '#]],Master_Packing_Database[[#This Row],[Batch '#]])</f>
        <v/>
      </c>
      <c r="H343" t="s">
        <v>2435</v>
      </c>
      <c r="I343" t="s">
        <v>2074</v>
      </c>
      <c r="J343" t="s">
        <v>117</v>
      </c>
      <c r="L343" t="s">
        <v>2098</v>
      </c>
      <c r="AN343">
        <v>0</v>
      </c>
      <c r="AO343" t="s">
        <v>1834</v>
      </c>
      <c r="AP343" t="s">
        <v>1834</v>
      </c>
      <c r="AQ343">
        <v>0</v>
      </c>
      <c r="AR343" t="s">
        <v>1835</v>
      </c>
    </row>
    <row r="344" spans="1:44" x14ac:dyDescent="0.25">
      <c r="A344" t="s">
        <v>1828</v>
      </c>
      <c r="B344" t="s">
        <v>1829</v>
      </c>
      <c r="D344" t="s">
        <v>2021</v>
      </c>
      <c r="G344" t="str">
        <f>CONCATENATE(Master_Packing_Database[[#This Row],[Exp '#]],Master_Packing_Database[[#This Row],[Batch '#]])</f>
        <v/>
      </c>
      <c r="H344" t="s">
        <v>2436</v>
      </c>
      <c r="I344" t="s">
        <v>2377</v>
      </c>
      <c r="J344" t="s">
        <v>117</v>
      </c>
      <c r="L344" t="s">
        <v>1833</v>
      </c>
      <c r="AN344">
        <v>0</v>
      </c>
      <c r="AO344" t="s">
        <v>1834</v>
      </c>
      <c r="AP344" t="s">
        <v>1834</v>
      </c>
      <c r="AQ344">
        <v>0</v>
      </c>
      <c r="AR344" t="s">
        <v>1835</v>
      </c>
    </row>
    <row r="345" spans="1:44" x14ac:dyDescent="0.25">
      <c r="A345" t="s">
        <v>1828</v>
      </c>
      <c r="B345" t="s">
        <v>1829</v>
      </c>
      <c r="D345" t="s">
        <v>2021</v>
      </c>
      <c r="G345" t="str">
        <f>CONCATENATE(Master_Packing_Database[[#This Row],[Exp '#]],Master_Packing_Database[[#This Row],[Batch '#]])</f>
        <v/>
      </c>
      <c r="H345" t="s">
        <v>2437</v>
      </c>
      <c r="I345" t="s">
        <v>2438</v>
      </c>
      <c r="J345" t="s">
        <v>117</v>
      </c>
      <c r="L345" t="s">
        <v>1833</v>
      </c>
      <c r="AN345">
        <v>0</v>
      </c>
      <c r="AO345" t="s">
        <v>1834</v>
      </c>
      <c r="AP345" t="s">
        <v>1834</v>
      </c>
      <c r="AQ345">
        <v>0</v>
      </c>
      <c r="AR345" t="s">
        <v>1835</v>
      </c>
    </row>
    <row r="346" spans="1:44" x14ac:dyDescent="0.25">
      <c r="A346" t="s">
        <v>1828</v>
      </c>
      <c r="B346" t="s">
        <v>1829</v>
      </c>
      <c r="D346" t="s">
        <v>2423</v>
      </c>
      <c r="G346" t="str">
        <f>CONCATENATE(Master_Packing_Database[[#This Row],[Exp '#]],Master_Packing_Database[[#This Row],[Batch '#]])</f>
        <v/>
      </c>
      <c r="H346" t="s">
        <v>2439</v>
      </c>
      <c r="I346" t="s">
        <v>2440</v>
      </c>
      <c r="J346" t="s">
        <v>117</v>
      </c>
      <c r="L346" t="s">
        <v>521</v>
      </c>
      <c r="AN346">
        <v>0</v>
      </c>
      <c r="AO346" t="s">
        <v>1834</v>
      </c>
      <c r="AP346" t="s">
        <v>1834</v>
      </c>
      <c r="AQ346">
        <v>0</v>
      </c>
      <c r="AR346" t="s">
        <v>1835</v>
      </c>
    </row>
    <row r="347" spans="1:44" x14ac:dyDescent="0.25">
      <c r="A347" t="s">
        <v>1828</v>
      </c>
      <c r="B347" t="s">
        <v>1829</v>
      </c>
      <c r="D347" t="s">
        <v>2441</v>
      </c>
      <c r="G347" t="str">
        <f>CONCATENATE(Master_Packing_Database[[#This Row],[Exp '#]],Master_Packing_Database[[#This Row],[Batch '#]])</f>
        <v/>
      </c>
      <c r="H347" t="s">
        <v>2442</v>
      </c>
      <c r="I347" t="s">
        <v>1914</v>
      </c>
      <c r="J347" t="s">
        <v>117</v>
      </c>
      <c r="L347" t="s">
        <v>2443</v>
      </c>
      <c r="AN347">
        <v>0</v>
      </c>
      <c r="AO347" t="s">
        <v>1834</v>
      </c>
      <c r="AP347" t="s">
        <v>1834</v>
      </c>
      <c r="AQ347">
        <v>0</v>
      </c>
      <c r="AR347" t="s">
        <v>1835</v>
      </c>
    </row>
    <row r="348" spans="1:44" x14ac:dyDescent="0.25">
      <c r="A348" t="s">
        <v>1828</v>
      </c>
      <c r="B348" t="s">
        <v>1829</v>
      </c>
      <c r="D348" t="s">
        <v>2444</v>
      </c>
      <c r="G348" t="str">
        <f>CONCATENATE(Master_Packing_Database[[#This Row],[Exp '#]],Master_Packing_Database[[#This Row],[Batch '#]])</f>
        <v/>
      </c>
      <c r="H348" t="s">
        <v>2445</v>
      </c>
      <c r="I348" t="s">
        <v>2446</v>
      </c>
      <c r="J348" t="s">
        <v>117</v>
      </c>
      <c r="L348" t="s">
        <v>1833</v>
      </c>
      <c r="AN348">
        <v>0</v>
      </c>
      <c r="AO348" t="s">
        <v>1834</v>
      </c>
      <c r="AP348" t="s">
        <v>1834</v>
      </c>
      <c r="AQ348">
        <v>0</v>
      </c>
      <c r="AR348" t="s">
        <v>1835</v>
      </c>
    </row>
    <row r="349" spans="1:44" x14ac:dyDescent="0.25">
      <c r="A349" t="s">
        <v>1828</v>
      </c>
      <c r="B349" t="s">
        <v>1829</v>
      </c>
      <c r="D349" t="s">
        <v>2373</v>
      </c>
      <c r="G349" t="str">
        <f>CONCATENATE(Master_Packing_Database[[#This Row],[Exp '#]],Master_Packing_Database[[#This Row],[Batch '#]])</f>
        <v/>
      </c>
      <c r="H349" t="s">
        <v>2447</v>
      </c>
      <c r="I349" t="s">
        <v>2074</v>
      </c>
      <c r="J349" t="s">
        <v>117</v>
      </c>
      <c r="L349" t="s">
        <v>2212</v>
      </c>
      <c r="AN349">
        <v>0</v>
      </c>
      <c r="AO349" t="s">
        <v>1834</v>
      </c>
      <c r="AP349" t="s">
        <v>1834</v>
      </c>
      <c r="AQ349">
        <v>0</v>
      </c>
      <c r="AR349" t="s">
        <v>1835</v>
      </c>
    </row>
    <row r="350" spans="1:44" x14ac:dyDescent="0.25">
      <c r="A350" t="s">
        <v>1828</v>
      </c>
      <c r="B350" t="s">
        <v>1829</v>
      </c>
      <c r="D350" t="s">
        <v>2373</v>
      </c>
      <c r="G350" t="str">
        <f>CONCATENATE(Master_Packing_Database[[#This Row],[Exp '#]],Master_Packing_Database[[#This Row],[Batch '#]])</f>
        <v/>
      </c>
      <c r="H350" t="s">
        <v>2448</v>
      </c>
      <c r="I350" t="s">
        <v>2449</v>
      </c>
      <c r="J350" t="s">
        <v>366</v>
      </c>
      <c r="L350" t="s">
        <v>1860</v>
      </c>
      <c r="AN350">
        <v>0</v>
      </c>
      <c r="AO350" t="s">
        <v>1834</v>
      </c>
      <c r="AP350" t="s">
        <v>1834</v>
      </c>
      <c r="AQ350">
        <v>0</v>
      </c>
      <c r="AR350" t="s">
        <v>1835</v>
      </c>
    </row>
    <row r="351" spans="1:44" x14ac:dyDescent="0.25">
      <c r="A351" t="s">
        <v>1828</v>
      </c>
      <c r="B351" t="s">
        <v>1829</v>
      </c>
      <c r="D351" t="s">
        <v>2344</v>
      </c>
      <c r="G351" t="str">
        <f>CONCATENATE(Master_Packing_Database[[#This Row],[Exp '#]],Master_Packing_Database[[#This Row],[Batch '#]])</f>
        <v/>
      </c>
      <c r="H351" t="s">
        <v>2450</v>
      </c>
      <c r="I351" t="s">
        <v>2451</v>
      </c>
      <c r="J351" t="s">
        <v>117</v>
      </c>
      <c r="L351" t="s">
        <v>1849</v>
      </c>
      <c r="AN351">
        <v>0</v>
      </c>
      <c r="AO351" t="s">
        <v>1834</v>
      </c>
      <c r="AP351" t="s">
        <v>1834</v>
      </c>
      <c r="AQ351">
        <v>0</v>
      </c>
      <c r="AR351" t="s">
        <v>1835</v>
      </c>
    </row>
    <row r="352" spans="1:44" x14ac:dyDescent="0.25">
      <c r="A352" t="s">
        <v>1828</v>
      </c>
      <c r="B352" t="s">
        <v>1829</v>
      </c>
      <c r="D352" t="s">
        <v>2267</v>
      </c>
      <c r="G352" t="str">
        <f>CONCATENATE(Master_Packing_Database[[#This Row],[Exp '#]],Master_Packing_Database[[#This Row],[Batch '#]])</f>
        <v/>
      </c>
      <c r="H352" t="s">
        <v>2452</v>
      </c>
      <c r="I352" t="s">
        <v>2402</v>
      </c>
      <c r="J352" t="s">
        <v>117</v>
      </c>
      <c r="L352" t="s">
        <v>1849</v>
      </c>
      <c r="AN352">
        <v>0</v>
      </c>
      <c r="AO352" t="s">
        <v>1834</v>
      </c>
      <c r="AP352" t="s">
        <v>1834</v>
      </c>
      <c r="AQ352">
        <v>0</v>
      </c>
      <c r="AR352" t="s">
        <v>1835</v>
      </c>
    </row>
    <row r="353" spans="1:44" x14ac:dyDescent="0.25">
      <c r="A353" t="s">
        <v>1828</v>
      </c>
      <c r="B353" t="s">
        <v>1829</v>
      </c>
      <c r="D353" t="s">
        <v>2453</v>
      </c>
      <c r="G353" t="str">
        <f>CONCATENATE(Master_Packing_Database[[#This Row],[Exp '#]],Master_Packing_Database[[#This Row],[Batch '#]])</f>
        <v/>
      </c>
      <c r="H353" t="s">
        <v>2454</v>
      </c>
      <c r="I353" t="s">
        <v>2455</v>
      </c>
      <c r="J353" t="s">
        <v>366</v>
      </c>
      <c r="L353" t="s">
        <v>1860</v>
      </c>
      <c r="AN353">
        <v>0</v>
      </c>
      <c r="AO353" t="s">
        <v>1834</v>
      </c>
      <c r="AP353" t="s">
        <v>1834</v>
      </c>
      <c r="AQ353">
        <v>0</v>
      </c>
      <c r="AR353" t="s">
        <v>1835</v>
      </c>
    </row>
    <row r="354" spans="1:44" x14ac:dyDescent="0.25">
      <c r="A354" t="s">
        <v>1828</v>
      </c>
      <c r="B354" t="s">
        <v>1829</v>
      </c>
      <c r="D354" t="s">
        <v>2344</v>
      </c>
      <c r="G354" t="str">
        <f>CONCATENATE(Master_Packing_Database[[#This Row],[Exp '#]],Master_Packing_Database[[#This Row],[Batch '#]])</f>
        <v/>
      </c>
      <c r="H354" t="s">
        <v>2456</v>
      </c>
      <c r="I354" t="s">
        <v>2457</v>
      </c>
      <c r="J354" t="s">
        <v>117</v>
      </c>
      <c r="L354" t="s">
        <v>1849</v>
      </c>
      <c r="AN354">
        <v>0</v>
      </c>
      <c r="AO354" t="s">
        <v>1834</v>
      </c>
      <c r="AP354" t="s">
        <v>1834</v>
      </c>
      <c r="AQ354">
        <v>0</v>
      </c>
      <c r="AR354" t="s">
        <v>1835</v>
      </c>
    </row>
    <row r="355" spans="1:44" x14ac:dyDescent="0.25">
      <c r="A355" t="s">
        <v>1828</v>
      </c>
      <c r="B355" t="s">
        <v>1829</v>
      </c>
      <c r="D355" t="s">
        <v>2458</v>
      </c>
      <c r="G355" t="str">
        <f>CONCATENATE(Master_Packing_Database[[#This Row],[Exp '#]],Master_Packing_Database[[#This Row],[Batch '#]])</f>
        <v/>
      </c>
      <c r="H355" t="s">
        <v>2459</v>
      </c>
      <c r="I355" t="s">
        <v>2460</v>
      </c>
      <c r="J355" t="s">
        <v>117</v>
      </c>
      <c r="L355" t="s">
        <v>1987</v>
      </c>
      <c r="AN355">
        <v>0</v>
      </c>
      <c r="AO355" t="s">
        <v>1834</v>
      </c>
      <c r="AP355" t="s">
        <v>1834</v>
      </c>
      <c r="AQ355">
        <v>0</v>
      </c>
      <c r="AR355" t="s">
        <v>1835</v>
      </c>
    </row>
    <row r="356" spans="1:44" x14ac:dyDescent="0.25">
      <c r="A356" t="s">
        <v>1828</v>
      </c>
      <c r="B356" t="s">
        <v>1829</v>
      </c>
      <c r="D356" t="s">
        <v>2461</v>
      </c>
      <c r="G356" t="str">
        <f>CONCATENATE(Master_Packing_Database[[#This Row],[Exp '#]],Master_Packing_Database[[#This Row],[Batch '#]])</f>
        <v/>
      </c>
      <c r="H356" t="s">
        <v>2462</v>
      </c>
      <c r="I356" t="s">
        <v>2463</v>
      </c>
      <c r="J356" t="s">
        <v>117</v>
      </c>
      <c r="L356" t="s">
        <v>1849</v>
      </c>
      <c r="AN356">
        <v>0</v>
      </c>
      <c r="AO356" t="s">
        <v>1834</v>
      </c>
      <c r="AP356" t="s">
        <v>1834</v>
      </c>
      <c r="AQ356">
        <v>0</v>
      </c>
      <c r="AR356" t="s">
        <v>1835</v>
      </c>
    </row>
    <row r="357" spans="1:44" x14ac:dyDescent="0.25">
      <c r="A357" t="s">
        <v>1828</v>
      </c>
      <c r="B357" t="s">
        <v>1829</v>
      </c>
      <c r="D357" t="s">
        <v>2461</v>
      </c>
      <c r="G357" t="str">
        <f>CONCATENATE(Master_Packing_Database[[#This Row],[Exp '#]],Master_Packing_Database[[#This Row],[Batch '#]])</f>
        <v/>
      </c>
      <c r="H357" t="s">
        <v>2462</v>
      </c>
      <c r="I357" t="s">
        <v>2463</v>
      </c>
      <c r="J357" t="s">
        <v>117</v>
      </c>
      <c r="L357" t="s">
        <v>1849</v>
      </c>
      <c r="AN357">
        <v>0</v>
      </c>
      <c r="AO357" t="s">
        <v>1834</v>
      </c>
      <c r="AP357" t="s">
        <v>1834</v>
      </c>
      <c r="AQ357">
        <v>0</v>
      </c>
      <c r="AR357" t="s">
        <v>1835</v>
      </c>
    </row>
    <row r="358" spans="1:44" x14ac:dyDescent="0.25">
      <c r="A358" t="s">
        <v>1828</v>
      </c>
      <c r="B358" t="s">
        <v>1829</v>
      </c>
      <c r="D358" t="s">
        <v>2373</v>
      </c>
      <c r="G358" t="str">
        <f>CONCATENATE(Master_Packing_Database[[#This Row],[Exp '#]],Master_Packing_Database[[#This Row],[Batch '#]])</f>
        <v/>
      </c>
      <c r="H358" t="s">
        <v>2464</v>
      </c>
      <c r="I358" t="s">
        <v>2047</v>
      </c>
      <c r="J358" t="s">
        <v>1849</v>
      </c>
      <c r="L358" t="s">
        <v>2212</v>
      </c>
      <c r="AN358">
        <v>0</v>
      </c>
      <c r="AO358" t="s">
        <v>1834</v>
      </c>
      <c r="AP358" t="s">
        <v>1834</v>
      </c>
      <c r="AQ358">
        <v>0</v>
      </c>
      <c r="AR358" t="s">
        <v>1835</v>
      </c>
    </row>
    <row r="359" spans="1:44" x14ac:dyDescent="0.25">
      <c r="A359" t="s">
        <v>1828</v>
      </c>
      <c r="B359" t="s">
        <v>1829</v>
      </c>
      <c r="D359" t="s">
        <v>2222</v>
      </c>
      <c r="G359" t="str">
        <f>CONCATENATE(Master_Packing_Database[[#This Row],[Exp '#]],Master_Packing_Database[[#This Row],[Batch '#]])</f>
        <v/>
      </c>
      <c r="H359" t="s">
        <v>2465</v>
      </c>
      <c r="I359" t="s">
        <v>2090</v>
      </c>
      <c r="J359" t="s">
        <v>117</v>
      </c>
      <c r="L359" t="s">
        <v>1849</v>
      </c>
      <c r="AN359">
        <v>0</v>
      </c>
      <c r="AO359" t="s">
        <v>1834</v>
      </c>
      <c r="AP359" t="s">
        <v>1834</v>
      </c>
      <c r="AQ359">
        <v>0</v>
      </c>
      <c r="AR359" t="s">
        <v>1835</v>
      </c>
    </row>
    <row r="360" spans="1:44" x14ac:dyDescent="0.25">
      <c r="A360" t="s">
        <v>1828</v>
      </c>
      <c r="B360" t="s">
        <v>1829</v>
      </c>
      <c r="D360" t="s">
        <v>2222</v>
      </c>
      <c r="G360" t="str">
        <f>CONCATENATE(Master_Packing_Database[[#This Row],[Exp '#]],Master_Packing_Database[[#This Row],[Batch '#]])</f>
        <v/>
      </c>
      <c r="H360" t="s">
        <v>2466</v>
      </c>
      <c r="I360" t="s">
        <v>2467</v>
      </c>
      <c r="J360" t="s">
        <v>117</v>
      </c>
      <c r="L360" t="s">
        <v>1849</v>
      </c>
      <c r="AN360">
        <v>0</v>
      </c>
      <c r="AO360" t="s">
        <v>1834</v>
      </c>
      <c r="AP360" t="s">
        <v>1834</v>
      </c>
      <c r="AQ360">
        <v>0</v>
      </c>
      <c r="AR360" t="s">
        <v>1835</v>
      </c>
    </row>
    <row r="361" spans="1:44" x14ac:dyDescent="0.25">
      <c r="A361" t="s">
        <v>1828</v>
      </c>
      <c r="B361" t="s">
        <v>1829</v>
      </c>
      <c r="D361" t="s">
        <v>1965</v>
      </c>
      <c r="G361" t="str">
        <f>CONCATENATE(Master_Packing_Database[[#This Row],[Exp '#]],Master_Packing_Database[[#This Row],[Batch '#]])</f>
        <v/>
      </c>
      <c r="H361" t="s">
        <v>2468</v>
      </c>
      <c r="I361" t="s">
        <v>2074</v>
      </c>
      <c r="J361" t="s">
        <v>117</v>
      </c>
      <c r="L361" t="s">
        <v>2248</v>
      </c>
      <c r="AN361">
        <v>0</v>
      </c>
      <c r="AO361" t="s">
        <v>1834</v>
      </c>
      <c r="AP361" t="s">
        <v>1834</v>
      </c>
      <c r="AQ361">
        <v>0</v>
      </c>
      <c r="AR361" t="s">
        <v>1835</v>
      </c>
    </row>
    <row r="362" spans="1:44" x14ac:dyDescent="0.25">
      <c r="A362" t="s">
        <v>1828</v>
      </c>
      <c r="B362" t="s">
        <v>1829</v>
      </c>
      <c r="D362" t="s">
        <v>1965</v>
      </c>
      <c r="G362" t="str">
        <f>CONCATENATE(Master_Packing_Database[[#This Row],[Exp '#]],Master_Packing_Database[[#This Row],[Batch '#]])</f>
        <v/>
      </c>
      <c r="H362" t="s">
        <v>2469</v>
      </c>
      <c r="I362" t="s">
        <v>2085</v>
      </c>
      <c r="J362" t="s">
        <v>117</v>
      </c>
      <c r="L362" t="s">
        <v>1979</v>
      </c>
      <c r="AN362">
        <v>0</v>
      </c>
      <c r="AO362" t="s">
        <v>1834</v>
      </c>
      <c r="AP362" t="s">
        <v>1834</v>
      </c>
      <c r="AQ362">
        <v>0</v>
      </c>
      <c r="AR362" t="s">
        <v>1835</v>
      </c>
    </row>
    <row r="363" spans="1:44" x14ac:dyDescent="0.25">
      <c r="A363" t="s">
        <v>1828</v>
      </c>
      <c r="B363" t="s">
        <v>1829</v>
      </c>
      <c r="D363" t="s">
        <v>1915</v>
      </c>
      <c r="G363" t="str">
        <f>CONCATENATE(Master_Packing_Database[[#This Row],[Exp '#]],Master_Packing_Database[[#This Row],[Batch '#]])</f>
        <v/>
      </c>
      <c r="H363" t="s">
        <v>2470</v>
      </c>
      <c r="I363" t="s">
        <v>2377</v>
      </c>
      <c r="J363" t="s">
        <v>117</v>
      </c>
      <c r="L363" t="s">
        <v>1849</v>
      </c>
      <c r="AN363">
        <v>0</v>
      </c>
      <c r="AO363" t="s">
        <v>1834</v>
      </c>
      <c r="AP363" t="s">
        <v>1834</v>
      </c>
      <c r="AQ363">
        <v>0</v>
      </c>
      <c r="AR363" t="s">
        <v>1835</v>
      </c>
    </row>
    <row r="364" spans="1:44" x14ac:dyDescent="0.25">
      <c r="A364" t="s">
        <v>1828</v>
      </c>
      <c r="B364" t="s">
        <v>1829</v>
      </c>
      <c r="D364" t="s">
        <v>1850</v>
      </c>
      <c r="G364" t="str">
        <f>CONCATENATE(Master_Packing_Database[[#This Row],[Exp '#]],Master_Packing_Database[[#This Row],[Batch '#]])</f>
        <v/>
      </c>
      <c r="H364" t="s">
        <v>2471</v>
      </c>
      <c r="I364" t="s">
        <v>2074</v>
      </c>
      <c r="J364" t="s">
        <v>117</v>
      </c>
      <c r="L364" t="s">
        <v>1849</v>
      </c>
      <c r="AN364">
        <v>0</v>
      </c>
      <c r="AO364" t="s">
        <v>1834</v>
      </c>
      <c r="AP364" t="s">
        <v>1834</v>
      </c>
      <c r="AQ364">
        <v>0</v>
      </c>
      <c r="AR364" t="s">
        <v>1835</v>
      </c>
    </row>
    <row r="365" spans="1:44" x14ac:dyDescent="0.25">
      <c r="A365" t="s">
        <v>1828</v>
      </c>
      <c r="B365" t="s">
        <v>1829</v>
      </c>
      <c r="D365" t="s">
        <v>1843</v>
      </c>
      <c r="G365" t="str">
        <f>CONCATENATE(Master_Packing_Database[[#This Row],[Exp '#]],Master_Packing_Database[[#This Row],[Batch '#]])</f>
        <v/>
      </c>
      <c r="H365" t="s">
        <v>1851</v>
      </c>
      <c r="I365" t="s">
        <v>2472</v>
      </c>
      <c r="J365" t="s">
        <v>366</v>
      </c>
      <c r="L365" t="s">
        <v>521</v>
      </c>
      <c r="AN365">
        <v>0</v>
      </c>
      <c r="AO365" t="s">
        <v>1834</v>
      </c>
      <c r="AP365" t="s">
        <v>1834</v>
      </c>
      <c r="AQ365">
        <v>0</v>
      </c>
      <c r="AR365" t="s">
        <v>1835</v>
      </c>
    </row>
    <row r="366" spans="1:44" x14ac:dyDescent="0.25">
      <c r="A366" t="s">
        <v>1828</v>
      </c>
      <c r="B366" t="s">
        <v>1829</v>
      </c>
      <c r="D366" t="s">
        <v>2036</v>
      </c>
      <c r="G366" t="str">
        <f>CONCATENATE(Master_Packing_Database[[#This Row],[Exp '#]],Master_Packing_Database[[#This Row],[Batch '#]])</f>
        <v/>
      </c>
      <c r="H366" t="s">
        <v>2473</v>
      </c>
      <c r="I366" t="s">
        <v>2474</v>
      </c>
      <c r="J366" t="s">
        <v>117</v>
      </c>
      <c r="L366" t="s">
        <v>1849</v>
      </c>
      <c r="AN366">
        <v>0</v>
      </c>
      <c r="AO366" t="s">
        <v>1834</v>
      </c>
      <c r="AP366" t="s">
        <v>1834</v>
      </c>
      <c r="AQ366">
        <v>0</v>
      </c>
      <c r="AR366" t="s">
        <v>1835</v>
      </c>
    </row>
    <row r="367" spans="1:44" x14ac:dyDescent="0.25">
      <c r="A367" t="s">
        <v>1828</v>
      </c>
      <c r="B367" t="s">
        <v>1829</v>
      </c>
      <c r="D367" t="s">
        <v>2036</v>
      </c>
      <c r="G367" t="str">
        <f>CONCATENATE(Master_Packing_Database[[#This Row],[Exp '#]],Master_Packing_Database[[#This Row],[Batch '#]])</f>
        <v/>
      </c>
      <c r="H367" t="s">
        <v>2475</v>
      </c>
      <c r="I367" t="s">
        <v>1840</v>
      </c>
      <c r="J367" t="s">
        <v>117</v>
      </c>
      <c r="L367" t="s">
        <v>1849</v>
      </c>
      <c r="AN367">
        <v>0</v>
      </c>
      <c r="AO367" t="s">
        <v>1834</v>
      </c>
      <c r="AP367" t="s">
        <v>1834</v>
      </c>
      <c r="AQ367">
        <v>0</v>
      </c>
      <c r="AR367" t="s">
        <v>1835</v>
      </c>
    </row>
    <row r="368" spans="1:44" x14ac:dyDescent="0.25">
      <c r="A368" t="s">
        <v>1828</v>
      </c>
      <c r="B368" t="s">
        <v>1829</v>
      </c>
      <c r="D368" t="s">
        <v>2373</v>
      </c>
      <c r="G368" t="str">
        <f>CONCATENATE(Master_Packing_Database[[#This Row],[Exp '#]],Master_Packing_Database[[#This Row],[Batch '#]])</f>
        <v/>
      </c>
      <c r="H368" t="s">
        <v>2476</v>
      </c>
      <c r="I368" t="s">
        <v>2477</v>
      </c>
      <c r="J368" t="s">
        <v>366</v>
      </c>
      <c r="L368" t="s">
        <v>1860</v>
      </c>
      <c r="AN368">
        <v>0</v>
      </c>
      <c r="AO368" t="s">
        <v>1834</v>
      </c>
      <c r="AP368" t="s">
        <v>1834</v>
      </c>
      <c r="AQ368">
        <v>0</v>
      </c>
      <c r="AR368" t="s">
        <v>1835</v>
      </c>
    </row>
    <row r="369" spans="1:44" x14ac:dyDescent="0.25">
      <c r="A369" t="s">
        <v>1828</v>
      </c>
      <c r="B369" t="s">
        <v>1829</v>
      </c>
      <c r="D369" t="s">
        <v>2478</v>
      </c>
      <c r="G369" t="str">
        <f>CONCATENATE(Master_Packing_Database[[#This Row],[Exp '#]],Master_Packing_Database[[#This Row],[Batch '#]])</f>
        <v/>
      </c>
      <c r="H369" t="s">
        <v>2479</v>
      </c>
      <c r="I369" t="s">
        <v>2480</v>
      </c>
      <c r="J369" t="s">
        <v>117</v>
      </c>
      <c r="L369" t="s">
        <v>1849</v>
      </c>
      <c r="AN369">
        <v>0</v>
      </c>
      <c r="AO369" t="s">
        <v>1834</v>
      </c>
      <c r="AP369" t="s">
        <v>1834</v>
      </c>
      <c r="AQ369">
        <v>0</v>
      </c>
      <c r="AR369" t="s">
        <v>1835</v>
      </c>
    </row>
    <row r="370" spans="1:44" x14ac:dyDescent="0.25">
      <c r="A370" t="s">
        <v>1828</v>
      </c>
      <c r="B370" t="s">
        <v>1829</v>
      </c>
      <c r="D370" t="s">
        <v>2458</v>
      </c>
      <c r="G370" t="str">
        <f>CONCATENATE(Master_Packing_Database[[#This Row],[Exp '#]],Master_Packing_Database[[#This Row],[Batch '#]])</f>
        <v/>
      </c>
      <c r="H370" t="s">
        <v>2481</v>
      </c>
      <c r="I370" t="s">
        <v>2482</v>
      </c>
      <c r="J370" t="s">
        <v>117</v>
      </c>
      <c r="L370" t="s">
        <v>1860</v>
      </c>
      <c r="AN370">
        <v>0</v>
      </c>
      <c r="AO370" t="s">
        <v>1834</v>
      </c>
      <c r="AP370" t="s">
        <v>1834</v>
      </c>
      <c r="AQ370">
        <v>0</v>
      </c>
      <c r="AR370" t="s">
        <v>1835</v>
      </c>
    </row>
    <row r="371" spans="1:44" x14ac:dyDescent="0.25">
      <c r="A371" t="s">
        <v>1828</v>
      </c>
      <c r="B371" t="s">
        <v>1829</v>
      </c>
      <c r="D371" t="s">
        <v>1918</v>
      </c>
      <c r="G371" t="str">
        <f>CONCATENATE(Master_Packing_Database[[#This Row],[Exp '#]],Master_Packing_Database[[#This Row],[Batch '#]])</f>
        <v/>
      </c>
      <c r="H371" t="s">
        <v>2483</v>
      </c>
      <c r="I371" t="s">
        <v>2484</v>
      </c>
      <c r="J371" t="s">
        <v>117</v>
      </c>
      <c r="L371" t="s">
        <v>1849</v>
      </c>
      <c r="AN371">
        <v>0</v>
      </c>
      <c r="AO371" t="s">
        <v>1834</v>
      </c>
      <c r="AP371" t="s">
        <v>1834</v>
      </c>
      <c r="AQ371">
        <v>0</v>
      </c>
      <c r="AR371" t="s">
        <v>1835</v>
      </c>
    </row>
    <row r="372" spans="1:44" x14ac:dyDescent="0.25">
      <c r="A372" t="s">
        <v>1828</v>
      </c>
      <c r="B372" t="s">
        <v>1829</v>
      </c>
      <c r="D372" t="s">
        <v>2344</v>
      </c>
      <c r="G372" t="str">
        <f>CONCATENATE(Master_Packing_Database[[#This Row],[Exp '#]],Master_Packing_Database[[#This Row],[Batch '#]])</f>
        <v/>
      </c>
      <c r="H372" t="s">
        <v>2485</v>
      </c>
      <c r="I372" t="s">
        <v>2486</v>
      </c>
      <c r="J372" t="s">
        <v>117</v>
      </c>
      <c r="L372" t="s">
        <v>1849</v>
      </c>
      <c r="AN372">
        <v>0</v>
      </c>
      <c r="AO372" t="s">
        <v>1834</v>
      </c>
      <c r="AP372" t="s">
        <v>1834</v>
      </c>
      <c r="AQ372">
        <v>0</v>
      </c>
      <c r="AR372" t="s">
        <v>1835</v>
      </c>
    </row>
    <row r="373" spans="1:44" x14ac:dyDescent="0.25">
      <c r="A373" t="s">
        <v>1828</v>
      </c>
      <c r="B373" t="s">
        <v>1829</v>
      </c>
      <c r="D373" t="s">
        <v>2404</v>
      </c>
      <c r="G373" t="str">
        <f>CONCATENATE(Master_Packing_Database[[#This Row],[Exp '#]],Master_Packing_Database[[#This Row],[Batch '#]])</f>
        <v/>
      </c>
      <c r="H373" t="s">
        <v>2487</v>
      </c>
      <c r="I373" t="s">
        <v>2488</v>
      </c>
      <c r="J373" t="s">
        <v>117</v>
      </c>
      <c r="L373" t="s">
        <v>1849</v>
      </c>
      <c r="AN373">
        <v>0</v>
      </c>
      <c r="AO373" t="s">
        <v>1834</v>
      </c>
      <c r="AP373" t="s">
        <v>1834</v>
      </c>
      <c r="AQ373">
        <v>0</v>
      </c>
      <c r="AR373" t="s">
        <v>1835</v>
      </c>
    </row>
    <row r="374" spans="1:44" x14ac:dyDescent="0.25">
      <c r="A374" t="s">
        <v>1828</v>
      </c>
      <c r="B374" t="s">
        <v>1829</v>
      </c>
      <c r="D374" t="s">
        <v>2344</v>
      </c>
      <c r="G374" t="str">
        <f>CONCATENATE(Master_Packing_Database[[#This Row],[Exp '#]],Master_Packing_Database[[#This Row],[Batch '#]])</f>
        <v/>
      </c>
      <c r="H374" t="s">
        <v>2489</v>
      </c>
      <c r="I374" t="s">
        <v>2490</v>
      </c>
      <c r="J374" t="s">
        <v>117</v>
      </c>
      <c r="L374" t="s">
        <v>1849</v>
      </c>
      <c r="AN374">
        <v>0</v>
      </c>
      <c r="AO374" t="s">
        <v>1834</v>
      </c>
      <c r="AP374" t="s">
        <v>1834</v>
      </c>
      <c r="AQ374">
        <v>0</v>
      </c>
      <c r="AR374" t="s">
        <v>1835</v>
      </c>
    </row>
    <row r="375" spans="1:44" x14ac:dyDescent="0.25">
      <c r="A375" t="s">
        <v>1828</v>
      </c>
      <c r="B375" t="s">
        <v>1829</v>
      </c>
      <c r="D375" t="s">
        <v>1886</v>
      </c>
      <c r="G375" t="str">
        <f>CONCATENATE(Master_Packing_Database[[#This Row],[Exp '#]],Master_Packing_Database[[#This Row],[Batch '#]])</f>
        <v/>
      </c>
      <c r="H375" t="s">
        <v>2491</v>
      </c>
      <c r="I375" t="s">
        <v>2492</v>
      </c>
      <c r="J375" t="s">
        <v>117</v>
      </c>
      <c r="L375" t="s">
        <v>521</v>
      </c>
      <c r="AN375">
        <v>0</v>
      </c>
      <c r="AO375" t="s">
        <v>1834</v>
      </c>
      <c r="AP375" t="s">
        <v>1834</v>
      </c>
      <c r="AQ375">
        <v>0</v>
      </c>
      <c r="AR375" t="s">
        <v>1835</v>
      </c>
    </row>
    <row r="376" spans="1:44" x14ac:dyDescent="0.25">
      <c r="A376" t="s">
        <v>1828</v>
      </c>
      <c r="B376" t="s">
        <v>1829</v>
      </c>
      <c r="D376" t="s">
        <v>2234</v>
      </c>
      <c r="G376" t="str">
        <f>CONCATENATE(Master_Packing_Database[[#This Row],[Exp '#]],Master_Packing_Database[[#This Row],[Batch '#]])</f>
        <v/>
      </c>
      <c r="H376" t="s">
        <v>2493</v>
      </c>
      <c r="I376" t="s">
        <v>1970</v>
      </c>
      <c r="J376" t="s">
        <v>117</v>
      </c>
      <c r="L376" t="s">
        <v>1979</v>
      </c>
      <c r="AN376">
        <v>0</v>
      </c>
      <c r="AO376" t="s">
        <v>1834</v>
      </c>
      <c r="AP376" t="s">
        <v>1834</v>
      </c>
      <c r="AQ376">
        <v>0</v>
      </c>
      <c r="AR376" t="s">
        <v>1835</v>
      </c>
    </row>
    <row r="377" spans="1:44" x14ac:dyDescent="0.25">
      <c r="A377" t="s">
        <v>1828</v>
      </c>
      <c r="B377" t="s">
        <v>1829</v>
      </c>
      <c r="D377" t="s">
        <v>2461</v>
      </c>
      <c r="G377" t="str">
        <f>CONCATENATE(Master_Packing_Database[[#This Row],[Exp '#]],Master_Packing_Database[[#This Row],[Batch '#]])</f>
        <v/>
      </c>
      <c r="H377" t="s">
        <v>2494</v>
      </c>
      <c r="I377" t="s">
        <v>2495</v>
      </c>
      <c r="J377" t="s">
        <v>117</v>
      </c>
      <c r="L377" t="s">
        <v>1849</v>
      </c>
      <c r="AN377">
        <v>0</v>
      </c>
      <c r="AO377" t="s">
        <v>1834</v>
      </c>
      <c r="AP377" t="s">
        <v>1834</v>
      </c>
      <c r="AQ377">
        <v>0</v>
      </c>
      <c r="AR377" t="s">
        <v>1835</v>
      </c>
    </row>
    <row r="378" spans="1:44" x14ac:dyDescent="0.25">
      <c r="A378" t="s">
        <v>1828</v>
      </c>
      <c r="B378" t="s">
        <v>1829</v>
      </c>
      <c r="D378" t="s">
        <v>2496</v>
      </c>
      <c r="G378" t="str">
        <f>CONCATENATE(Master_Packing_Database[[#This Row],[Exp '#]],Master_Packing_Database[[#This Row],[Batch '#]])</f>
        <v/>
      </c>
      <c r="H378" t="s">
        <v>2497</v>
      </c>
      <c r="I378" t="s">
        <v>2498</v>
      </c>
      <c r="J378" t="s">
        <v>117</v>
      </c>
      <c r="L378" t="s">
        <v>521</v>
      </c>
      <c r="AN378">
        <v>0</v>
      </c>
      <c r="AO378" t="s">
        <v>1834</v>
      </c>
      <c r="AP378" t="s">
        <v>1834</v>
      </c>
      <c r="AQ378">
        <v>0</v>
      </c>
      <c r="AR378" t="s">
        <v>1835</v>
      </c>
    </row>
    <row r="379" spans="1:44" x14ac:dyDescent="0.25">
      <c r="A379" t="s">
        <v>1828</v>
      </c>
      <c r="B379" t="s">
        <v>1829</v>
      </c>
      <c r="D379" t="s">
        <v>2453</v>
      </c>
      <c r="G379" t="str">
        <f>CONCATENATE(Master_Packing_Database[[#This Row],[Exp '#]],Master_Packing_Database[[#This Row],[Batch '#]])</f>
        <v/>
      </c>
      <c r="H379" t="s">
        <v>2499</v>
      </c>
      <c r="I379" t="s">
        <v>2500</v>
      </c>
      <c r="J379" t="s">
        <v>366</v>
      </c>
      <c r="L379" t="s">
        <v>1860</v>
      </c>
      <c r="AN379">
        <v>0</v>
      </c>
      <c r="AO379" t="s">
        <v>1834</v>
      </c>
      <c r="AP379" t="s">
        <v>1834</v>
      </c>
      <c r="AQ379">
        <v>0</v>
      </c>
      <c r="AR379" t="s">
        <v>1835</v>
      </c>
    </row>
    <row r="380" spans="1:44" x14ac:dyDescent="0.25">
      <c r="A380" t="s">
        <v>1828</v>
      </c>
      <c r="B380" t="s">
        <v>1829</v>
      </c>
      <c r="D380" t="s">
        <v>2501</v>
      </c>
      <c r="G380" t="str">
        <f>CONCATENATE(Master_Packing_Database[[#This Row],[Exp '#]],Master_Packing_Database[[#This Row],[Batch '#]])</f>
        <v/>
      </c>
      <c r="H380" t="s">
        <v>2502</v>
      </c>
      <c r="I380" t="s">
        <v>2503</v>
      </c>
      <c r="J380" t="s">
        <v>117</v>
      </c>
      <c r="L380" t="s">
        <v>1849</v>
      </c>
      <c r="AN380">
        <v>0</v>
      </c>
      <c r="AO380" t="s">
        <v>1834</v>
      </c>
      <c r="AP380" t="s">
        <v>1834</v>
      </c>
      <c r="AQ380">
        <v>0</v>
      </c>
      <c r="AR380" t="s">
        <v>1835</v>
      </c>
    </row>
    <row r="381" spans="1:44" x14ac:dyDescent="0.25">
      <c r="A381" t="s">
        <v>1828</v>
      </c>
      <c r="B381" t="s">
        <v>1829</v>
      </c>
      <c r="D381" t="s">
        <v>2324</v>
      </c>
      <c r="G381" t="str">
        <f>CONCATENATE(Master_Packing_Database[[#This Row],[Exp '#]],Master_Packing_Database[[#This Row],[Batch '#]])</f>
        <v/>
      </c>
      <c r="H381" t="s">
        <v>2504</v>
      </c>
      <c r="I381" t="s">
        <v>2090</v>
      </c>
      <c r="J381" t="s">
        <v>117</v>
      </c>
      <c r="L381" t="s">
        <v>1979</v>
      </c>
      <c r="AN381">
        <v>0</v>
      </c>
      <c r="AO381" t="s">
        <v>1834</v>
      </c>
      <c r="AP381" t="s">
        <v>1834</v>
      </c>
      <c r="AQ381">
        <v>0</v>
      </c>
      <c r="AR381" t="s">
        <v>1835</v>
      </c>
    </row>
    <row r="382" spans="1:44" x14ac:dyDescent="0.25">
      <c r="A382" t="s">
        <v>1828</v>
      </c>
      <c r="B382" t="s">
        <v>1829</v>
      </c>
      <c r="D382" t="s">
        <v>2324</v>
      </c>
      <c r="G382" t="str">
        <f>CONCATENATE(Master_Packing_Database[[#This Row],[Exp '#]],Master_Packing_Database[[#This Row],[Batch '#]])</f>
        <v/>
      </c>
      <c r="H382" t="s">
        <v>2505</v>
      </c>
      <c r="I382" t="s">
        <v>2506</v>
      </c>
      <c r="J382" t="s">
        <v>117</v>
      </c>
      <c r="L382" t="s">
        <v>1979</v>
      </c>
      <c r="AN382">
        <v>0</v>
      </c>
      <c r="AO382" t="s">
        <v>1834</v>
      </c>
      <c r="AP382" t="s">
        <v>1834</v>
      </c>
      <c r="AQ382">
        <v>0</v>
      </c>
      <c r="AR382" t="s">
        <v>1835</v>
      </c>
    </row>
    <row r="383" spans="1:44" x14ac:dyDescent="0.25">
      <c r="A383" t="s">
        <v>1828</v>
      </c>
      <c r="B383" t="s">
        <v>1829</v>
      </c>
      <c r="D383" t="s">
        <v>1918</v>
      </c>
      <c r="G383" t="str">
        <f>CONCATENATE(Master_Packing_Database[[#This Row],[Exp '#]],Master_Packing_Database[[#This Row],[Batch '#]])</f>
        <v/>
      </c>
      <c r="H383" t="s">
        <v>2507</v>
      </c>
      <c r="I383" t="s">
        <v>2047</v>
      </c>
      <c r="J383" t="s">
        <v>117</v>
      </c>
      <c r="L383" t="s">
        <v>1979</v>
      </c>
      <c r="AN383">
        <v>0</v>
      </c>
      <c r="AO383" t="s">
        <v>1834</v>
      </c>
      <c r="AP383" t="s">
        <v>1834</v>
      </c>
      <c r="AQ383">
        <v>0</v>
      </c>
      <c r="AR383" t="s">
        <v>1835</v>
      </c>
    </row>
    <row r="384" spans="1:44" x14ac:dyDescent="0.25">
      <c r="A384" t="s">
        <v>1828</v>
      </c>
      <c r="B384" t="s">
        <v>1829</v>
      </c>
      <c r="D384" t="s">
        <v>2155</v>
      </c>
      <c r="G384" t="str">
        <f>CONCATENATE(Master_Packing_Database[[#This Row],[Exp '#]],Master_Packing_Database[[#This Row],[Batch '#]])</f>
        <v/>
      </c>
      <c r="H384" t="s">
        <v>2508</v>
      </c>
      <c r="I384" t="s">
        <v>2509</v>
      </c>
      <c r="J384" t="s">
        <v>117</v>
      </c>
      <c r="L384" t="s">
        <v>521</v>
      </c>
      <c r="AN384">
        <v>0</v>
      </c>
      <c r="AO384" t="s">
        <v>1834</v>
      </c>
      <c r="AP384" t="s">
        <v>1834</v>
      </c>
      <c r="AQ384">
        <v>0</v>
      </c>
      <c r="AR384" t="s">
        <v>1835</v>
      </c>
    </row>
    <row r="385" spans="1:44" x14ac:dyDescent="0.25">
      <c r="A385" t="s">
        <v>1828</v>
      </c>
      <c r="B385" t="s">
        <v>1829</v>
      </c>
      <c r="D385" t="s">
        <v>2394</v>
      </c>
      <c r="G385" t="str">
        <f>CONCATENATE(Master_Packing_Database[[#This Row],[Exp '#]],Master_Packing_Database[[#This Row],[Batch '#]])</f>
        <v/>
      </c>
      <c r="H385" t="s">
        <v>2510</v>
      </c>
      <c r="I385" t="s">
        <v>1897</v>
      </c>
      <c r="J385" t="s">
        <v>117</v>
      </c>
      <c r="L385" t="s">
        <v>1849</v>
      </c>
      <c r="AN385">
        <v>0</v>
      </c>
      <c r="AO385" t="s">
        <v>1834</v>
      </c>
      <c r="AP385" t="s">
        <v>1834</v>
      </c>
      <c r="AQ385">
        <v>0</v>
      </c>
      <c r="AR385" t="s">
        <v>1835</v>
      </c>
    </row>
    <row r="386" spans="1:44" x14ac:dyDescent="0.25">
      <c r="A386" t="s">
        <v>1828</v>
      </c>
      <c r="B386" t="s">
        <v>1829</v>
      </c>
      <c r="D386" t="s">
        <v>2192</v>
      </c>
      <c r="G386" t="str">
        <f>CONCATENATE(Master_Packing_Database[[#This Row],[Exp '#]],Master_Packing_Database[[#This Row],[Batch '#]])</f>
        <v/>
      </c>
      <c r="H386" t="s">
        <v>2511</v>
      </c>
      <c r="I386" t="s">
        <v>1914</v>
      </c>
      <c r="J386" t="s">
        <v>117</v>
      </c>
      <c r="L386" t="s">
        <v>1849</v>
      </c>
      <c r="AN386">
        <v>0</v>
      </c>
      <c r="AO386" t="s">
        <v>1834</v>
      </c>
      <c r="AP386" t="s">
        <v>1834</v>
      </c>
      <c r="AQ386">
        <v>0</v>
      </c>
      <c r="AR386" t="s">
        <v>1835</v>
      </c>
    </row>
    <row r="387" spans="1:44" x14ac:dyDescent="0.25">
      <c r="A387" t="s">
        <v>1828</v>
      </c>
      <c r="B387" t="s">
        <v>1829</v>
      </c>
      <c r="D387" t="s">
        <v>2344</v>
      </c>
      <c r="G387" t="str">
        <f>CONCATENATE(Master_Packing_Database[[#This Row],[Exp '#]],Master_Packing_Database[[#This Row],[Batch '#]])</f>
        <v/>
      </c>
      <c r="H387" t="s">
        <v>2512</v>
      </c>
      <c r="I387" t="s">
        <v>2490</v>
      </c>
      <c r="J387" t="s">
        <v>117</v>
      </c>
      <c r="L387" t="s">
        <v>1849</v>
      </c>
      <c r="AN387">
        <v>0</v>
      </c>
      <c r="AO387" t="s">
        <v>1834</v>
      </c>
      <c r="AP387" t="s">
        <v>1834</v>
      </c>
      <c r="AQ387">
        <v>0</v>
      </c>
      <c r="AR387" t="s">
        <v>1835</v>
      </c>
    </row>
    <row r="388" spans="1:44" x14ac:dyDescent="0.25">
      <c r="A388" t="s">
        <v>1828</v>
      </c>
      <c r="B388" t="s">
        <v>1829</v>
      </c>
      <c r="D388" t="s">
        <v>1941</v>
      </c>
      <c r="G388" t="str">
        <f>CONCATENATE(Master_Packing_Database[[#This Row],[Exp '#]],Master_Packing_Database[[#This Row],[Batch '#]])</f>
        <v/>
      </c>
      <c r="H388" t="s">
        <v>2513</v>
      </c>
      <c r="I388" t="s">
        <v>2090</v>
      </c>
      <c r="J388" t="s">
        <v>117</v>
      </c>
      <c r="L388" t="s">
        <v>1849</v>
      </c>
      <c r="AN388">
        <v>0</v>
      </c>
      <c r="AO388" t="s">
        <v>1834</v>
      </c>
      <c r="AP388" t="s">
        <v>1834</v>
      </c>
      <c r="AQ388">
        <v>0</v>
      </c>
      <c r="AR388" t="s">
        <v>1835</v>
      </c>
    </row>
    <row r="389" spans="1:44" x14ac:dyDescent="0.25">
      <c r="A389" t="s">
        <v>1828</v>
      </c>
      <c r="B389" t="s">
        <v>1829</v>
      </c>
      <c r="D389" t="s">
        <v>2458</v>
      </c>
      <c r="G389" t="str">
        <f>CONCATENATE(Master_Packing_Database[[#This Row],[Exp '#]],Master_Packing_Database[[#This Row],[Batch '#]])</f>
        <v/>
      </c>
      <c r="H389" t="s">
        <v>2514</v>
      </c>
      <c r="I389" t="s">
        <v>1914</v>
      </c>
      <c r="J389" t="s">
        <v>117</v>
      </c>
      <c r="L389" t="s">
        <v>2082</v>
      </c>
      <c r="AN389">
        <v>0</v>
      </c>
      <c r="AO389" t="s">
        <v>1834</v>
      </c>
      <c r="AP389" t="s">
        <v>1834</v>
      </c>
      <c r="AQ389">
        <v>0</v>
      </c>
      <c r="AR389" t="s">
        <v>1835</v>
      </c>
    </row>
    <row r="390" spans="1:44" x14ac:dyDescent="0.25">
      <c r="A390" t="s">
        <v>1828</v>
      </c>
      <c r="B390" t="s">
        <v>1829</v>
      </c>
      <c r="D390" t="s">
        <v>2458</v>
      </c>
      <c r="G390" t="str">
        <f>CONCATENATE(Master_Packing_Database[[#This Row],[Exp '#]],Master_Packing_Database[[#This Row],[Batch '#]])</f>
        <v/>
      </c>
      <c r="H390" t="s">
        <v>2515</v>
      </c>
      <c r="I390" t="s">
        <v>2516</v>
      </c>
      <c r="J390" t="s">
        <v>117</v>
      </c>
      <c r="L390" t="s">
        <v>1987</v>
      </c>
      <c r="AN390">
        <v>0</v>
      </c>
      <c r="AO390" t="s">
        <v>1834</v>
      </c>
      <c r="AP390" t="s">
        <v>1834</v>
      </c>
      <c r="AQ390">
        <v>0</v>
      </c>
      <c r="AR390" t="s">
        <v>1835</v>
      </c>
    </row>
    <row r="391" spans="1:44" x14ac:dyDescent="0.25">
      <c r="A391" t="s">
        <v>1828</v>
      </c>
      <c r="B391" t="s">
        <v>1829</v>
      </c>
      <c r="D391" t="s">
        <v>2458</v>
      </c>
      <c r="G391" t="str">
        <f>CONCATENATE(Master_Packing_Database[[#This Row],[Exp '#]],Master_Packing_Database[[#This Row],[Batch '#]])</f>
        <v/>
      </c>
      <c r="H391" t="s">
        <v>2517</v>
      </c>
      <c r="I391" t="s">
        <v>2033</v>
      </c>
      <c r="J391" t="s">
        <v>117</v>
      </c>
      <c r="L391" t="s">
        <v>2027</v>
      </c>
      <c r="AN391">
        <v>0</v>
      </c>
      <c r="AO391" t="s">
        <v>1834</v>
      </c>
      <c r="AP391" t="s">
        <v>1834</v>
      </c>
      <c r="AQ391">
        <v>0</v>
      </c>
      <c r="AR391" t="s">
        <v>1835</v>
      </c>
    </row>
    <row r="392" spans="1:44" x14ac:dyDescent="0.25">
      <c r="A392" t="s">
        <v>1828</v>
      </c>
      <c r="B392" t="s">
        <v>1829</v>
      </c>
      <c r="D392" t="s">
        <v>2458</v>
      </c>
      <c r="G392" t="str">
        <f>CONCATENATE(Master_Packing_Database[[#This Row],[Exp '#]],Master_Packing_Database[[#This Row],[Batch '#]])</f>
        <v/>
      </c>
      <c r="H392" t="s">
        <v>2518</v>
      </c>
      <c r="I392" t="s">
        <v>2519</v>
      </c>
      <c r="J392" t="s">
        <v>117</v>
      </c>
      <c r="L392" t="s">
        <v>1987</v>
      </c>
      <c r="AN392">
        <v>0</v>
      </c>
      <c r="AO392" t="s">
        <v>1834</v>
      </c>
      <c r="AP392" t="s">
        <v>1834</v>
      </c>
      <c r="AQ392">
        <v>0</v>
      </c>
      <c r="AR392" t="s">
        <v>1835</v>
      </c>
    </row>
    <row r="393" spans="1:44" x14ac:dyDescent="0.25">
      <c r="A393" t="s">
        <v>1828</v>
      </c>
      <c r="B393" t="s">
        <v>1829</v>
      </c>
      <c r="D393" t="s">
        <v>2458</v>
      </c>
      <c r="G393" t="str">
        <f>CONCATENATE(Master_Packing_Database[[#This Row],[Exp '#]],Master_Packing_Database[[#This Row],[Batch '#]])</f>
        <v/>
      </c>
      <c r="H393" t="s">
        <v>2520</v>
      </c>
      <c r="I393" t="s">
        <v>2521</v>
      </c>
      <c r="J393" t="s">
        <v>117</v>
      </c>
      <c r="L393" t="s">
        <v>1860</v>
      </c>
      <c r="AN393">
        <v>0</v>
      </c>
      <c r="AO393" t="s">
        <v>1834</v>
      </c>
      <c r="AP393" t="s">
        <v>1834</v>
      </c>
      <c r="AQ393">
        <v>0</v>
      </c>
      <c r="AR393" t="s">
        <v>1835</v>
      </c>
    </row>
    <row r="394" spans="1:44" x14ac:dyDescent="0.25">
      <c r="A394" t="s">
        <v>1828</v>
      </c>
      <c r="B394" t="s">
        <v>1829</v>
      </c>
      <c r="D394" t="s">
        <v>2522</v>
      </c>
      <c r="G394" t="str">
        <f>CONCATENATE(Master_Packing_Database[[#This Row],[Exp '#]],Master_Packing_Database[[#This Row],[Batch '#]])</f>
        <v/>
      </c>
      <c r="H394" t="s">
        <v>2523</v>
      </c>
      <c r="I394" t="s">
        <v>2498</v>
      </c>
      <c r="J394" t="s">
        <v>117</v>
      </c>
      <c r="L394" t="s">
        <v>1849</v>
      </c>
      <c r="AN394">
        <v>0</v>
      </c>
      <c r="AO394" t="s">
        <v>1834</v>
      </c>
      <c r="AP394" t="s">
        <v>1834</v>
      </c>
      <c r="AQ394">
        <v>0</v>
      </c>
      <c r="AR394" t="s">
        <v>1835</v>
      </c>
    </row>
    <row r="395" spans="1:44" x14ac:dyDescent="0.25">
      <c r="A395" t="s">
        <v>1828</v>
      </c>
      <c r="B395" t="s">
        <v>1829</v>
      </c>
      <c r="D395" t="s">
        <v>1918</v>
      </c>
      <c r="G395" t="str">
        <f>CONCATENATE(Master_Packing_Database[[#This Row],[Exp '#]],Master_Packing_Database[[#This Row],[Batch '#]])</f>
        <v/>
      </c>
      <c r="H395" t="s">
        <v>2524</v>
      </c>
      <c r="I395" t="s">
        <v>2074</v>
      </c>
      <c r="J395" t="s">
        <v>117</v>
      </c>
      <c r="L395" t="s">
        <v>1979</v>
      </c>
      <c r="AN395">
        <v>0</v>
      </c>
      <c r="AO395" t="s">
        <v>1834</v>
      </c>
      <c r="AP395" t="s">
        <v>1834</v>
      </c>
      <c r="AQ395">
        <v>0</v>
      </c>
      <c r="AR395" t="s">
        <v>1835</v>
      </c>
    </row>
    <row r="396" spans="1:44" x14ac:dyDescent="0.25">
      <c r="A396" t="s">
        <v>1828</v>
      </c>
      <c r="B396" t="s">
        <v>1829</v>
      </c>
      <c r="D396" t="s">
        <v>2192</v>
      </c>
      <c r="G396" t="str">
        <f>CONCATENATE(Master_Packing_Database[[#This Row],[Exp '#]],Master_Packing_Database[[#This Row],[Batch '#]])</f>
        <v/>
      </c>
      <c r="H396" t="s">
        <v>2525</v>
      </c>
      <c r="I396" t="s">
        <v>2526</v>
      </c>
      <c r="J396" t="s">
        <v>117</v>
      </c>
      <c r="L396" t="s">
        <v>1849</v>
      </c>
      <c r="AN396">
        <v>0</v>
      </c>
      <c r="AO396" t="s">
        <v>1834</v>
      </c>
      <c r="AP396" t="s">
        <v>1834</v>
      </c>
      <c r="AQ396">
        <v>0</v>
      </c>
      <c r="AR396" t="s">
        <v>1835</v>
      </c>
    </row>
    <row r="397" spans="1:44" x14ac:dyDescent="0.25">
      <c r="A397" t="s">
        <v>1828</v>
      </c>
      <c r="B397" t="s">
        <v>1829</v>
      </c>
      <c r="D397" t="s">
        <v>2192</v>
      </c>
      <c r="G397" t="str">
        <f>CONCATENATE(Master_Packing_Database[[#This Row],[Exp '#]],Master_Packing_Database[[#This Row],[Batch '#]])</f>
        <v/>
      </c>
      <c r="H397" t="s">
        <v>2527</v>
      </c>
      <c r="I397" t="s">
        <v>2528</v>
      </c>
      <c r="J397" t="s">
        <v>117</v>
      </c>
      <c r="L397" t="s">
        <v>1979</v>
      </c>
      <c r="AN397">
        <v>0</v>
      </c>
      <c r="AO397" t="s">
        <v>1834</v>
      </c>
      <c r="AP397" t="s">
        <v>1834</v>
      </c>
      <c r="AQ397">
        <v>0</v>
      </c>
      <c r="AR397" t="s">
        <v>1835</v>
      </c>
    </row>
    <row r="398" spans="1:44" x14ac:dyDescent="0.25">
      <c r="A398" t="s">
        <v>1828</v>
      </c>
      <c r="B398" t="s">
        <v>1829</v>
      </c>
      <c r="D398" t="s">
        <v>2529</v>
      </c>
      <c r="G398" t="str">
        <f>CONCATENATE(Master_Packing_Database[[#This Row],[Exp '#]],Master_Packing_Database[[#This Row],[Batch '#]])</f>
        <v/>
      </c>
      <c r="H398" t="s">
        <v>2530</v>
      </c>
      <c r="I398" t="s">
        <v>2047</v>
      </c>
      <c r="J398" t="s">
        <v>117</v>
      </c>
      <c r="L398" t="s">
        <v>2531</v>
      </c>
      <c r="AN398">
        <v>0</v>
      </c>
      <c r="AO398" t="s">
        <v>1834</v>
      </c>
      <c r="AP398" t="s">
        <v>1834</v>
      </c>
      <c r="AQ398">
        <v>0</v>
      </c>
      <c r="AR398" t="s">
        <v>1835</v>
      </c>
    </row>
    <row r="399" spans="1:44" x14ac:dyDescent="0.25">
      <c r="A399" t="s">
        <v>1828</v>
      </c>
      <c r="B399" t="s">
        <v>1829</v>
      </c>
      <c r="D399" t="s">
        <v>2458</v>
      </c>
      <c r="G399" t="str">
        <f>CONCATENATE(Master_Packing_Database[[#This Row],[Exp '#]],Master_Packing_Database[[#This Row],[Batch '#]])</f>
        <v/>
      </c>
      <c r="H399" t="s">
        <v>2532</v>
      </c>
      <c r="I399" t="s">
        <v>1914</v>
      </c>
      <c r="J399" t="s">
        <v>117</v>
      </c>
      <c r="L399" t="s">
        <v>1849</v>
      </c>
      <c r="AN399">
        <v>0</v>
      </c>
      <c r="AO399" t="s">
        <v>1834</v>
      </c>
      <c r="AP399" t="s">
        <v>1834</v>
      </c>
      <c r="AQ399">
        <v>0</v>
      </c>
      <c r="AR399" t="s">
        <v>1835</v>
      </c>
    </row>
    <row r="400" spans="1:44" x14ac:dyDescent="0.25">
      <c r="A400" t="s">
        <v>1828</v>
      </c>
      <c r="B400" t="s">
        <v>1829</v>
      </c>
      <c r="D400" t="s">
        <v>2458</v>
      </c>
      <c r="G400" t="str">
        <f>CONCATENATE(Master_Packing_Database[[#This Row],[Exp '#]],Master_Packing_Database[[#This Row],[Batch '#]])</f>
        <v/>
      </c>
      <c r="H400" t="s">
        <v>2533</v>
      </c>
      <c r="I400" t="s">
        <v>2074</v>
      </c>
      <c r="J400" t="s">
        <v>117</v>
      </c>
      <c r="L400" t="s">
        <v>2027</v>
      </c>
      <c r="AN400">
        <v>0</v>
      </c>
      <c r="AO400" t="s">
        <v>1834</v>
      </c>
      <c r="AP400" t="s">
        <v>1834</v>
      </c>
      <c r="AQ400">
        <v>0</v>
      </c>
      <c r="AR400" t="s">
        <v>1835</v>
      </c>
    </row>
    <row r="401" spans="1:44" x14ac:dyDescent="0.25">
      <c r="A401" t="s">
        <v>1828</v>
      </c>
      <c r="B401" t="s">
        <v>1829</v>
      </c>
      <c r="D401" t="s">
        <v>2534</v>
      </c>
      <c r="G401" t="str">
        <f>CONCATENATE(Master_Packing_Database[[#This Row],[Exp '#]],Master_Packing_Database[[#This Row],[Batch '#]])</f>
        <v/>
      </c>
      <c r="H401" t="s">
        <v>2535</v>
      </c>
      <c r="I401" t="s">
        <v>2498</v>
      </c>
      <c r="J401" t="s">
        <v>117</v>
      </c>
      <c r="L401" t="s">
        <v>521</v>
      </c>
      <c r="AN401">
        <v>0</v>
      </c>
      <c r="AO401" t="s">
        <v>1834</v>
      </c>
      <c r="AP401" t="s">
        <v>1834</v>
      </c>
      <c r="AQ401">
        <v>0</v>
      </c>
      <c r="AR401" t="s">
        <v>1835</v>
      </c>
    </row>
    <row r="402" spans="1:44" x14ac:dyDescent="0.25">
      <c r="A402" t="s">
        <v>1828</v>
      </c>
      <c r="B402" t="s">
        <v>1829</v>
      </c>
      <c r="D402" t="s">
        <v>2139</v>
      </c>
      <c r="G402" t="str">
        <f>CONCATENATE(Master_Packing_Database[[#This Row],[Exp '#]],Master_Packing_Database[[#This Row],[Batch '#]])</f>
        <v/>
      </c>
      <c r="H402" t="s">
        <v>2536</v>
      </c>
      <c r="I402" t="s">
        <v>2537</v>
      </c>
      <c r="J402" t="s">
        <v>117</v>
      </c>
      <c r="L402" t="s">
        <v>1979</v>
      </c>
      <c r="AN402">
        <v>0</v>
      </c>
      <c r="AO402" t="s">
        <v>1834</v>
      </c>
      <c r="AP402" t="s">
        <v>1834</v>
      </c>
      <c r="AQ402">
        <v>0</v>
      </c>
      <c r="AR402" t="s">
        <v>1835</v>
      </c>
    </row>
    <row r="403" spans="1:44" x14ac:dyDescent="0.25">
      <c r="A403" t="s">
        <v>1828</v>
      </c>
      <c r="B403" t="s">
        <v>1829</v>
      </c>
      <c r="D403" t="s">
        <v>2139</v>
      </c>
      <c r="G403" t="str">
        <f>CONCATENATE(Master_Packing_Database[[#This Row],[Exp '#]],Master_Packing_Database[[#This Row],[Batch '#]])</f>
        <v/>
      </c>
      <c r="H403" t="s">
        <v>2538</v>
      </c>
      <c r="I403" t="s">
        <v>2539</v>
      </c>
      <c r="J403" t="s">
        <v>117</v>
      </c>
      <c r="L403" t="s">
        <v>1849</v>
      </c>
      <c r="AN403">
        <v>0</v>
      </c>
      <c r="AO403" t="s">
        <v>1834</v>
      </c>
      <c r="AP403" t="s">
        <v>1834</v>
      </c>
      <c r="AQ403">
        <v>0</v>
      </c>
      <c r="AR403" t="s">
        <v>1835</v>
      </c>
    </row>
    <row r="404" spans="1:44" x14ac:dyDescent="0.25">
      <c r="A404" t="s">
        <v>1828</v>
      </c>
      <c r="B404" t="s">
        <v>1829</v>
      </c>
      <c r="D404" t="s">
        <v>1981</v>
      </c>
      <c r="G404" t="str">
        <f>CONCATENATE(Master_Packing_Database[[#This Row],[Exp '#]],Master_Packing_Database[[#This Row],[Batch '#]])</f>
        <v/>
      </c>
      <c r="H404" t="s">
        <v>2540</v>
      </c>
      <c r="I404" t="s">
        <v>1928</v>
      </c>
      <c r="J404" t="s">
        <v>117</v>
      </c>
      <c r="L404" t="s">
        <v>521</v>
      </c>
      <c r="AN404">
        <v>0</v>
      </c>
      <c r="AO404" t="s">
        <v>1834</v>
      </c>
      <c r="AP404" t="s">
        <v>1834</v>
      </c>
      <c r="AQ404">
        <v>0</v>
      </c>
      <c r="AR404" t="s">
        <v>1835</v>
      </c>
    </row>
    <row r="405" spans="1:44" x14ac:dyDescent="0.25">
      <c r="A405" t="s">
        <v>1828</v>
      </c>
      <c r="B405" t="s">
        <v>1829</v>
      </c>
      <c r="D405" t="s">
        <v>2234</v>
      </c>
      <c r="G405" t="str">
        <f>CONCATENATE(Master_Packing_Database[[#This Row],[Exp '#]],Master_Packing_Database[[#This Row],[Batch '#]])</f>
        <v/>
      </c>
      <c r="H405" t="s">
        <v>2541</v>
      </c>
      <c r="I405" t="s">
        <v>2090</v>
      </c>
      <c r="J405" t="s">
        <v>117</v>
      </c>
      <c r="L405" t="s">
        <v>1849</v>
      </c>
      <c r="AN405">
        <v>0</v>
      </c>
      <c r="AO405" t="s">
        <v>1834</v>
      </c>
      <c r="AP405" t="s">
        <v>1834</v>
      </c>
      <c r="AQ405">
        <v>0</v>
      </c>
      <c r="AR405" t="s">
        <v>1835</v>
      </c>
    </row>
    <row r="406" spans="1:44" x14ac:dyDescent="0.25">
      <c r="A406" t="s">
        <v>1828</v>
      </c>
      <c r="B406" t="s">
        <v>1829</v>
      </c>
      <c r="D406" t="s">
        <v>2234</v>
      </c>
      <c r="G406" t="str">
        <f>CONCATENATE(Master_Packing_Database[[#This Row],[Exp '#]],Master_Packing_Database[[#This Row],[Batch '#]])</f>
        <v/>
      </c>
      <c r="H406" t="s">
        <v>2542</v>
      </c>
      <c r="I406" t="s">
        <v>2543</v>
      </c>
      <c r="J406" t="s">
        <v>117</v>
      </c>
      <c r="L406" t="s">
        <v>1849</v>
      </c>
      <c r="AN406">
        <v>0</v>
      </c>
      <c r="AO406" t="s">
        <v>1834</v>
      </c>
      <c r="AP406" t="s">
        <v>1834</v>
      </c>
      <c r="AQ406">
        <v>0</v>
      </c>
      <c r="AR406" t="s">
        <v>1835</v>
      </c>
    </row>
    <row r="407" spans="1:44" x14ac:dyDescent="0.25">
      <c r="A407" t="s">
        <v>1828</v>
      </c>
      <c r="B407" t="s">
        <v>1829</v>
      </c>
      <c r="D407" t="s">
        <v>2139</v>
      </c>
      <c r="G407" t="str">
        <f>CONCATENATE(Master_Packing_Database[[#This Row],[Exp '#]],Master_Packing_Database[[#This Row],[Batch '#]])</f>
        <v/>
      </c>
      <c r="H407" t="s">
        <v>2544</v>
      </c>
      <c r="I407" t="s">
        <v>2545</v>
      </c>
      <c r="J407" t="s">
        <v>117</v>
      </c>
      <c r="L407" t="s">
        <v>2212</v>
      </c>
      <c r="AN407">
        <v>0</v>
      </c>
      <c r="AO407" t="s">
        <v>1834</v>
      </c>
      <c r="AP407" t="s">
        <v>1834</v>
      </c>
      <c r="AQ407">
        <v>0</v>
      </c>
      <c r="AR407" t="s">
        <v>1835</v>
      </c>
    </row>
    <row r="408" spans="1:44" x14ac:dyDescent="0.25">
      <c r="A408" t="s">
        <v>1828</v>
      </c>
      <c r="B408" t="s">
        <v>1829</v>
      </c>
      <c r="D408" t="s">
        <v>2412</v>
      </c>
      <c r="G408" t="str">
        <f>CONCATENATE(Master_Packing_Database[[#This Row],[Exp '#]],Master_Packing_Database[[#This Row],[Batch '#]])</f>
        <v/>
      </c>
      <c r="H408" t="s">
        <v>2546</v>
      </c>
      <c r="I408" t="s">
        <v>2547</v>
      </c>
      <c r="J408" t="s">
        <v>117</v>
      </c>
      <c r="L408" t="s">
        <v>2548</v>
      </c>
      <c r="AN408">
        <v>0</v>
      </c>
      <c r="AO408" t="s">
        <v>1834</v>
      </c>
      <c r="AP408" t="s">
        <v>1834</v>
      </c>
      <c r="AQ408">
        <v>0</v>
      </c>
      <c r="AR408" t="s">
        <v>1835</v>
      </c>
    </row>
    <row r="409" spans="1:44" x14ac:dyDescent="0.25">
      <c r="A409" t="s">
        <v>1828</v>
      </c>
      <c r="B409" t="s">
        <v>1829</v>
      </c>
      <c r="D409" t="s">
        <v>1918</v>
      </c>
      <c r="G409" t="str">
        <f>CONCATENATE(Master_Packing_Database[[#This Row],[Exp '#]],Master_Packing_Database[[#This Row],[Batch '#]])</f>
        <v/>
      </c>
      <c r="H409" t="s">
        <v>2549</v>
      </c>
      <c r="I409" t="s">
        <v>2550</v>
      </c>
      <c r="J409" t="s">
        <v>117</v>
      </c>
      <c r="L409" t="s">
        <v>1849</v>
      </c>
      <c r="AN409">
        <v>0</v>
      </c>
      <c r="AO409" t="s">
        <v>1834</v>
      </c>
      <c r="AP409" t="s">
        <v>1834</v>
      </c>
      <c r="AQ409">
        <v>0</v>
      </c>
      <c r="AR409" t="s">
        <v>1835</v>
      </c>
    </row>
    <row r="410" spans="1:44" x14ac:dyDescent="0.25">
      <c r="A410" t="s">
        <v>1828</v>
      </c>
      <c r="B410" t="s">
        <v>1829</v>
      </c>
      <c r="D410" t="s">
        <v>1918</v>
      </c>
      <c r="G410" t="str">
        <f>CONCATENATE(Master_Packing_Database[[#This Row],[Exp '#]],Master_Packing_Database[[#This Row],[Batch '#]])</f>
        <v/>
      </c>
      <c r="H410" t="s">
        <v>2551</v>
      </c>
      <c r="I410" t="s">
        <v>2552</v>
      </c>
      <c r="J410" t="s">
        <v>117</v>
      </c>
      <c r="L410" t="s">
        <v>1849</v>
      </c>
      <c r="AN410">
        <v>0</v>
      </c>
      <c r="AO410" t="s">
        <v>1834</v>
      </c>
      <c r="AP410" t="s">
        <v>1834</v>
      </c>
      <c r="AQ410">
        <v>0</v>
      </c>
      <c r="AR410" t="s">
        <v>1835</v>
      </c>
    </row>
    <row r="411" spans="1:44" x14ac:dyDescent="0.25">
      <c r="A411" t="s">
        <v>1828</v>
      </c>
      <c r="B411" t="s">
        <v>1829</v>
      </c>
      <c r="D411" t="s">
        <v>2553</v>
      </c>
      <c r="G411" t="str">
        <f>CONCATENATE(Master_Packing_Database[[#This Row],[Exp '#]],Master_Packing_Database[[#This Row],[Batch '#]])</f>
        <v/>
      </c>
      <c r="H411" t="s">
        <v>2554</v>
      </c>
      <c r="I411" t="s">
        <v>2047</v>
      </c>
      <c r="J411" t="s">
        <v>117</v>
      </c>
      <c r="L411" t="s">
        <v>1979</v>
      </c>
      <c r="AN411">
        <v>0</v>
      </c>
      <c r="AO411" t="s">
        <v>1834</v>
      </c>
      <c r="AP411" t="s">
        <v>1834</v>
      </c>
      <c r="AQ411">
        <v>0</v>
      </c>
      <c r="AR411" t="s">
        <v>1835</v>
      </c>
    </row>
    <row r="412" spans="1:44" x14ac:dyDescent="0.25">
      <c r="A412" t="s">
        <v>2555</v>
      </c>
      <c r="B412" t="s">
        <v>1829</v>
      </c>
      <c r="D412" t="s">
        <v>1331</v>
      </c>
      <c r="E412" t="s">
        <v>979</v>
      </c>
      <c r="F412" t="s">
        <v>1755</v>
      </c>
      <c r="G412" t="str">
        <f>CONCATENATE(Master_Packing_Database[[#This Row],[Exp '#]],Master_Packing_Database[[#This Row],[Batch '#]])</f>
        <v>2405th-</v>
      </c>
      <c r="H412" t="s">
        <v>980</v>
      </c>
      <c r="I412" t="s">
        <v>981</v>
      </c>
      <c r="J412" t="s">
        <v>117</v>
      </c>
      <c r="K412" t="s">
        <v>32</v>
      </c>
      <c r="L412" t="s">
        <v>116</v>
      </c>
      <c r="M412" t="s">
        <v>116</v>
      </c>
      <c r="N412" t="s">
        <v>982</v>
      </c>
      <c r="O412" t="s">
        <v>983</v>
      </c>
      <c r="R412" t="s">
        <v>2556</v>
      </c>
      <c r="V412" t="s">
        <v>2557</v>
      </c>
      <c r="X412" t="s">
        <v>2558</v>
      </c>
      <c r="Y412" t="s">
        <v>1419</v>
      </c>
      <c r="Z412" t="s">
        <v>599</v>
      </c>
      <c r="AB412" t="s">
        <v>2559</v>
      </c>
      <c r="AE412" t="s">
        <v>2558</v>
      </c>
      <c r="AG412" t="s">
        <v>1303</v>
      </c>
      <c r="AI412" t="s">
        <v>29</v>
      </c>
      <c r="AK412" t="s">
        <v>32</v>
      </c>
      <c r="AN412">
        <v>0</v>
      </c>
      <c r="AO412" t="s">
        <v>1834</v>
      </c>
      <c r="AP412" t="s">
        <v>1834</v>
      </c>
      <c r="AQ412">
        <v>0</v>
      </c>
      <c r="AR412" t="s">
        <v>1758</v>
      </c>
    </row>
    <row r="413" spans="1:44" x14ac:dyDescent="0.25">
      <c r="A413" t="s">
        <v>2555</v>
      </c>
      <c r="B413" t="s">
        <v>1829</v>
      </c>
      <c r="D413" t="s">
        <v>2560</v>
      </c>
      <c r="E413" t="s">
        <v>1008</v>
      </c>
      <c r="F413" t="s">
        <v>1755</v>
      </c>
      <c r="G413" t="str">
        <f>CONCATENATE(Master_Packing_Database[[#This Row],[Exp '#]],Master_Packing_Database[[#This Row],[Batch '#]])</f>
        <v>2413rd-</v>
      </c>
      <c r="H413" t="s">
        <v>1009</v>
      </c>
      <c r="I413" t="s">
        <v>1010</v>
      </c>
      <c r="J413" t="s">
        <v>117</v>
      </c>
      <c r="K413" t="s">
        <v>32</v>
      </c>
      <c r="L413" t="s">
        <v>116</v>
      </c>
      <c r="M413" t="s">
        <v>116</v>
      </c>
      <c r="N413" t="s">
        <v>1011</v>
      </c>
      <c r="O413" t="s">
        <v>1012</v>
      </c>
      <c r="R413" t="s">
        <v>2561</v>
      </c>
      <c r="V413" t="s">
        <v>2562</v>
      </c>
      <c r="X413" t="s">
        <v>2563</v>
      </c>
      <c r="Y413" t="s">
        <v>2564</v>
      </c>
      <c r="AB413" t="s">
        <v>2565</v>
      </c>
      <c r="AE413" t="s">
        <v>1755</v>
      </c>
      <c r="AI413" t="s">
        <v>2566</v>
      </c>
      <c r="AK413" t="s">
        <v>32</v>
      </c>
      <c r="AN413">
        <v>0</v>
      </c>
      <c r="AO413" t="s">
        <v>1834</v>
      </c>
      <c r="AP413" t="s">
        <v>1834</v>
      </c>
      <c r="AQ413">
        <v>0</v>
      </c>
      <c r="AR413" t="s">
        <v>1835</v>
      </c>
    </row>
    <row r="414" spans="1:44" x14ac:dyDescent="0.25">
      <c r="A414" t="s">
        <v>2555</v>
      </c>
      <c r="B414" t="s">
        <v>1829</v>
      </c>
      <c r="D414" t="s">
        <v>1032</v>
      </c>
      <c r="E414" t="s">
        <v>1031</v>
      </c>
      <c r="F414" t="s">
        <v>1755</v>
      </c>
      <c r="G414" t="str">
        <f>CONCATENATE(Master_Packing_Database[[#This Row],[Exp '#]],Master_Packing_Database[[#This Row],[Batch '#]])</f>
        <v>2419th-</v>
      </c>
      <c r="H414" t="s">
        <v>1033</v>
      </c>
      <c r="I414" t="s">
        <v>1034</v>
      </c>
      <c r="J414" t="s">
        <v>117</v>
      </c>
      <c r="K414" t="s">
        <v>32</v>
      </c>
      <c r="L414" t="s">
        <v>116</v>
      </c>
      <c r="M414" t="s">
        <v>116</v>
      </c>
      <c r="N414" t="s">
        <v>1035</v>
      </c>
      <c r="O414" t="s">
        <v>764</v>
      </c>
      <c r="R414" t="s">
        <v>2567</v>
      </c>
      <c r="V414" t="s">
        <v>2568</v>
      </c>
      <c r="X414" t="s">
        <v>2563</v>
      </c>
      <c r="Y414" t="s">
        <v>2569</v>
      </c>
      <c r="AB414" t="s">
        <v>2565</v>
      </c>
      <c r="AE414" t="s">
        <v>1755</v>
      </c>
      <c r="AI414" t="s">
        <v>915</v>
      </c>
      <c r="AK414" t="s">
        <v>32</v>
      </c>
      <c r="AN414">
        <v>0</v>
      </c>
      <c r="AO414" t="s">
        <v>1834</v>
      </c>
      <c r="AP414" t="s">
        <v>1834</v>
      </c>
      <c r="AQ414">
        <v>0</v>
      </c>
      <c r="AR414" t="s">
        <v>1835</v>
      </c>
    </row>
    <row r="415" spans="1:44" x14ac:dyDescent="0.25">
      <c r="A415" t="s">
        <v>2555</v>
      </c>
      <c r="B415" t="s">
        <v>1829</v>
      </c>
      <c r="D415" t="s">
        <v>543</v>
      </c>
      <c r="E415" t="s">
        <v>542</v>
      </c>
      <c r="F415" t="s">
        <v>761</v>
      </c>
      <c r="G415" t="str">
        <f>CONCATENATE(Master_Packing_Database[[#This Row],[Exp '#]],Master_Packing_Database[[#This Row],[Batch '#]])</f>
        <v>2316th1st</v>
      </c>
      <c r="H415" t="s">
        <v>2570</v>
      </c>
      <c r="I415" t="s">
        <v>295</v>
      </c>
      <c r="J415" t="s">
        <v>117</v>
      </c>
      <c r="K415" t="s">
        <v>32</v>
      </c>
      <c r="L415" t="s">
        <v>835</v>
      </c>
      <c r="M415" t="s">
        <v>835</v>
      </c>
      <c r="N415" t="s">
        <v>2571</v>
      </c>
      <c r="O415" t="s">
        <v>2572</v>
      </c>
      <c r="R415" t="s">
        <v>2573</v>
      </c>
      <c r="V415" t="s">
        <v>32</v>
      </c>
      <c r="X415" t="s">
        <v>2563</v>
      </c>
      <c r="AB415" t="s">
        <v>2565</v>
      </c>
      <c r="AE415" t="s">
        <v>1755</v>
      </c>
      <c r="AI415" t="s">
        <v>889</v>
      </c>
      <c r="AK415" t="s">
        <v>32</v>
      </c>
      <c r="AN415">
        <v>0</v>
      </c>
      <c r="AO415" t="s">
        <v>1834</v>
      </c>
      <c r="AP415" t="s">
        <v>1834</v>
      </c>
      <c r="AQ415">
        <v>0</v>
      </c>
      <c r="AR415" t="s">
        <v>1835</v>
      </c>
    </row>
    <row r="416" spans="1:44" x14ac:dyDescent="0.25">
      <c r="A416" t="s">
        <v>2555</v>
      </c>
      <c r="B416" t="s">
        <v>1829</v>
      </c>
      <c r="D416" t="s">
        <v>363</v>
      </c>
      <c r="E416" t="s">
        <v>362</v>
      </c>
      <c r="F416" t="s">
        <v>1755</v>
      </c>
      <c r="G416" t="str">
        <f>CONCATENATE(Master_Packing_Database[[#This Row],[Exp '#]],Master_Packing_Database[[#This Row],[Batch '#]])</f>
        <v>2279th-</v>
      </c>
      <c r="H416" t="s">
        <v>364</v>
      </c>
      <c r="I416" t="s">
        <v>365</v>
      </c>
      <c r="J416" t="s">
        <v>366</v>
      </c>
      <c r="K416" t="s">
        <v>32</v>
      </c>
      <c r="L416" t="s">
        <v>116</v>
      </c>
      <c r="M416" t="s">
        <v>116</v>
      </c>
      <c r="N416" t="s">
        <v>2574</v>
      </c>
      <c r="O416" t="s">
        <v>2575</v>
      </c>
      <c r="R416" t="s">
        <v>2576</v>
      </c>
      <c r="V416" t="s">
        <v>2577</v>
      </c>
      <c r="X416" t="s">
        <v>2578</v>
      </c>
      <c r="Y416" t="s">
        <v>2579</v>
      </c>
      <c r="AB416" t="s">
        <v>2580</v>
      </c>
      <c r="AE416" t="s">
        <v>1755</v>
      </c>
      <c r="AI416" t="s">
        <v>915</v>
      </c>
      <c r="AK416" t="s">
        <v>32</v>
      </c>
      <c r="AN416">
        <v>0</v>
      </c>
      <c r="AO416" t="s">
        <v>1834</v>
      </c>
      <c r="AP416" t="s">
        <v>1834</v>
      </c>
      <c r="AQ416">
        <v>0</v>
      </c>
      <c r="AR416" t="s">
        <v>1835</v>
      </c>
    </row>
    <row r="417" spans="1:44" x14ac:dyDescent="0.25">
      <c r="A417" t="s">
        <v>2555</v>
      </c>
      <c r="B417" t="s">
        <v>1829</v>
      </c>
      <c r="D417" t="s">
        <v>363</v>
      </c>
      <c r="E417" t="s">
        <v>996</v>
      </c>
      <c r="F417" t="s">
        <v>761</v>
      </c>
      <c r="G417" t="str">
        <f>CONCATENATE(Master_Packing_Database[[#This Row],[Exp '#]],Master_Packing_Database[[#This Row],[Batch '#]])</f>
        <v>2409th1st</v>
      </c>
      <c r="H417" t="s">
        <v>2581</v>
      </c>
      <c r="I417" t="s">
        <v>295</v>
      </c>
      <c r="J417" t="s">
        <v>117</v>
      </c>
      <c r="K417" t="s">
        <v>32</v>
      </c>
      <c r="L417" t="s">
        <v>116</v>
      </c>
      <c r="M417" t="s">
        <v>116</v>
      </c>
      <c r="N417" t="s">
        <v>2582</v>
      </c>
      <c r="O417" t="s">
        <v>2583</v>
      </c>
      <c r="R417" t="s">
        <v>2584</v>
      </c>
      <c r="V417" t="s">
        <v>32</v>
      </c>
      <c r="X417" t="s">
        <v>2585</v>
      </c>
      <c r="AB417" t="s">
        <v>2558</v>
      </c>
      <c r="AE417" t="s">
        <v>1755</v>
      </c>
      <c r="AI417" t="s">
        <v>889</v>
      </c>
      <c r="AK417" t="s">
        <v>32</v>
      </c>
      <c r="AN417">
        <v>0</v>
      </c>
      <c r="AO417" t="s">
        <v>1834</v>
      </c>
      <c r="AP417" t="s">
        <v>1834</v>
      </c>
      <c r="AQ417">
        <v>0</v>
      </c>
      <c r="AR417" t="s">
        <v>1835</v>
      </c>
    </row>
    <row r="418" spans="1:44" x14ac:dyDescent="0.25">
      <c r="A418" t="s">
        <v>2555</v>
      </c>
      <c r="B418" t="s">
        <v>1829</v>
      </c>
      <c r="D418" t="s">
        <v>363</v>
      </c>
      <c r="E418" t="s">
        <v>996</v>
      </c>
      <c r="F418" t="s">
        <v>422</v>
      </c>
      <c r="G418" t="str">
        <f>CONCATENATE(Master_Packing_Database[[#This Row],[Exp '#]],Master_Packing_Database[[#This Row],[Batch '#]])</f>
        <v>2409th2nd</v>
      </c>
      <c r="H418" t="s">
        <v>2586</v>
      </c>
      <c r="I418" t="s">
        <v>295</v>
      </c>
      <c r="J418" t="s">
        <v>117</v>
      </c>
      <c r="K418" t="s">
        <v>32</v>
      </c>
      <c r="L418" t="s">
        <v>599</v>
      </c>
      <c r="M418" t="s">
        <v>599</v>
      </c>
      <c r="N418" t="s">
        <v>2587</v>
      </c>
      <c r="O418" t="s">
        <v>2588</v>
      </c>
      <c r="R418" t="s">
        <v>2589</v>
      </c>
      <c r="V418" t="s">
        <v>2590</v>
      </c>
      <c r="X418" t="s">
        <v>2585</v>
      </c>
      <c r="Y418" t="s">
        <v>2564</v>
      </c>
      <c r="AB418" t="s">
        <v>2558</v>
      </c>
      <c r="AE418" t="s">
        <v>1755</v>
      </c>
      <c r="AI418" t="s">
        <v>889</v>
      </c>
      <c r="AK418" t="s">
        <v>32</v>
      </c>
      <c r="AN418">
        <v>0</v>
      </c>
      <c r="AO418" t="s">
        <v>1834</v>
      </c>
      <c r="AP418" t="s">
        <v>1834</v>
      </c>
      <c r="AQ418">
        <v>0</v>
      </c>
      <c r="AR418" t="s">
        <v>1835</v>
      </c>
    </row>
    <row r="419" spans="1:44" x14ac:dyDescent="0.25">
      <c r="A419" t="s">
        <v>2555</v>
      </c>
      <c r="B419" t="s">
        <v>1829</v>
      </c>
      <c r="D419" t="s">
        <v>1004</v>
      </c>
      <c r="E419" t="s">
        <v>1003</v>
      </c>
      <c r="F419" t="s">
        <v>422</v>
      </c>
      <c r="G419" t="str">
        <f>CONCATENATE(Master_Packing_Database[[#This Row],[Exp '#]],Master_Packing_Database[[#This Row],[Batch '#]])</f>
        <v>2412nd2nd</v>
      </c>
      <c r="H419" t="s">
        <v>1005</v>
      </c>
      <c r="I419" t="s">
        <v>1006</v>
      </c>
      <c r="J419" t="s">
        <v>366</v>
      </c>
      <c r="K419" t="s">
        <v>32</v>
      </c>
      <c r="L419" t="s">
        <v>116</v>
      </c>
      <c r="M419" t="s">
        <v>116</v>
      </c>
      <c r="N419" t="s">
        <v>411</v>
      </c>
      <c r="O419" t="s">
        <v>1007</v>
      </c>
      <c r="V419" t="s">
        <v>32</v>
      </c>
      <c r="X419" t="s">
        <v>2585</v>
      </c>
      <c r="AB419" t="s">
        <v>2558</v>
      </c>
      <c r="AC419" t="s">
        <v>2591</v>
      </c>
      <c r="AE419" t="s">
        <v>1755</v>
      </c>
      <c r="AI419" t="s">
        <v>32</v>
      </c>
      <c r="AK419" t="s">
        <v>32</v>
      </c>
      <c r="AN419">
        <v>0</v>
      </c>
      <c r="AO419" t="s">
        <v>1834</v>
      </c>
      <c r="AP419" t="s">
        <v>1834</v>
      </c>
      <c r="AQ419">
        <v>0</v>
      </c>
      <c r="AR419" t="s">
        <v>1835</v>
      </c>
    </row>
    <row r="420" spans="1:44" x14ac:dyDescent="0.25">
      <c r="A420" t="s">
        <v>2555</v>
      </c>
      <c r="B420" t="s">
        <v>1829</v>
      </c>
      <c r="D420" t="s">
        <v>1103</v>
      </c>
      <c r="E420" t="s">
        <v>1102</v>
      </c>
      <c r="F420" t="s">
        <v>422</v>
      </c>
      <c r="G420" t="str">
        <f>CONCATENATE(Master_Packing_Database[[#This Row],[Exp '#]],Master_Packing_Database[[#This Row],[Batch '#]])</f>
        <v>2443rd2nd</v>
      </c>
      <c r="H420" t="s">
        <v>2592</v>
      </c>
      <c r="I420" t="s">
        <v>120</v>
      </c>
      <c r="J420" t="s">
        <v>117</v>
      </c>
      <c r="K420" t="s">
        <v>32</v>
      </c>
      <c r="L420" t="s">
        <v>599</v>
      </c>
      <c r="M420" t="s">
        <v>599</v>
      </c>
      <c r="N420" t="s">
        <v>2593</v>
      </c>
      <c r="O420" t="s">
        <v>2594</v>
      </c>
      <c r="R420" t="s">
        <v>2595</v>
      </c>
      <c r="V420" t="s">
        <v>32</v>
      </c>
      <c r="X420" t="s">
        <v>2596</v>
      </c>
      <c r="AB420" t="s">
        <v>2585</v>
      </c>
      <c r="AE420" t="s">
        <v>1755</v>
      </c>
      <c r="AI420" t="s">
        <v>32</v>
      </c>
      <c r="AK420" t="s">
        <v>32</v>
      </c>
      <c r="AN420">
        <v>0</v>
      </c>
      <c r="AO420" t="s">
        <v>1834</v>
      </c>
      <c r="AP420" t="s">
        <v>1834</v>
      </c>
      <c r="AQ420">
        <v>0</v>
      </c>
      <c r="AR420" t="s">
        <v>1835</v>
      </c>
    </row>
    <row r="421" spans="1:44" x14ac:dyDescent="0.25">
      <c r="A421" t="s">
        <v>2555</v>
      </c>
      <c r="B421" t="s">
        <v>1829</v>
      </c>
      <c r="D421" t="s">
        <v>543</v>
      </c>
      <c r="E421" t="s">
        <v>542</v>
      </c>
      <c r="F421" t="s">
        <v>422</v>
      </c>
      <c r="G421" t="str">
        <f>CONCATENATE(Master_Packing_Database[[#This Row],[Exp '#]],Master_Packing_Database[[#This Row],[Batch '#]])</f>
        <v>2316th2nd</v>
      </c>
      <c r="H421" t="s">
        <v>2597</v>
      </c>
      <c r="I421" t="s">
        <v>295</v>
      </c>
      <c r="J421" t="s">
        <v>117</v>
      </c>
      <c r="K421" t="s">
        <v>32</v>
      </c>
      <c r="L421" t="s">
        <v>835</v>
      </c>
      <c r="M421" t="s">
        <v>835</v>
      </c>
      <c r="N421" t="s">
        <v>2598</v>
      </c>
      <c r="O421" t="s">
        <v>2599</v>
      </c>
      <c r="R421" t="s">
        <v>2600</v>
      </c>
      <c r="V421" t="s">
        <v>32</v>
      </c>
      <c r="X421" t="s">
        <v>2596</v>
      </c>
      <c r="AB421" t="s">
        <v>2585</v>
      </c>
      <c r="AE421" t="s">
        <v>1755</v>
      </c>
      <c r="AI421" t="s">
        <v>32</v>
      </c>
      <c r="AK421" t="s">
        <v>32</v>
      </c>
      <c r="AN421">
        <v>0</v>
      </c>
      <c r="AO421" t="s">
        <v>1834</v>
      </c>
      <c r="AP421" t="s">
        <v>1834</v>
      </c>
      <c r="AQ421">
        <v>0</v>
      </c>
      <c r="AR421" t="s">
        <v>1835</v>
      </c>
    </row>
    <row r="422" spans="1:44" x14ac:dyDescent="0.25">
      <c r="A422" t="s">
        <v>2555</v>
      </c>
      <c r="B422" t="s">
        <v>1829</v>
      </c>
      <c r="D422" t="s">
        <v>1004</v>
      </c>
      <c r="E422" t="s">
        <v>1046</v>
      </c>
      <c r="F422" t="s">
        <v>1755</v>
      </c>
      <c r="G422" t="str">
        <f>CONCATENATE(Master_Packing_Database[[#This Row],[Exp '#]],Master_Packing_Database[[#This Row],[Batch '#]])</f>
        <v>2423rd-</v>
      </c>
      <c r="H422" t="s">
        <v>1047</v>
      </c>
      <c r="I422" t="s">
        <v>1048</v>
      </c>
      <c r="J422" t="s">
        <v>117</v>
      </c>
      <c r="K422" t="s">
        <v>32</v>
      </c>
      <c r="L422" t="s">
        <v>521</v>
      </c>
      <c r="M422" t="s">
        <v>835</v>
      </c>
      <c r="N422" t="s">
        <v>32</v>
      </c>
      <c r="O422" t="s">
        <v>32</v>
      </c>
      <c r="V422" t="s">
        <v>32</v>
      </c>
      <c r="X422" t="s">
        <v>2601</v>
      </c>
      <c r="AB422" t="s">
        <v>2602</v>
      </c>
      <c r="AE422" t="s">
        <v>1755</v>
      </c>
      <c r="AI422" t="s">
        <v>32</v>
      </c>
      <c r="AK422" t="s">
        <v>32</v>
      </c>
      <c r="AN422">
        <v>0</v>
      </c>
      <c r="AO422" t="s">
        <v>1834</v>
      </c>
      <c r="AP422" t="s">
        <v>1834</v>
      </c>
      <c r="AQ422">
        <v>0</v>
      </c>
      <c r="AR422" t="s">
        <v>1835</v>
      </c>
    </row>
    <row r="423" spans="1:44" x14ac:dyDescent="0.25">
      <c r="A423" t="s">
        <v>2555</v>
      </c>
      <c r="B423" t="s">
        <v>1829</v>
      </c>
      <c r="D423" t="s">
        <v>1103</v>
      </c>
      <c r="E423" t="s">
        <v>1102</v>
      </c>
      <c r="F423" t="s">
        <v>422</v>
      </c>
      <c r="G423" t="str">
        <f>CONCATENATE(Master_Packing_Database[[#This Row],[Exp '#]],Master_Packing_Database[[#This Row],[Batch '#]])</f>
        <v>2443rd2nd</v>
      </c>
      <c r="H423" t="s">
        <v>2603</v>
      </c>
      <c r="I423" t="s">
        <v>120</v>
      </c>
      <c r="J423" t="s">
        <v>117</v>
      </c>
      <c r="K423" t="s">
        <v>32</v>
      </c>
      <c r="L423" t="s">
        <v>116</v>
      </c>
      <c r="M423" t="s">
        <v>116</v>
      </c>
      <c r="N423" t="s">
        <v>32</v>
      </c>
      <c r="O423" t="s">
        <v>32</v>
      </c>
      <c r="V423" t="s">
        <v>32</v>
      </c>
      <c r="X423" t="s">
        <v>2604</v>
      </c>
      <c r="AB423" t="s">
        <v>2601</v>
      </c>
      <c r="AE423" t="s">
        <v>1755</v>
      </c>
      <c r="AI423" t="s">
        <v>32</v>
      </c>
      <c r="AK423" t="s">
        <v>32</v>
      </c>
      <c r="AN423">
        <v>0</v>
      </c>
      <c r="AO423" t="s">
        <v>1834</v>
      </c>
      <c r="AP423" t="s">
        <v>1834</v>
      </c>
      <c r="AQ423">
        <v>0</v>
      </c>
      <c r="AR423" t="s">
        <v>1835</v>
      </c>
    </row>
    <row r="424" spans="1:44" x14ac:dyDescent="0.25">
      <c r="A424" t="s">
        <v>2555</v>
      </c>
      <c r="B424" t="s">
        <v>1829</v>
      </c>
      <c r="D424" t="s">
        <v>44</v>
      </c>
      <c r="E424" t="s">
        <v>1119</v>
      </c>
      <c r="F424" t="s">
        <v>1755</v>
      </c>
      <c r="G424" t="str">
        <f>CONCATENATE(Master_Packing_Database[[#This Row],[Exp '#]],Master_Packing_Database[[#This Row],[Batch '#]])</f>
        <v>2448th-</v>
      </c>
      <c r="H424" t="s">
        <v>1120</v>
      </c>
      <c r="I424" t="s">
        <v>1121</v>
      </c>
      <c r="J424" t="s">
        <v>117</v>
      </c>
      <c r="K424" t="s">
        <v>32</v>
      </c>
      <c r="L424" t="s">
        <v>1122</v>
      </c>
      <c r="M424" t="s">
        <v>544</v>
      </c>
      <c r="N424" t="s">
        <v>32</v>
      </c>
      <c r="O424" t="s">
        <v>32</v>
      </c>
      <c r="V424" t="s">
        <v>32</v>
      </c>
      <c r="X424" t="s">
        <v>2605</v>
      </c>
      <c r="AB424" t="s">
        <v>2606</v>
      </c>
      <c r="AE424" t="s">
        <v>1755</v>
      </c>
      <c r="AI424" t="s">
        <v>32</v>
      </c>
      <c r="AK424" t="s">
        <v>32</v>
      </c>
      <c r="AN424">
        <v>0</v>
      </c>
      <c r="AO424" t="s">
        <v>1834</v>
      </c>
      <c r="AP424" t="s">
        <v>1834</v>
      </c>
      <c r="AQ424">
        <v>0</v>
      </c>
      <c r="AR424" t="s">
        <v>1835</v>
      </c>
    </row>
    <row r="425" spans="1:44" x14ac:dyDescent="0.25">
      <c r="A425" t="s">
        <v>2555</v>
      </c>
      <c r="B425" t="s">
        <v>1829</v>
      </c>
      <c r="D425" t="s">
        <v>137</v>
      </c>
      <c r="E425" t="s">
        <v>1136</v>
      </c>
      <c r="F425" t="s">
        <v>1755</v>
      </c>
      <c r="G425" t="str">
        <f>CONCATENATE(Master_Packing_Database[[#This Row],[Exp '#]],Master_Packing_Database[[#This Row],[Batch '#]])</f>
        <v>2456th-</v>
      </c>
      <c r="H425" t="s">
        <v>2607</v>
      </c>
      <c r="I425" t="s">
        <v>497</v>
      </c>
      <c r="J425" t="s">
        <v>366</v>
      </c>
      <c r="K425" t="s">
        <v>32</v>
      </c>
      <c r="L425" t="s">
        <v>975</v>
      </c>
      <c r="M425" t="s">
        <v>116</v>
      </c>
      <c r="N425" t="s">
        <v>32</v>
      </c>
      <c r="O425" t="s">
        <v>32</v>
      </c>
      <c r="V425" t="s">
        <v>32</v>
      </c>
      <c r="X425" t="s">
        <v>2608</v>
      </c>
      <c r="AB425" t="s">
        <v>2609</v>
      </c>
      <c r="AE425" t="s">
        <v>1755</v>
      </c>
      <c r="AI425" t="s">
        <v>32</v>
      </c>
      <c r="AK425" t="s">
        <v>32</v>
      </c>
      <c r="AN425">
        <v>0</v>
      </c>
      <c r="AO425" t="s">
        <v>1834</v>
      </c>
      <c r="AP425" t="s">
        <v>1834</v>
      </c>
      <c r="AQ425">
        <v>0</v>
      </c>
      <c r="AR425" t="s">
        <v>1835</v>
      </c>
    </row>
    <row r="426" spans="1:44" x14ac:dyDescent="0.25">
      <c r="A426" t="s">
        <v>2555</v>
      </c>
      <c r="B426" t="s">
        <v>1829</v>
      </c>
      <c r="D426" t="s">
        <v>1077</v>
      </c>
      <c r="E426" t="s">
        <v>1082</v>
      </c>
      <c r="F426" t="s">
        <v>1755</v>
      </c>
      <c r="G426" t="str">
        <f>CONCATENATE(Master_Packing_Database[[#This Row],[Exp '#]],Master_Packing_Database[[#This Row],[Batch '#]])</f>
        <v>2434st-</v>
      </c>
      <c r="H426" t="s">
        <v>1083</v>
      </c>
      <c r="I426" t="s">
        <v>1084</v>
      </c>
      <c r="J426" t="s">
        <v>117</v>
      </c>
      <c r="K426" t="s">
        <v>32</v>
      </c>
      <c r="L426" t="s">
        <v>521</v>
      </c>
      <c r="M426" t="s">
        <v>1085</v>
      </c>
      <c r="N426" t="s">
        <v>32</v>
      </c>
      <c r="O426" t="s">
        <v>32</v>
      </c>
      <c r="V426" t="s">
        <v>32</v>
      </c>
      <c r="X426" t="s">
        <v>2610</v>
      </c>
      <c r="AB426" t="s">
        <v>2611</v>
      </c>
      <c r="AE426" t="s">
        <v>1755</v>
      </c>
      <c r="AI426" t="s">
        <v>32</v>
      </c>
      <c r="AK426" t="s">
        <v>32</v>
      </c>
      <c r="AN426">
        <v>0</v>
      </c>
      <c r="AO426" t="s">
        <v>1834</v>
      </c>
      <c r="AP426" t="s">
        <v>1834</v>
      </c>
      <c r="AQ426">
        <v>0</v>
      </c>
      <c r="AR426" t="s">
        <v>1835</v>
      </c>
    </row>
    <row r="427" spans="1:44" x14ac:dyDescent="0.25">
      <c r="A427" t="s">
        <v>2555</v>
      </c>
      <c r="B427" t="s">
        <v>1829</v>
      </c>
      <c r="D427" t="s">
        <v>1077</v>
      </c>
      <c r="E427" t="s">
        <v>1126</v>
      </c>
      <c r="F427" t="s">
        <v>1755</v>
      </c>
      <c r="G427" t="str">
        <f>CONCATENATE(Master_Packing_Database[[#This Row],[Exp '#]],Master_Packing_Database[[#This Row],[Batch '#]])</f>
        <v>2451st-</v>
      </c>
      <c r="H427" t="s">
        <v>1127</v>
      </c>
      <c r="I427" t="s">
        <v>1128</v>
      </c>
      <c r="J427" t="s">
        <v>117</v>
      </c>
      <c r="K427" t="s">
        <v>32</v>
      </c>
      <c r="L427" t="s">
        <v>116</v>
      </c>
      <c r="M427" t="s">
        <v>116</v>
      </c>
      <c r="N427" t="s">
        <v>32</v>
      </c>
      <c r="O427" t="s">
        <v>32</v>
      </c>
      <c r="V427" t="s">
        <v>32</v>
      </c>
      <c r="X427" t="s">
        <v>2612</v>
      </c>
      <c r="AB427" t="s">
        <v>2613</v>
      </c>
      <c r="AE427" t="s">
        <v>1755</v>
      </c>
      <c r="AI427" t="s">
        <v>32</v>
      </c>
      <c r="AK427" t="s">
        <v>32</v>
      </c>
      <c r="AN427">
        <v>0</v>
      </c>
      <c r="AO427" t="s">
        <v>1834</v>
      </c>
      <c r="AP427" t="s">
        <v>1834</v>
      </c>
      <c r="AQ427">
        <v>0</v>
      </c>
      <c r="AR427" t="s">
        <v>1835</v>
      </c>
    </row>
    <row r="428" spans="1:44" x14ac:dyDescent="0.25">
      <c r="A428" t="s">
        <v>2555</v>
      </c>
      <c r="B428" t="s">
        <v>1829</v>
      </c>
      <c r="D428" t="s">
        <v>154</v>
      </c>
      <c r="E428" t="s">
        <v>1129</v>
      </c>
      <c r="F428" t="s">
        <v>1755</v>
      </c>
      <c r="G428" t="str">
        <f>CONCATENATE(Master_Packing_Database[[#This Row],[Exp '#]],Master_Packing_Database[[#This Row],[Batch '#]])</f>
        <v>2452nd-</v>
      </c>
      <c r="H428" t="s">
        <v>2614</v>
      </c>
      <c r="I428" t="s">
        <v>156</v>
      </c>
      <c r="J428" t="s">
        <v>117</v>
      </c>
      <c r="K428" t="s">
        <v>32</v>
      </c>
      <c r="L428" t="s">
        <v>599</v>
      </c>
      <c r="M428" t="s">
        <v>599</v>
      </c>
      <c r="N428" t="s">
        <v>32</v>
      </c>
      <c r="O428" t="s">
        <v>32</v>
      </c>
      <c r="V428" t="s">
        <v>32</v>
      </c>
      <c r="X428" t="s">
        <v>2615</v>
      </c>
      <c r="AB428" t="s">
        <v>2616</v>
      </c>
      <c r="AE428" t="s">
        <v>1755</v>
      </c>
      <c r="AI428" t="s">
        <v>32</v>
      </c>
      <c r="AK428" t="s">
        <v>32</v>
      </c>
      <c r="AN428">
        <v>0</v>
      </c>
      <c r="AO428" t="s">
        <v>1834</v>
      </c>
      <c r="AP428" t="s">
        <v>1834</v>
      </c>
      <c r="AQ428">
        <v>0</v>
      </c>
      <c r="AR428" t="s">
        <v>1835</v>
      </c>
    </row>
    <row r="429" spans="1:44" x14ac:dyDescent="0.25">
      <c r="A429" t="s">
        <v>2555</v>
      </c>
      <c r="B429" t="s">
        <v>1829</v>
      </c>
      <c r="D429" t="s">
        <v>1135</v>
      </c>
      <c r="E429" t="s">
        <v>1134</v>
      </c>
      <c r="F429" t="s">
        <v>1755</v>
      </c>
      <c r="G429" t="str">
        <f>CONCATENATE(Master_Packing_Database[[#This Row],[Exp '#]],Master_Packing_Database[[#This Row],[Batch '#]])</f>
        <v>2455th-</v>
      </c>
      <c r="H429" t="s">
        <v>2617</v>
      </c>
      <c r="I429" t="s">
        <v>156</v>
      </c>
      <c r="J429" t="s">
        <v>117</v>
      </c>
      <c r="K429" t="s">
        <v>32</v>
      </c>
      <c r="L429" t="s">
        <v>975</v>
      </c>
      <c r="M429" t="s">
        <v>975</v>
      </c>
      <c r="N429" t="s">
        <v>32</v>
      </c>
      <c r="O429" t="s">
        <v>32</v>
      </c>
      <c r="V429" t="s">
        <v>32</v>
      </c>
      <c r="X429" t="s">
        <v>2618</v>
      </c>
      <c r="AB429" t="s">
        <v>2619</v>
      </c>
      <c r="AE429" t="s">
        <v>1755</v>
      </c>
      <c r="AI429" t="s">
        <v>32</v>
      </c>
      <c r="AK429" t="s">
        <v>32</v>
      </c>
      <c r="AN429">
        <v>0</v>
      </c>
      <c r="AO429" t="s">
        <v>1834</v>
      </c>
      <c r="AP429" t="s">
        <v>1834</v>
      </c>
      <c r="AQ429">
        <v>0</v>
      </c>
      <c r="AR429" t="s">
        <v>1835</v>
      </c>
    </row>
    <row r="430" spans="1:44" x14ac:dyDescent="0.25">
      <c r="A430" t="s">
        <v>2555</v>
      </c>
      <c r="B430" t="s">
        <v>1829</v>
      </c>
      <c r="D430" t="s">
        <v>330</v>
      </c>
      <c r="E430" t="s">
        <v>2620</v>
      </c>
      <c r="F430" t="s">
        <v>1755</v>
      </c>
      <c r="G430" t="str">
        <f>CONCATENATE(Master_Packing_Database[[#This Row],[Exp '#]],Master_Packing_Database[[#This Row],[Batch '#]])</f>
        <v>2463rd-</v>
      </c>
      <c r="H430" t="s">
        <v>2621</v>
      </c>
      <c r="I430" t="s">
        <v>2622</v>
      </c>
      <c r="J430" t="s">
        <v>366</v>
      </c>
      <c r="K430" t="s">
        <v>32</v>
      </c>
      <c r="L430" t="s">
        <v>116</v>
      </c>
      <c r="M430" t="s">
        <v>116</v>
      </c>
      <c r="N430" t="s">
        <v>32</v>
      </c>
      <c r="O430" t="s">
        <v>32</v>
      </c>
      <c r="V430" t="s">
        <v>32</v>
      </c>
      <c r="X430" t="s">
        <v>32</v>
      </c>
      <c r="AE430" t="s">
        <v>1755</v>
      </c>
      <c r="AI430" t="s">
        <v>32</v>
      </c>
      <c r="AK430" t="s">
        <v>32</v>
      </c>
      <c r="AN430">
        <v>0</v>
      </c>
      <c r="AO430" t="s">
        <v>1834</v>
      </c>
      <c r="AP430" t="s">
        <v>1834</v>
      </c>
      <c r="AQ430">
        <v>0</v>
      </c>
      <c r="AR430" t="s">
        <v>1835</v>
      </c>
    </row>
    <row r="431" spans="1:44" x14ac:dyDescent="0.25">
      <c r="A431" t="s">
        <v>2555</v>
      </c>
      <c r="B431" t="s">
        <v>1829</v>
      </c>
      <c r="D431" t="s">
        <v>1029</v>
      </c>
      <c r="E431" t="s">
        <v>1125</v>
      </c>
      <c r="F431" t="s">
        <v>1755</v>
      </c>
      <c r="G431" t="str">
        <f>CONCATENATE(Master_Packing_Database[[#This Row],[Exp '#]],Master_Packing_Database[[#This Row],[Batch '#]])</f>
        <v>2450th-</v>
      </c>
      <c r="H431" t="s">
        <v>2623</v>
      </c>
      <c r="I431" t="s">
        <v>120</v>
      </c>
      <c r="J431" t="s">
        <v>117</v>
      </c>
      <c r="K431" t="s">
        <v>32</v>
      </c>
      <c r="L431" t="s">
        <v>1072</v>
      </c>
      <c r="M431" t="s">
        <v>1072</v>
      </c>
      <c r="N431" t="s">
        <v>32</v>
      </c>
      <c r="O431" t="s">
        <v>32</v>
      </c>
      <c r="V431" t="s">
        <v>32</v>
      </c>
      <c r="X431" t="s">
        <v>32</v>
      </c>
      <c r="AE431" t="s">
        <v>1755</v>
      </c>
      <c r="AI431" t="s">
        <v>32</v>
      </c>
      <c r="AK431" t="s">
        <v>32</v>
      </c>
      <c r="AN431">
        <v>0</v>
      </c>
      <c r="AO431" t="s">
        <v>1834</v>
      </c>
      <c r="AP431" t="s">
        <v>1834</v>
      </c>
      <c r="AQ431">
        <v>0</v>
      </c>
      <c r="AR431" t="s">
        <v>1835</v>
      </c>
    </row>
    <row r="432" spans="1:44" x14ac:dyDescent="0.25">
      <c r="A432" t="s">
        <v>2555</v>
      </c>
      <c r="B432" t="s">
        <v>1829</v>
      </c>
      <c r="D432" t="s">
        <v>1029</v>
      </c>
      <c r="E432" t="s">
        <v>1028</v>
      </c>
      <c r="F432" t="s">
        <v>1755</v>
      </c>
      <c r="G432" t="str">
        <f>CONCATENATE(Master_Packing_Database[[#This Row],[Exp '#]],Master_Packing_Database[[#This Row],[Batch '#]])</f>
        <v>2418th-</v>
      </c>
      <c r="H432" t="s">
        <v>2624</v>
      </c>
      <c r="I432" t="s">
        <v>295</v>
      </c>
      <c r="J432" t="s">
        <v>117</v>
      </c>
      <c r="K432" t="s">
        <v>32</v>
      </c>
      <c r="L432" t="s">
        <v>116</v>
      </c>
      <c r="M432" t="s">
        <v>116</v>
      </c>
      <c r="N432" t="s">
        <v>32</v>
      </c>
      <c r="O432" t="s">
        <v>32</v>
      </c>
      <c r="V432" t="s">
        <v>32</v>
      </c>
      <c r="X432" t="s">
        <v>32</v>
      </c>
      <c r="AE432" t="s">
        <v>1755</v>
      </c>
      <c r="AI432" t="s">
        <v>32</v>
      </c>
      <c r="AK432" t="s">
        <v>32</v>
      </c>
      <c r="AN432">
        <v>0</v>
      </c>
      <c r="AO432" t="s">
        <v>1834</v>
      </c>
      <c r="AP432" t="s">
        <v>1834</v>
      </c>
      <c r="AQ432">
        <v>0</v>
      </c>
      <c r="AR432" t="s">
        <v>1835</v>
      </c>
    </row>
    <row r="433" spans="1:44" x14ac:dyDescent="0.25">
      <c r="A433" t="s">
        <v>2555</v>
      </c>
      <c r="B433" t="s">
        <v>1829</v>
      </c>
      <c r="D433" t="s">
        <v>1004</v>
      </c>
      <c r="E433" t="s">
        <v>2625</v>
      </c>
      <c r="F433" t="s">
        <v>1755</v>
      </c>
      <c r="G433" t="str">
        <f>CONCATENATE(Master_Packing_Database[[#This Row],[Exp '#]],Master_Packing_Database[[#This Row],[Batch '#]])</f>
        <v>2473rd-</v>
      </c>
      <c r="H433" t="s">
        <v>2626</v>
      </c>
      <c r="I433" t="s">
        <v>1066</v>
      </c>
      <c r="J433" t="s">
        <v>117</v>
      </c>
      <c r="K433" t="s">
        <v>32</v>
      </c>
      <c r="L433" t="s">
        <v>975</v>
      </c>
      <c r="M433" t="s">
        <v>599</v>
      </c>
      <c r="N433" t="s">
        <v>32</v>
      </c>
      <c r="O433" t="s">
        <v>32</v>
      </c>
      <c r="V433" t="s">
        <v>32</v>
      </c>
      <c r="X433" t="s">
        <v>32</v>
      </c>
      <c r="AE433" t="s">
        <v>1755</v>
      </c>
      <c r="AI433" t="s">
        <v>32</v>
      </c>
      <c r="AK433" t="s">
        <v>32</v>
      </c>
      <c r="AN433">
        <v>0</v>
      </c>
      <c r="AO433" t="s">
        <v>1834</v>
      </c>
      <c r="AP433" t="s">
        <v>1834</v>
      </c>
      <c r="AQ433">
        <v>0</v>
      </c>
      <c r="AR433" t="s">
        <v>1835</v>
      </c>
    </row>
    <row r="434" spans="1:44" x14ac:dyDescent="0.25">
      <c r="A434" t="s">
        <v>2555</v>
      </c>
      <c r="B434" t="s">
        <v>1829</v>
      </c>
      <c r="D434" t="s">
        <v>1004</v>
      </c>
      <c r="E434" t="s">
        <v>2627</v>
      </c>
      <c r="F434" t="s">
        <v>1755</v>
      </c>
      <c r="G434" t="str">
        <f>CONCATENATE(Master_Packing_Database[[#This Row],[Exp '#]],Master_Packing_Database[[#This Row],[Batch '#]])</f>
        <v>2474th-</v>
      </c>
      <c r="I434" t="s">
        <v>2628</v>
      </c>
      <c r="J434" t="s">
        <v>117</v>
      </c>
      <c r="K434" t="s">
        <v>32</v>
      </c>
      <c r="L434" t="s">
        <v>116</v>
      </c>
      <c r="M434" t="s">
        <v>116</v>
      </c>
      <c r="N434" t="s">
        <v>32</v>
      </c>
      <c r="O434" t="s">
        <v>32</v>
      </c>
      <c r="V434" t="s">
        <v>32</v>
      </c>
      <c r="X434" t="s">
        <v>32</v>
      </c>
      <c r="AE434" t="s">
        <v>1755</v>
      </c>
      <c r="AI434" t="s">
        <v>32</v>
      </c>
      <c r="AK434" t="s">
        <v>32</v>
      </c>
      <c r="AN434">
        <v>0</v>
      </c>
      <c r="AO434" t="s">
        <v>1834</v>
      </c>
      <c r="AP434" t="s">
        <v>1834</v>
      </c>
      <c r="AQ434">
        <v>0</v>
      </c>
      <c r="AR434" t="s">
        <v>1835</v>
      </c>
    </row>
    <row r="435" spans="1:44" x14ac:dyDescent="0.25">
      <c r="A435" t="s">
        <v>2555</v>
      </c>
      <c r="B435" t="s">
        <v>1829</v>
      </c>
      <c r="D435" t="s">
        <v>1135</v>
      </c>
      <c r="E435" t="s">
        <v>2629</v>
      </c>
      <c r="F435" t="s">
        <v>1755</v>
      </c>
      <c r="G435" t="str">
        <f>CONCATENATE(Master_Packing_Database[[#This Row],[Exp '#]],Master_Packing_Database[[#This Row],[Batch '#]])</f>
        <v>2461st-</v>
      </c>
      <c r="I435" t="s">
        <v>295</v>
      </c>
      <c r="J435" t="s">
        <v>366</v>
      </c>
      <c r="K435" t="s">
        <v>32</v>
      </c>
      <c r="L435" t="s">
        <v>1072</v>
      </c>
      <c r="M435" t="s">
        <v>1072</v>
      </c>
      <c r="N435" t="s">
        <v>32</v>
      </c>
      <c r="O435" t="s">
        <v>32</v>
      </c>
      <c r="V435" t="s">
        <v>32</v>
      </c>
      <c r="X435" t="s">
        <v>32</v>
      </c>
      <c r="AE435" t="s">
        <v>1755</v>
      </c>
      <c r="AI435" t="s">
        <v>32</v>
      </c>
      <c r="AK435" t="s">
        <v>32</v>
      </c>
      <c r="AN435">
        <v>0</v>
      </c>
      <c r="AO435" t="s">
        <v>1834</v>
      </c>
      <c r="AP435" t="s">
        <v>1834</v>
      </c>
      <c r="AQ435">
        <v>0</v>
      </c>
      <c r="AR435" t="s">
        <v>1835</v>
      </c>
    </row>
    <row r="436" spans="1:44" x14ac:dyDescent="0.25">
      <c r="A436" t="s">
        <v>2555</v>
      </c>
      <c r="B436" t="s">
        <v>1829</v>
      </c>
      <c r="D436" t="s">
        <v>293</v>
      </c>
      <c r="E436" t="s">
        <v>2630</v>
      </c>
      <c r="F436" t="s">
        <v>1755</v>
      </c>
      <c r="G436" t="str">
        <f>CONCATENATE(Master_Packing_Database[[#This Row],[Exp '#]],Master_Packing_Database[[#This Row],[Batch '#]])</f>
        <v>2460th-</v>
      </c>
      <c r="I436" t="s">
        <v>295</v>
      </c>
      <c r="J436" t="s">
        <v>117</v>
      </c>
      <c r="K436" t="s">
        <v>32</v>
      </c>
      <c r="L436" t="s">
        <v>970</v>
      </c>
      <c r="M436" t="s">
        <v>970</v>
      </c>
      <c r="N436" t="s">
        <v>32</v>
      </c>
      <c r="O436" t="s">
        <v>32</v>
      </c>
      <c r="V436" t="s">
        <v>32</v>
      </c>
      <c r="X436" t="s">
        <v>32</v>
      </c>
      <c r="AE436" t="s">
        <v>1755</v>
      </c>
      <c r="AI436" t="s">
        <v>32</v>
      </c>
      <c r="AK436" t="s">
        <v>32</v>
      </c>
      <c r="AN436">
        <v>0</v>
      </c>
      <c r="AO436" t="s">
        <v>1834</v>
      </c>
      <c r="AP436" t="s">
        <v>1834</v>
      </c>
      <c r="AQ436">
        <v>0</v>
      </c>
      <c r="AR436" t="s">
        <v>1835</v>
      </c>
    </row>
    <row r="437" spans="1:44" x14ac:dyDescent="0.25">
      <c r="A437" t="s">
        <v>2555</v>
      </c>
      <c r="B437" t="s">
        <v>1829</v>
      </c>
      <c r="D437" t="s">
        <v>44</v>
      </c>
      <c r="E437" t="s">
        <v>598</v>
      </c>
      <c r="F437" t="s">
        <v>1755</v>
      </c>
      <c r="G437" t="str">
        <f>CONCATENATE(Master_Packing_Database[[#This Row],[Exp '#]],Master_Packing_Database[[#This Row],[Batch '#]])</f>
        <v>2326th-</v>
      </c>
      <c r="H437" t="s">
        <v>2631</v>
      </c>
      <c r="I437" t="s">
        <v>319</v>
      </c>
      <c r="J437" t="s">
        <v>366</v>
      </c>
      <c r="K437" t="s">
        <v>32</v>
      </c>
      <c r="L437" t="s">
        <v>599</v>
      </c>
      <c r="M437" t="s">
        <v>116</v>
      </c>
      <c r="N437" t="s">
        <v>32</v>
      </c>
      <c r="O437" t="s">
        <v>32</v>
      </c>
      <c r="V437" t="s">
        <v>32</v>
      </c>
      <c r="X437" t="s">
        <v>32</v>
      </c>
      <c r="AE437" t="s">
        <v>1755</v>
      </c>
      <c r="AI437" t="s">
        <v>32</v>
      </c>
      <c r="AK437" t="s">
        <v>32</v>
      </c>
      <c r="AN437">
        <v>0</v>
      </c>
      <c r="AO437" t="s">
        <v>1834</v>
      </c>
      <c r="AP437" t="s">
        <v>1834</v>
      </c>
      <c r="AQ437">
        <v>0</v>
      </c>
      <c r="AR437" t="s">
        <v>1835</v>
      </c>
    </row>
    <row r="438" spans="1:44" x14ac:dyDescent="0.25">
      <c r="A438" t="s">
        <v>2555</v>
      </c>
      <c r="B438" t="s">
        <v>1829</v>
      </c>
      <c r="D438" t="s">
        <v>518</v>
      </c>
      <c r="E438" t="s">
        <v>517</v>
      </c>
      <c r="F438" t="s">
        <v>1755</v>
      </c>
      <c r="G438" t="str">
        <f>CONCATENATE(Master_Packing_Database[[#This Row],[Exp '#]],Master_Packing_Database[[#This Row],[Batch '#]])</f>
        <v>2312nd-</v>
      </c>
      <c r="H438" t="s">
        <v>519</v>
      </c>
      <c r="I438" t="s">
        <v>520</v>
      </c>
      <c r="J438" t="s">
        <v>117</v>
      </c>
      <c r="K438" t="s">
        <v>32</v>
      </c>
      <c r="L438" t="s">
        <v>521</v>
      </c>
      <c r="M438" t="s">
        <v>522</v>
      </c>
      <c r="N438" t="s">
        <v>523</v>
      </c>
      <c r="O438" t="s">
        <v>524</v>
      </c>
      <c r="R438" t="s">
        <v>2632</v>
      </c>
      <c r="V438" t="s">
        <v>2633</v>
      </c>
      <c r="X438" t="s">
        <v>2634</v>
      </c>
      <c r="Y438" t="s">
        <v>2635</v>
      </c>
      <c r="Z438" t="s">
        <v>359</v>
      </c>
      <c r="AB438" t="s">
        <v>2636</v>
      </c>
      <c r="AE438" t="s">
        <v>2634</v>
      </c>
      <c r="AG438" t="s">
        <v>1303</v>
      </c>
      <c r="AI438" t="s">
        <v>525</v>
      </c>
      <c r="AK438" t="s">
        <v>32</v>
      </c>
      <c r="AN438">
        <v>0</v>
      </c>
      <c r="AO438" t="s">
        <v>1834</v>
      </c>
      <c r="AP438" t="s">
        <v>1834</v>
      </c>
      <c r="AQ438">
        <v>0</v>
      </c>
      <c r="AR438" t="s">
        <v>1758</v>
      </c>
    </row>
    <row r="439" spans="1:44" x14ac:dyDescent="0.25">
      <c r="A439" t="s">
        <v>2555</v>
      </c>
      <c r="B439" t="s">
        <v>1829</v>
      </c>
      <c r="D439" t="s">
        <v>1061</v>
      </c>
      <c r="E439" t="s">
        <v>1060</v>
      </c>
      <c r="F439" t="s">
        <v>1755</v>
      </c>
      <c r="G439" t="str">
        <f>CONCATENATE(Master_Packing_Database[[#This Row],[Exp '#]],Master_Packing_Database[[#This Row],[Batch '#]])</f>
        <v>2427th-</v>
      </c>
      <c r="H439" t="s">
        <v>1062</v>
      </c>
      <c r="I439" t="s">
        <v>115</v>
      </c>
      <c r="J439" t="s">
        <v>117</v>
      </c>
      <c r="K439" t="s">
        <v>32</v>
      </c>
      <c r="L439" t="s">
        <v>116</v>
      </c>
      <c r="M439" t="s">
        <v>116</v>
      </c>
      <c r="N439" t="s">
        <v>1063</v>
      </c>
      <c r="O439" t="s">
        <v>1064</v>
      </c>
      <c r="R439" t="s">
        <v>2637</v>
      </c>
      <c r="V439" t="s">
        <v>2638</v>
      </c>
      <c r="X439" t="s">
        <v>2639</v>
      </c>
      <c r="Y439" t="s">
        <v>1054</v>
      </c>
      <c r="Z439" t="s">
        <v>2640</v>
      </c>
      <c r="AB439" t="s">
        <v>2641</v>
      </c>
      <c r="AE439" t="s">
        <v>2639</v>
      </c>
      <c r="AG439" t="s">
        <v>1303</v>
      </c>
      <c r="AI439" t="s">
        <v>29</v>
      </c>
      <c r="AK439" t="s">
        <v>32</v>
      </c>
      <c r="AN439">
        <v>0</v>
      </c>
      <c r="AO439" t="s">
        <v>1834</v>
      </c>
      <c r="AP439" t="s">
        <v>1834</v>
      </c>
      <c r="AQ439">
        <v>0</v>
      </c>
      <c r="AR439" t="s">
        <v>1758</v>
      </c>
    </row>
    <row r="440" spans="1:44" x14ac:dyDescent="0.25">
      <c r="A440" t="s">
        <v>2555</v>
      </c>
      <c r="B440" t="s">
        <v>1829</v>
      </c>
      <c r="D440" t="s">
        <v>1014</v>
      </c>
      <c r="E440" t="s">
        <v>1013</v>
      </c>
      <c r="F440" t="s">
        <v>1755</v>
      </c>
      <c r="G440" t="str">
        <f>CONCATENATE(Master_Packing_Database[[#This Row],[Exp '#]],Master_Packing_Database[[#This Row],[Batch '#]])</f>
        <v>2414th-</v>
      </c>
      <c r="H440" t="s">
        <v>1015</v>
      </c>
      <c r="I440" t="s">
        <v>375</v>
      </c>
      <c r="J440" t="s">
        <v>117</v>
      </c>
      <c r="K440" t="s">
        <v>32</v>
      </c>
      <c r="L440" t="s">
        <v>1016</v>
      </c>
      <c r="M440" t="s">
        <v>1016</v>
      </c>
      <c r="N440" t="s">
        <v>1017</v>
      </c>
      <c r="O440" t="s">
        <v>1018</v>
      </c>
      <c r="R440" t="s">
        <v>2642</v>
      </c>
      <c r="V440" t="s">
        <v>32</v>
      </c>
      <c r="X440" t="s">
        <v>2643</v>
      </c>
      <c r="Z440" t="s">
        <v>1425</v>
      </c>
      <c r="AB440" t="s">
        <v>2639</v>
      </c>
      <c r="AE440" t="s">
        <v>2643</v>
      </c>
      <c r="AG440" t="s">
        <v>1303</v>
      </c>
      <c r="AI440" t="s">
        <v>29</v>
      </c>
      <c r="AK440" t="s">
        <v>32</v>
      </c>
      <c r="AN440">
        <v>0</v>
      </c>
      <c r="AO440" t="s">
        <v>1834</v>
      </c>
      <c r="AP440" t="s">
        <v>1834</v>
      </c>
      <c r="AQ440">
        <v>0</v>
      </c>
      <c r="AR440" t="s">
        <v>1758</v>
      </c>
    </row>
    <row r="441" spans="1:44" x14ac:dyDescent="0.25">
      <c r="A441" t="s">
        <v>2555</v>
      </c>
      <c r="B441" t="s">
        <v>1829</v>
      </c>
      <c r="D441" t="s">
        <v>834</v>
      </c>
      <c r="E441" t="s">
        <v>833</v>
      </c>
      <c r="F441" t="s">
        <v>761</v>
      </c>
      <c r="G441" t="str">
        <f>CONCATENATE(Master_Packing_Database[[#This Row],[Exp '#]],Master_Packing_Database[[#This Row],[Batch '#]])</f>
        <v>2372nd1st</v>
      </c>
      <c r="H441" t="s">
        <v>2644</v>
      </c>
      <c r="I441" t="s">
        <v>295</v>
      </c>
      <c r="J441" t="s">
        <v>117</v>
      </c>
      <c r="K441" t="s">
        <v>32</v>
      </c>
      <c r="L441" t="s">
        <v>599</v>
      </c>
      <c r="M441" t="s">
        <v>599</v>
      </c>
      <c r="N441" t="s">
        <v>2645</v>
      </c>
      <c r="O441" t="s">
        <v>2646</v>
      </c>
      <c r="R441" t="s">
        <v>2647</v>
      </c>
      <c r="V441" t="s">
        <v>32</v>
      </c>
      <c r="X441" t="s">
        <v>2648</v>
      </c>
      <c r="Z441" t="s">
        <v>835</v>
      </c>
      <c r="AB441" t="s">
        <v>2649</v>
      </c>
      <c r="AE441" t="s">
        <v>2648</v>
      </c>
      <c r="AG441" t="s">
        <v>1303</v>
      </c>
      <c r="AI441" t="s">
        <v>29</v>
      </c>
      <c r="AK441" t="s">
        <v>32</v>
      </c>
      <c r="AN441">
        <v>0</v>
      </c>
      <c r="AO441" t="s">
        <v>1834</v>
      </c>
      <c r="AP441" t="s">
        <v>1834</v>
      </c>
      <c r="AQ441">
        <v>0</v>
      </c>
      <c r="AR441" t="s">
        <v>1758</v>
      </c>
    </row>
    <row r="442" spans="1:44" x14ac:dyDescent="0.25">
      <c r="A442" t="s">
        <v>2555</v>
      </c>
      <c r="B442" t="s">
        <v>1829</v>
      </c>
      <c r="D442" t="s">
        <v>837</v>
      </c>
      <c r="E442" t="s">
        <v>836</v>
      </c>
      <c r="F442" t="s">
        <v>1755</v>
      </c>
      <c r="G442" t="str">
        <f>CONCATENATE(Master_Packing_Database[[#This Row],[Exp '#]],Master_Packing_Database[[#This Row],[Batch '#]])</f>
        <v>2373rd-</v>
      </c>
      <c r="H442" t="s">
        <v>838</v>
      </c>
      <c r="I442" t="s">
        <v>839</v>
      </c>
      <c r="J442" t="s">
        <v>117</v>
      </c>
      <c r="K442" t="s">
        <v>32</v>
      </c>
      <c r="L442" t="s">
        <v>116</v>
      </c>
      <c r="M442" t="s">
        <v>116</v>
      </c>
      <c r="N442" t="s">
        <v>2650</v>
      </c>
      <c r="O442" t="s">
        <v>2651</v>
      </c>
      <c r="R442" t="s">
        <v>2652</v>
      </c>
      <c r="V442" t="s">
        <v>32</v>
      </c>
      <c r="X442" t="s">
        <v>2563</v>
      </c>
      <c r="Z442" t="s">
        <v>116</v>
      </c>
      <c r="AB442" t="s">
        <v>2565</v>
      </c>
      <c r="AE442" t="s">
        <v>2653</v>
      </c>
      <c r="AG442" t="s">
        <v>2654</v>
      </c>
      <c r="AI442" t="s">
        <v>525</v>
      </c>
      <c r="AK442" t="s">
        <v>32</v>
      </c>
      <c r="AN442">
        <v>0</v>
      </c>
      <c r="AO442" t="s">
        <v>1834</v>
      </c>
      <c r="AP442" t="s">
        <v>1834</v>
      </c>
      <c r="AQ442">
        <v>0</v>
      </c>
      <c r="AR442" t="s">
        <v>1758</v>
      </c>
    </row>
    <row r="443" spans="1:44" x14ac:dyDescent="0.25">
      <c r="A443" t="s">
        <v>2555</v>
      </c>
      <c r="B443" t="s">
        <v>1829</v>
      </c>
      <c r="D443" t="s">
        <v>1109</v>
      </c>
      <c r="E443" t="s">
        <v>1108</v>
      </c>
      <c r="F443" t="s">
        <v>1755</v>
      </c>
      <c r="G443" t="str">
        <f>CONCATENATE(Master_Packing_Database[[#This Row],[Exp '#]],Master_Packing_Database[[#This Row],[Batch '#]])</f>
        <v>2445th-</v>
      </c>
      <c r="H443" t="s">
        <v>1110</v>
      </c>
      <c r="I443" t="s">
        <v>1111</v>
      </c>
      <c r="J443" t="s">
        <v>117</v>
      </c>
      <c r="K443" t="s">
        <v>32</v>
      </c>
      <c r="L443" t="s">
        <v>1016</v>
      </c>
      <c r="M443" t="s">
        <v>116</v>
      </c>
      <c r="N443" t="s">
        <v>1112</v>
      </c>
      <c r="O443" t="s">
        <v>1113</v>
      </c>
      <c r="R443" t="s">
        <v>1443</v>
      </c>
      <c r="V443" t="s">
        <v>32</v>
      </c>
      <c r="X443" t="s">
        <v>2563</v>
      </c>
      <c r="AB443" t="s">
        <v>2565</v>
      </c>
      <c r="AE443" t="s">
        <v>1755</v>
      </c>
      <c r="AI443" t="s">
        <v>889</v>
      </c>
      <c r="AK443" t="s">
        <v>32</v>
      </c>
      <c r="AN443">
        <v>0</v>
      </c>
      <c r="AO443" t="s">
        <v>1834</v>
      </c>
      <c r="AP443" t="s">
        <v>1834</v>
      </c>
      <c r="AQ443">
        <v>0</v>
      </c>
      <c r="AR443" t="s">
        <v>1835</v>
      </c>
    </row>
    <row r="444" spans="1:44" x14ac:dyDescent="0.25">
      <c r="A444" t="s">
        <v>2555</v>
      </c>
      <c r="B444" t="s">
        <v>1829</v>
      </c>
      <c r="D444" t="s">
        <v>884</v>
      </c>
      <c r="E444" t="s">
        <v>883</v>
      </c>
      <c r="F444" t="s">
        <v>1755</v>
      </c>
      <c r="G444" t="str">
        <f>CONCATENATE(Master_Packing_Database[[#This Row],[Exp '#]],Master_Packing_Database[[#This Row],[Batch '#]])</f>
        <v>2383rd-</v>
      </c>
      <c r="H444" t="s">
        <v>885</v>
      </c>
      <c r="I444" t="s">
        <v>886</v>
      </c>
      <c r="J444" t="s">
        <v>117</v>
      </c>
      <c r="K444" t="s">
        <v>32</v>
      </c>
      <c r="L444" t="s">
        <v>116</v>
      </c>
      <c r="M444" t="s">
        <v>116</v>
      </c>
      <c r="N444" t="s">
        <v>887</v>
      </c>
      <c r="O444" t="s">
        <v>888</v>
      </c>
      <c r="R444" t="s">
        <v>2655</v>
      </c>
      <c r="V444" t="s">
        <v>2656</v>
      </c>
      <c r="X444" t="s">
        <v>2563</v>
      </c>
      <c r="Y444" t="s">
        <v>2657</v>
      </c>
      <c r="AB444" t="s">
        <v>2565</v>
      </c>
      <c r="AE444" t="s">
        <v>1755</v>
      </c>
      <c r="AI444" t="s">
        <v>889</v>
      </c>
      <c r="AK444" t="s">
        <v>32</v>
      </c>
      <c r="AN444">
        <v>0</v>
      </c>
      <c r="AO444" t="s">
        <v>1834</v>
      </c>
      <c r="AP444" t="s">
        <v>1834</v>
      </c>
      <c r="AQ444">
        <v>0</v>
      </c>
      <c r="AR444" t="s">
        <v>1835</v>
      </c>
    </row>
    <row r="445" spans="1:44" x14ac:dyDescent="0.25">
      <c r="A445" t="s">
        <v>2555</v>
      </c>
      <c r="B445" t="s">
        <v>1829</v>
      </c>
      <c r="D445" t="s">
        <v>38</v>
      </c>
      <c r="E445" t="s">
        <v>2658</v>
      </c>
      <c r="F445" t="s">
        <v>1755</v>
      </c>
      <c r="G445" t="str">
        <f>CONCATENATE(Master_Packing_Database[[#This Row],[Exp '#]],Master_Packing_Database[[#This Row],[Batch '#]])</f>
        <v>IOL MEMO NO. 211 - 2082-</v>
      </c>
      <c r="H445" t="s">
        <v>114</v>
      </c>
      <c r="I445" t="s">
        <v>115</v>
      </c>
      <c r="J445" t="s">
        <v>117</v>
      </c>
      <c r="K445" t="s">
        <v>32</v>
      </c>
      <c r="L445" t="s">
        <v>116</v>
      </c>
      <c r="M445" t="s">
        <v>116</v>
      </c>
      <c r="N445" t="s">
        <v>2659</v>
      </c>
      <c r="O445" t="s">
        <v>2660</v>
      </c>
      <c r="R445" t="s">
        <v>118</v>
      </c>
      <c r="V445" t="s">
        <v>32</v>
      </c>
      <c r="X445" t="s">
        <v>2563</v>
      </c>
      <c r="AB445" t="s">
        <v>2565</v>
      </c>
      <c r="AE445" t="s">
        <v>1755</v>
      </c>
      <c r="AI445" t="s">
        <v>889</v>
      </c>
      <c r="AK445" t="s">
        <v>32</v>
      </c>
      <c r="AN445">
        <v>0</v>
      </c>
      <c r="AO445" t="s">
        <v>1834</v>
      </c>
      <c r="AP445" t="s">
        <v>1834</v>
      </c>
      <c r="AQ445">
        <v>0</v>
      </c>
      <c r="AR445" t="s">
        <v>1835</v>
      </c>
    </row>
    <row r="446" spans="1:44" x14ac:dyDescent="0.25">
      <c r="A446" t="s">
        <v>2555</v>
      </c>
      <c r="B446" t="s">
        <v>1829</v>
      </c>
      <c r="D446" t="s">
        <v>38</v>
      </c>
      <c r="E446" t="s">
        <v>2661</v>
      </c>
      <c r="F446" t="s">
        <v>1755</v>
      </c>
      <c r="G446" t="str">
        <f>CONCATENATE(Master_Packing_Database[[#This Row],[Exp '#]],Master_Packing_Database[[#This Row],[Batch '#]])</f>
        <v>IOL MEMO NO. 211 - 2110-</v>
      </c>
      <c r="H446" t="s">
        <v>119</v>
      </c>
      <c r="I446" t="s">
        <v>120</v>
      </c>
      <c r="J446" t="s">
        <v>117</v>
      </c>
      <c r="K446" t="s">
        <v>32</v>
      </c>
      <c r="L446" t="s">
        <v>116</v>
      </c>
      <c r="M446" t="s">
        <v>116</v>
      </c>
      <c r="N446" t="s">
        <v>2662</v>
      </c>
      <c r="O446" t="s">
        <v>2663</v>
      </c>
      <c r="R446" t="s">
        <v>118</v>
      </c>
      <c r="V446" t="s">
        <v>32</v>
      </c>
      <c r="X446" t="s">
        <v>2563</v>
      </c>
      <c r="AB446" t="s">
        <v>2565</v>
      </c>
      <c r="AE446" t="s">
        <v>1755</v>
      </c>
      <c r="AI446" t="s">
        <v>32</v>
      </c>
      <c r="AK446" t="s">
        <v>32</v>
      </c>
      <c r="AN446">
        <v>0</v>
      </c>
      <c r="AO446" t="s">
        <v>1834</v>
      </c>
      <c r="AP446" t="s">
        <v>1834</v>
      </c>
      <c r="AQ446">
        <v>0</v>
      </c>
      <c r="AR446" t="s">
        <v>1835</v>
      </c>
    </row>
    <row r="447" spans="1:44" x14ac:dyDescent="0.25">
      <c r="A447" t="s">
        <v>2555</v>
      </c>
      <c r="B447" t="s">
        <v>1829</v>
      </c>
      <c r="D447" t="s">
        <v>908</v>
      </c>
      <c r="E447" t="s">
        <v>907</v>
      </c>
      <c r="F447" t="s">
        <v>1755</v>
      </c>
      <c r="G447" t="str">
        <f>CONCATENATE(Master_Packing_Database[[#This Row],[Exp '#]],Master_Packing_Database[[#This Row],[Batch '#]])</f>
        <v>2388th-</v>
      </c>
      <c r="H447" t="s">
        <v>909</v>
      </c>
      <c r="I447" t="s">
        <v>910</v>
      </c>
      <c r="J447" t="s">
        <v>117</v>
      </c>
      <c r="K447" t="s">
        <v>32</v>
      </c>
      <c r="L447" t="s">
        <v>911</v>
      </c>
      <c r="M447" t="s">
        <v>912</v>
      </c>
      <c r="N447" t="s">
        <v>913</v>
      </c>
      <c r="O447" t="s">
        <v>914</v>
      </c>
      <c r="R447" t="s">
        <v>2664</v>
      </c>
      <c r="V447" t="s">
        <v>32</v>
      </c>
      <c r="X447" t="s">
        <v>2585</v>
      </c>
      <c r="AB447" t="s">
        <v>2558</v>
      </c>
      <c r="AE447" t="s">
        <v>1755</v>
      </c>
      <c r="AI447" t="s">
        <v>32</v>
      </c>
      <c r="AK447" t="s">
        <v>32</v>
      </c>
      <c r="AN447">
        <v>0</v>
      </c>
      <c r="AO447" t="s">
        <v>1834</v>
      </c>
      <c r="AP447" t="s">
        <v>1834</v>
      </c>
      <c r="AQ447">
        <v>0</v>
      </c>
      <c r="AR447" t="s">
        <v>1835</v>
      </c>
    </row>
    <row r="448" spans="1:44" x14ac:dyDescent="0.25">
      <c r="A448" t="s">
        <v>2555</v>
      </c>
      <c r="B448" t="s">
        <v>1829</v>
      </c>
      <c r="D448" t="s">
        <v>560</v>
      </c>
      <c r="E448" t="s">
        <v>1051</v>
      </c>
      <c r="F448" t="s">
        <v>2665</v>
      </c>
      <c r="G448" t="str">
        <f>CONCATENATE(Master_Packing_Database[[#This Row],[Exp '#]],Master_Packing_Database[[#This Row],[Batch '#]])</f>
        <v>2425th2nd Part load with 2415</v>
      </c>
      <c r="H448" t="s">
        <v>1052</v>
      </c>
      <c r="I448" t="s">
        <v>1053</v>
      </c>
      <c r="J448" t="s">
        <v>117</v>
      </c>
      <c r="K448" t="s">
        <v>32</v>
      </c>
      <c r="L448" t="s">
        <v>1054</v>
      </c>
      <c r="M448" t="s">
        <v>849</v>
      </c>
      <c r="N448" t="s">
        <v>32</v>
      </c>
      <c r="O448" t="s">
        <v>32</v>
      </c>
      <c r="V448" t="s">
        <v>32</v>
      </c>
      <c r="X448" t="s">
        <v>2585</v>
      </c>
      <c r="AB448" t="s">
        <v>2558</v>
      </c>
      <c r="AE448" t="s">
        <v>1755</v>
      </c>
      <c r="AI448" t="s">
        <v>32</v>
      </c>
      <c r="AK448" t="s">
        <v>32</v>
      </c>
      <c r="AN448">
        <v>0</v>
      </c>
      <c r="AO448" t="s">
        <v>1834</v>
      </c>
      <c r="AP448" t="s">
        <v>1834</v>
      </c>
      <c r="AQ448">
        <v>0</v>
      </c>
      <c r="AR448" t="s">
        <v>1835</v>
      </c>
    </row>
    <row r="449" spans="1:44" x14ac:dyDescent="0.25">
      <c r="A449" t="s">
        <v>2555</v>
      </c>
      <c r="B449" t="s">
        <v>1829</v>
      </c>
      <c r="D449" t="s">
        <v>834</v>
      </c>
      <c r="E449" t="s">
        <v>833</v>
      </c>
      <c r="F449" t="s">
        <v>422</v>
      </c>
      <c r="G449" t="str">
        <f>CONCATENATE(Master_Packing_Database[[#This Row],[Exp '#]],Master_Packing_Database[[#This Row],[Batch '#]])</f>
        <v>2372nd2nd</v>
      </c>
      <c r="H449" t="s">
        <v>2666</v>
      </c>
      <c r="I449" t="s">
        <v>295</v>
      </c>
      <c r="J449" t="s">
        <v>117</v>
      </c>
      <c r="K449" t="s">
        <v>32</v>
      </c>
      <c r="L449" t="s">
        <v>116</v>
      </c>
      <c r="M449" t="s">
        <v>116</v>
      </c>
      <c r="N449" t="s">
        <v>2667</v>
      </c>
      <c r="O449" t="s">
        <v>2668</v>
      </c>
      <c r="R449" t="s">
        <v>2647</v>
      </c>
      <c r="V449" t="s">
        <v>32</v>
      </c>
      <c r="X449" t="s">
        <v>2669</v>
      </c>
      <c r="AB449" t="s">
        <v>2563</v>
      </c>
      <c r="AE449" t="s">
        <v>1755</v>
      </c>
      <c r="AI449" t="s">
        <v>889</v>
      </c>
      <c r="AK449" t="s">
        <v>32</v>
      </c>
      <c r="AN449">
        <v>0</v>
      </c>
      <c r="AO449" t="s">
        <v>1834</v>
      </c>
      <c r="AP449" t="s">
        <v>1834</v>
      </c>
      <c r="AQ449">
        <v>0</v>
      </c>
      <c r="AR449" t="s">
        <v>1835</v>
      </c>
    </row>
    <row r="450" spans="1:44" x14ac:dyDescent="0.25">
      <c r="A450" t="s">
        <v>2555</v>
      </c>
      <c r="B450" t="s">
        <v>1829</v>
      </c>
      <c r="D450" t="s">
        <v>837</v>
      </c>
      <c r="E450" t="s">
        <v>1093</v>
      </c>
      <c r="F450" t="s">
        <v>1755</v>
      </c>
      <c r="G450" t="str">
        <f>CONCATENATE(Master_Packing_Database[[#This Row],[Exp '#]],Master_Packing_Database[[#This Row],[Batch '#]])</f>
        <v>2438th-</v>
      </c>
      <c r="H450" t="s">
        <v>1094</v>
      </c>
      <c r="I450" t="s">
        <v>111</v>
      </c>
      <c r="J450" t="s">
        <v>117</v>
      </c>
      <c r="K450" t="s">
        <v>32</v>
      </c>
      <c r="L450" t="s">
        <v>835</v>
      </c>
      <c r="M450" t="s">
        <v>835</v>
      </c>
      <c r="N450" t="s">
        <v>2670</v>
      </c>
      <c r="O450" t="s">
        <v>2671</v>
      </c>
      <c r="R450" t="s">
        <v>2672</v>
      </c>
      <c r="V450" t="s">
        <v>32</v>
      </c>
      <c r="X450" t="s">
        <v>2673</v>
      </c>
      <c r="AB450" t="s">
        <v>2578</v>
      </c>
      <c r="AE450" t="s">
        <v>1755</v>
      </c>
      <c r="AI450" t="s">
        <v>32</v>
      </c>
      <c r="AK450" t="s">
        <v>32</v>
      </c>
      <c r="AN450">
        <v>0</v>
      </c>
      <c r="AO450" t="s">
        <v>1834</v>
      </c>
      <c r="AP450" t="s">
        <v>1834</v>
      </c>
      <c r="AQ450">
        <v>0</v>
      </c>
      <c r="AR450" t="s">
        <v>1835</v>
      </c>
    </row>
    <row r="451" spans="1:44" x14ac:dyDescent="0.25">
      <c r="A451" t="s">
        <v>2555</v>
      </c>
      <c r="B451" t="s">
        <v>1829</v>
      </c>
      <c r="D451" t="s">
        <v>824</v>
      </c>
      <c r="E451" t="s">
        <v>832</v>
      </c>
      <c r="F451" t="s">
        <v>422</v>
      </c>
      <c r="G451" t="str">
        <f>CONCATENATE(Master_Packing_Database[[#This Row],[Exp '#]],Master_Packing_Database[[#This Row],[Batch '#]])</f>
        <v>2371st2nd</v>
      </c>
      <c r="H451" t="s">
        <v>2674</v>
      </c>
      <c r="I451" t="s">
        <v>156</v>
      </c>
      <c r="J451" t="s">
        <v>117</v>
      </c>
      <c r="K451" t="s">
        <v>32</v>
      </c>
      <c r="L451" t="s">
        <v>116</v>
      </c>
      <c r="M451" t="s">
        <v>116</v>
      </c>
      <c r="N451" t="s">
        <v>32</v>
      </c>
      <c r="O451" t="s">
        <v>32</v>
      </c>
      <c r="R451" t="s">
        <v>2675</v>
      </c>
      <c r="V451" t="s">
        <v>2676</v>
      </c>
      <c r="X451" t="s">
        <v>2677</v>
      </c>
      <c r="Y451" t="s">
        <v>383</v>
      </c>
      <c r="AB451" t="s">
        <v>2678</v>
      </c>
      <c r="AE451" t="s">
        <v>1755</v>
      </c>
      <c r="AI451" t="s">
        <v>889</v>
      </c>
      <c r="AK451" t="s">
        <v>32</v>
      </c>
      <c r="AN451">
        <v>0</v>
      </c>
      <c r="AO451" t="s">
        <v>1834</v>
      </c>
      <c r="AP451" t="s">
        <v>1834</v>
      </c>
      <c r="AQ451">
        <v>0</v>
      </c>
      <c r="AR451" t="s">
        <v>1835</v>
      </c>
    </row>
    <row r="452" spans="1:44" x14ac:dyDescent="0.25">
      <c r="A452" t="s">
        <v>2555</v>
      </c>
      <c r="B452" t="s">
        <v>1829</v>
      </c>
      <c r="D452" t="s">
        <v>281</v>
      </c>
      <c r="E452" t="s">
        <v>1086</v>
      </c>
      <c r="F452" t="s">
        <v>2679</v>
      </c>
      <c r="G452" t="str">
        <f>CONCATENATE(Master_Packing_Database[[#This Row],[Exp '#]],Master_Packing_Database[[#This Row],[Batch '#]])</f>
        <v>2435thShip with 2417</v>
      </c>
      <c r="H452" t="s">
        <v>1087</v>
      </c>
      <c r="I452" t="s">
        <v>1088</v>
      </c>
      <c r="J452" t="s">
        <v>117</v>
      </c>
      <c r="K452" t="s">
        <v>32</v>
      </c>
      <c r="L452" t="s">
        <v>1016</v>
      </c>
      <c r="M452" t="s">
        <v>116</v>
      </c>
      <c r="N452" t="s">
        <v>2680</v>
      </c>
      <c r="O452" t="s">
        <v>2681</v>
      </c>
      <c r="R452" t="s">
        <v>2682</v>
      </c>
      <c r="V452" t="s">
        <v>32</v>
      </c>
      <c r="X452" t="s">
        <v>2683</v>
      </c>
      <c r="AB452" t="s">
        <v>2684</v>
      </c>
      <c r="AE452" t="s">
        <v>1755</v>
      </c>
      <c r="AI452" t="s">
        <v>32</v>
      </c>
      <c r="AK452" t="s">
        <v>32</v>
      </c>
      <c r="AN452">
        <v>0</v>
      </c>
      <c r="AO452" t="s">
        <v>1834</v>
      </c>
      <c r="AP452" t="s">
        <v>1834</v>
      </c>
      <c r="AQ452">
        <v>0</v>
      </c>
      <c r="AR452" t="s">
        <v>1835</v>
      </c>
    </row>
    <row r="453" spans="1:44" x14ac:dyDescent="0.25">
      <c r="A453" t="s">
        <v>2555</v>
      </c>
      <c r="B453" t="s">
        <v>1829</v>
      </c>
      <c r="D453" t="s">
        <v>109</v>
      </c>
      <c r="E453" t="s">
        <v>1069</v>
      </c>
      <c r="F453" t="s">
        <v>1755</v>
      </c>
      <c r="G453" t="str">
        <f>CONCATENATE(Master_Packing_Database[[#This Row],[Exp '#]],Master_Packing_Database[[#This Row],[Batch '#]])</f>
        <v>2430th-</v>
      </c>
      <c r="H453" t="s">
        <v>1070</v>
      </c>
      <c r="I453" t="s">
        <v>1071</v>
      </c>
      <c r="J453" t="s">
        <v>117</v>
      </c>
      <c r="K453" t="s">
        <v>32</v>
      </c>
      <c r="L453" t="s">
        <v>1072</v>
      </c>
      <c r="M453" t="s">
        <v>1072</v>
      </c>
      <c r="N453" t="s">
        <v>2685</v>
      </c>
      <c r="O453" t="s">
        <v>2686</v>
      </c>
      <c r="R453" t="s">
        <v>2687</v>
      </c>
      <c r="V453" t="s">
        <v>32</v>
      </c>
      <c r="X453" t="s">
        <v>2683</v>
      </c>
      <c r="AB453" t="s">
        <v>2684</v>
      </c>
      <c r="AE453" t="s">
        <v>1755</v>
      </c>
      <c r="AI453" t="s">
        <v>32</v>
      </c>
      <c r="AK453" t="s">
        <v>32</v>
      </c>
      <c r="AN453">
        <v>0</v>
      </c>
      <c r="AO453" t="s">
        <v>1834</v>
      </c>
      <c r="AP453" t="s">
        <v>1834</v>
      </c>
      <c r="AQ453">
        <v>0</v>
      </c>
      <c r="AR453" t="s">
        <v>1835</v>
      </c>
    </row>
    <row r="454" spans="1:44" x14ac:dyDescent="0.25">
      <c r="A454" t="s">
        <v>2555</v>
      </c>
      <c r="B454" t="s">
        <v>1829</v>
      </c>
      <c r="D454" t="s">
        <v>510</v>
      </c>
      <c r="E454" t="s">
        <v>1095</v>
      </c>
      <c r="F454" t="s">
        <v>1755</v>
      </c>
      <c r="G454" t="str">
        <f>CONCATENATE(Master_Packing_Database[[#This Row],[Exp '#]],Master_Packing_Database[[#This Row],[Batch '#]])</f>
        <v>2439th-</v>
      </c>
      <c r="H454" t="s">
        <v>1096</v>
      </c>
      <c r="I454" t="s">
        <v>156</v>
      </c>
      <c r="J454" t="s">
        <v>117</v>
      </c>
      <c r="K454" t="s">
        <v>32</v>
      </c>
      <c r="L454" t="s">
        <v>116</v>
      </c>
      <c r="M454" t="s">
        <v>116</v>
      </c>
      <c r="N454" t="s">
        <v>2688</v>
      </c>
      <c r="O454" t="s">
        <v>2689</v>
      </c>
      <c r="R454" t="s">
        <v>2690</v>
      </c>
      <c r="V454" t="s">
        <v>32</v>
      </c>
      <c r="X454" t="s">
        <v>2691</v>
      </c>
      <c r="AB454" t="s">
        <v>2683</v>
      </c>
      <c r="AE454" t="s">
        <v>1755</v>
      </c>
      <c r="AI454" t="s">
        <v>32</v>
      </c>
      <c r="AK454" t="s">
        <v>32</v>
      </c>
      <c r="AN454">
        <v>0</v>
      </c>
      <c r="AO454" t="s">
        <v>1834</v>
      </c>
      <c r="AP454" t="s">
        <v>1834</v>
      </c>
      <c r="AQ454">
        <v>0</v>
      </c>
      <c r="AR454" t="s">
        <v>1835</v>
      </c>
    </row>
    <row r="455" spans="1:44" x14ac:dyDescent="0.25">
      <c r="A455" t="s">
        <v>2555</v>
      </c>
      <c r="B455" t="s">
        <v>1829</v>
      </c>
      <c r="D455" t="s">
        <v>884</v>
      </c>
      <c r="E455" t="s">
        <v>1036</v>
      </c>
      <c r="F455" t="s">
        <v>1755</v>
      </c>
      <c r="G455" t="str">
        <f>CONCATENATE(Master_Packing_Database[[#This Row],[Exp '#]],Master_Packing_Database[[#This Row],[Batch '#]])</f>
        <v>2420th-</v>
      </c>
      <c r="H455" t="s">
        <v>1037</v>
      </c>
      <c r="I455" t="s">
        <v>1038</v>
      </c>
      <c r="J455" t="s">
        <v>117</v>
      </c>
      <c r="K455" t="s">
        <v>32</v>
      </c>
      <c r="L455" t="s">
        <v>835</v>
      </c>
      <c r="M455" t="s">
        <v>835</v>
      </c>
      <c r="N455" t="s">
        <v>2692</v>
      </c>
      <c r="O455" t="s">
        <v>2693</v>
      </c>
      <c r="R455" t="s">
        <v>2632</v>
      </c>
      <c r="V455" t="s">
        <v>32</v>
      </c>
      <c r="X455" t="s">
        <v>2691</v>
      </c>
      <c r="AB455" t="s">
        <v>2683</v>
      </c>
      <c r="AE455" t="s">
        <v>1755</v>
      </c>
      <c r="AI455" t="s">
        <v>32</v>
      </c>
      <c r="AK455" t="s">
        <v>32</v>
      </c>
      <c r="AN455">
        <v>0</v>
      </c>
      <c r="AO455" t="s">
        <v>1834</v>
      </c>
      <c r="AP455" t="s">
        <v>1834</v>
      </c>
      <c r="AQ455">
        <v>0</v>
      </c>
      <c r="AR455" t="s">
        <v>1835</v>
      </c>
    </row>
    <row r="456" spans="1:44" x14ac:dyDescent="0.25">
      <c r="A456" t="s">
        <v>2555</v>
      </c>
      <c r="B456" t="s">
        <v>1829</v>
      </c>
      <c r="D456" t="s">
        <v>48</v>
      </c>
      <c r="E456" t="s">
        <v>1065</v>
      </c>
      <c r="F456" t="s">
        <v>1755</v>
      </c>
      <c r="G456" t="str">
        <f>CONCATENATE(Master_Packing_Database[[#This Row],[Exp '#]],Master_Packing_Database[[#This Row],[Batch '#]])</f>
        <v>2428th-</v>
      </c>
      <c r="H456" t="s">
        <v>2694</v>
      </c>
      <c r="I456" t="s">
        <v>1066</v>
      </c>
      <c r="J456" t="s">
        <v>117</v>
      </c>
      <c r="K456" t="s">
        <v>32</v>
      </c>
      <c r="L456" t="s">
        <v>975</v>
      </c>
      <c r="M456" t="s">
        <v>599</v>
      </c>
      <c r="N456" t="s">
        <v>2695</v>
      </c>
      <c r="O456" t="s">
        <v>758</v>
      </c>
      <c r="R456" t="s">
        <v>2696</v>
      </c>
      <c r="V456" t="s">
        <v>32</v>
      </c>
      <c r="X456" t="s">
        <v>2691</v>
      </c>
      <c r="AB456" t="s">
        <v>2683</v>
      </c>
      <c r="AE456" t="s">
        <v>1755</v>
      </c>
      <c r="AI456" t="s">
        <v>32</v>
      </c>
      <c r="AK456" t="s">
        <v>32</v>
      </c>
      <c r="AN456">
        <v>0</v>
      </c>
      <c r="AO456" t="s">
        <v>1834</v>
      </c>
      <c r="AP456" t="s">
        <v>1834</v>
      </c>
      <c r="AQ456">
        <v>0</v>
      </c>
      <c r="AR456" t="s">
        <v>1835</v>
      </c>
    </row>
    <row r="457" spans="1:44" x14ac:dyDescent="0.25">
      <c r="A457" t="s">
        <v>2555</v>
      </c>
      <c r="B457" t="s">
        <v>1829</v>
      </c>
      <c r="D457" t="s">
        <v>374</v>
      </c>
      <c r="E457" t="s">
        <v>840</v>
      </c>
      <c r="F457" t="s">
        <v>1755</v>
      </c>
      <c r="G457" t="str">
        <f>CONCATENATE(Master_Packing_Database[[#This Row],[Exp '#]],Master_Packing_Database[[#This Row],[Batch '#]])</f>
        <v>2374th-</v>
      </c>
      <c r="H457" t="s">
        <v>841</v>
      </c>
      <c r="I457" t="s">
        <v>842</v>
      </c>
      <c r="J457" t="s">
        <v>117</v>
      </c>
      <c r="K457" t="s">
        <v>32</v>
      </c>
      <c r="L457" t="s">
        <v>599</v>
      </c>
      <c r="M457" t="s">
        <v>599</v>
      </c>
      <c r="N457" t="s">
        <v>32</v>
      </c>
      <c r="O457" t="s">
        <v>32</v>
      </c>
      <c r="V457" t="s">
        <v>32</v>
      </c>
      <c r="X457" t="s">
        <v>2602</v>
      </c>
      <c r="AB457" t="s">
        <v>2697</v>
      </c>
      <c r="AE457" t="s">
        <v>1755</v>
      </c>
      <c r="AI457" t="s">
        <v>32</v>
      </c>
      <c r="AK457" t="s">
        <v>32</v>
      </c>
      <c r="AN457">
        <v>0</v>
      </c>
      <c r="AO457" t="s">
        <v>1834</v>
      </c>
      <c r="AP457" t="s">
        <v>1834</v>
      </c>
      <c r="AQ457">
        <v>0</v>
      </c>
      <c r="AR457" t="s">
        <v>1835</v>
      </c>
    </row>
    <row r="458" spans="1:44" x14ac:dyDescent="0.25">
      <c r="A458" t="s">
        <v>2555</v>
      </c>
      <c r="B458" t="s">
        <v>1829</v>
      </c>
      <c r="D458" t="s">
        <v>1074</v>
      </c>
      <c r="E458" t="s">
        <v>1073</v>
      </c>
      <c r="F458" t="s">
        <v>1755</v>
      </c>
      <c r="G458" t="str">
        <f>CONCATENATE(Master_Packing_Database[[#This Row],[Exp '#]],Master_Packing_Database[[#This Row],[Batch '#]])</f>
        <v>2431st-</v>
      </c>
      <c r="H458" t="s">
        <v>1075</v>
      </c>
      <c r="I458" t="s">
        <v>1053</v>
      </c>
      <c r="J458" t="s">
        <v>117</v>
      </c>
      <c r="K458" t="s">
        <v>32</v>
      </c>
      <c r="L458" t="s">
        <v>871</v>
      </c>
      <c r="M458" t="s">
        <v>912</v>
      </c>
      <c r="N458" t="s">
        <v>32</v>
      </c>
      <c r="O458" t="s">
        <v>32</v>
      </c>
      <c r="V458" t="s">
        <v>32</v>
      </c>
      <c r="X458" t="s">
        <v>2601</v>
      </c>
      <c r="AB458" t="s">
        <v>2602</v>
      </c>
      <c r="AE458" t="s">
        <v>1755</v>
      </c>
      <c r="AI458" t="s">
        <v>32</v>
      </c>
      <c r="AK458" t="s">
        <v>32</v>
      </c>
      <c r="AN458">
        <v>0</v>
      </c>
      <c r="AO458" t="s">
        <v>1834</v>
      </c>
      <c r="AP458" t="s">
        <v>1834</v>
      </c>
      <c r="AQ458">
        <v>0</v>
      </c>
      <c r="AR458" t="s">
        <v>1835</v>
      </c>
    </row>
    <row r="459" spans="1:44" x14ac:dyDescent="0.25">
      <c r="A459" t="s">
        <v>2555</v>
      </c>
      <c r="B459" t="s">
        <v>1829</v>
      </c>
      <c r="D459" t="s">
        <v>1026</v>
      </c>
      <c r="E459" t="s">
        <v>1025</v>
      </c>
      <c r="F459" t="s">
        <v>2698</v>
      </c>
      <c r="G459" t="str">
        <f>CONCATENATE(Master_Packing_Database[[#This Row],[Exp '#]],Master_Packing_Database[[#This Row],[Batch '#]])</f>
        <v>2417thShip with 2435</v>
      </c>
      <c r="H459" t="s">
        <v>1027</v>
      </c>
      <c r="I459" t="s">
        <v>1010</v>
      </c>
      <c r="J459" t="s">
        <v>117</v>
      </c>
      <c r="K459" t="s">
        <v>32</v>
      </c>
      <c r="L459" t="s">
        <v>835</v>
      </c>
      <c r="M459" t="s">
        <v>835</v>
      </c>
      <c r="N459" t="s">
        <v>32</v>
      </c>
      <c r="O459" t="s">
        <v>32</v>
      </c>
      <c r="V459" t="s">
        <v>32</v>
      </c>
      <c r="X459" t="s">
        <v>2604</v>
      </c>
      <c r="AB459" t="s">
        <v>2601</v>
      </c>
      <c r="AE459" t="s">
        <v>1755</v>
      </c>
      <c r="AI459" t="s">
        <v>32</v>
      </c>
      <c r="AK459" t="s">
        <v>32</v>
      </c>
      <c r="AN459">
        <v>0</v>
      </c>
      <c r="AO459" t="s">
        <v>1834</v>
      </c>
      <c r="AP459" t="s">
        <v>1834</v>
      </c>
      <c r="AQ459">
        <v>0</v>
      </c>
      <c r="AR459" t="s">
        <v>1835</v>
      </c>
    </row>
    <row r="460" spans="1:44" x14ac:dyDescent="0.25">
      <c r="A460" t="s">
        <v>2555</v>
      </c>
      <c r="B460" t="s">
        <v>1829</v>
      </c>
      <c r="D460" t="s">
        <v>1105</v>
      </c>
      <c r="E460" t="s">
        <v>1104</v>
      </c>
      <c r="F460" t="s">
        <v>1755</v>
      </c>
      <c r="G460" t="str">
        <f>CONCATENATE(Master_Packing_Database[[#This Row],[Exp '#]],Master_Packing_Database[[#This Row],[Batch '#]])</f>
        <v>2444th-</v>
      </c>
      <c r="H460" t="s">
        <v>1106</v>
      </c>
      <c r="I460" t="s">
        <v>1107</v>
      </c>
      <c r="J460" t="s">
        <v>117</v>
      </c>
      <c r="K460" t="s">
        <v>32</v>
      </c>
      <c r="L460" t="s">
        <v>116</v>
      </c>
      <c r="M460" t="s">
        <v>116</v>
      </c>
      <c r="N460" t="s">
        <v>32</v>
      </c>
      <c r="O460" t="s">
        <v>32</v>
      </c>
      <c r="V460" t="s">
        <v>32</v>
      </c>
      <c r="X460" t="s">
        <v>2604</v>
      </c>
      <c r="AB460" t="s">
        <v>2601</v>
      </c>
      <c r="AE460" t="s">
        <v>1755</v>
      </c>
      <c r="AI460" t="s">
        <v>32</v>
      </c>
      <c r="AK460" t="s">
        <v>32</v>
      </c>
      <c r="AN460">
        <v>0</v>
      </c>
      <c r="AO460" t="s">
        <v>1834</v>
      </c>
      <c r="AP460" t="s">
        <v>1834</v>
      </c>
      <c r="AQ460">
        <v>0</v>
      </c>
      <c r="AR460" t="s">
        <v>1835</v>
      </c>
    </row>
    <row r="461" spans="1:44" x14ac:dyDescent="0.25">
      <c r="A461" t="s">
        <v>2555</v>
      </c>
      <c r="B461" t="s">
        <v>1829</v>
      </c>
      <c r="D461" t="s">
        <v>1124</v>
      </c>
      <c r="E461" t="s">
        <v>1123</v>
      </c>
      <c r="F461" t="s">
        <v>1755</v>
      </c>
      <c r="G461" t="str">
        <f>CONCATENATE(Master_Packing_Database[[#This Row],[Exp '#]],Master_Packing_Database[[#This Row],[Batch '#]])</f>
        <v>2449th-</v>
      </c>
      <c r="I461" t="s">
        <v>660</v>
      </c>
      <c r="J461" t="s">
        <v>117</v>
      </c>
      <c r="K461" t="s">
        <v>32</v>
      </c>
      <c r="L461" t="s">
        <v>599</v>
      </c>
      <c r="M461" t="s">
        <v>116</v>
      </c>
      <c r="N461" t="s">
        <v>32</v>
      </c>
      <c r="O461" t="s">
        <v>32</v>
      </c>
      <c r="V461" t="s">
        <v>32</v>
      </c>
      <c r="X461" t="s">
        <v>2606</v>
      </c>
      <c r="AB461" t="s">
        <v>2604</v>
      </c>
      <c r="AE461" t="s">
        <v>1755</v>
      </c>
      <c r="AI461" t="s">
        <v>32</v>
      </c>
      <c r="AK461" t="s">
        <v>32</v>
      </c>
      <c r="AN461">
        <v>0</v>
      </c>
      <c r="AO461" t="s">
        <v>1834</v>
      </c>
      <c r="AP461" t="s">
        <v>1834</v>
      </c>
      <c r="AQ461">
        <v>0</v>
      </c>
      <c r="AR461" t="s">
        <v>1835</v>
      </c>
    </row>
    <row r="462" spans="1:44" x14ac:dyDescent="0.25">
      <c r="A462" t="s">
        <v>2555</v>
      </c>
      <c r="B462" t="s">
        <v>1829</v>
      </c>
      <c r="D462" t="s">
        <v>2699</v>
      </c>
      <c r="E462" t="s">
        <v>2700</v>
      </c>
      <c r="F462" t="s">
        <v>1755</v>
      </c>
      <c r="G462" t="str">
        <f>CONCATENATE(Master_Packing_Database[[#This Row],[Exp '#]],Master_Packing_Database[[#This Row],[Batch '#]])</f>
        <v>2458th-</v>
      </c>
      <c r="H462" t="s">
        <v>2701</v>
      </c>
      <c r="I462" t="s">
        <v>2702</v>
      </c>
      <c r="J462" t="s">
        <v>117</v>
      </c>
      <c r="K462" t="s">
        <v>32</v>
      </c>
      <c r="L462" t="s">
        <v>599</v>
      </c>
      <c r="M462" t="s">
        <v>116</v>
      </c>
      <c r="N462" t="s">
        <v>32</v>
      </c>
      <c r="O462" t="s">
        <v>32</v>
      </c>
      <c r="V462" t="s">
        <v>32</v>
      </c>
      <c r="X462" t="s">
        <v>2703</v>
      </c>
      <c r="AB462" t="s">
        <v>2704</v>
      </c>
      <c r="AE462" t="s">
        <v>1755</v>
      </c>
      <c r="AI462" t="s">
        <v>32</v>
      </c>
      <c r="AK462" t="s">
        <v>32</v>
      </c>
      <c r="AN462">
        <v>0</v>
      </c>
      <c r="AO462" t="s">
        <v>1834</v>
      </c>
      <c r="AP462" t="s">
        <v>1834</v>
      </c>
      <c r="AQ462">
        <v>0</v>
      </c>
      <c r="AR462" t="s">
        <v>1835</v>
      </c>
    </row>
    <row r="463" spans="1:44" x14ac:dyDescent="0.25">
      <c r="A463" t="s">
        <v>2555</v>
      </c>
      <c r="B463" t="s">
        <v>1829</v>
      </c>
      <c r="D463" t="s">
        <v>1132</v>
      </c>
      <c r="E463" t="s">
        <v>1131</v>
      </c>
      <c r="F463" t="s">
        <v>1755</v>
      </c>
      <c r="G463" t="str">
        <f>CONCATENATE(Master_Packing_Database[[#This Row],[Exp '#]],Master_Packing_Database[[#This Row],[Batch '#]])</f>
        <v>2454th-</v>
      </c>
      <c r="H463" t="s">
        <v>1133</v>
      </c>
      <c r="I463" t="s">
        <v>981</v>
      </c>
      <c r="J463" t="s">
        <v>366</v>
      </c>
      <c r="K463" t="s">
        <v>32</v>
      </c>
      <c r="L463" t="s">
        <v>599</v>
      </c>
      <c r="M463" t="s">
        <v>599</v>
      </c>
      <c r="N463" t="s">
        <v>32</v>
      </c>
      <c r="O463" t="s">
        <v>32</v>
      </c>
      <c r="V463" t="s">
        <v>32</v>
      </c>
      <c r="X463" t="s">
        <v>2705</v>
      </c>
      <c r="AB463" t="s">
        <v>2706</v>
      </c>
      <c r="AE463" t="s">
        <v>1755</v>
      </c>
      <c r="AI463" t="s">
        <v>32</v>
      </c>
      <c r="AK463" t="s">
        <v>32</v>
      </c>
      <c r="AN463">
        <v>0</v>
      </c>
      <c r="AO463" t="s">
        <v>1834</v>
      </c>
      <c r="AP463" t="s">
        <v>1834</v>
      </c>
      <c r="AQ463">
        <v>0</v>
      </c>
      <c r="AR463" t="s">
        <v>1835</v>
      </c>
    </row>
    <row r="464" spans="1:44" x14ac:dyDescent="0.25">
      <c r="A464" t="s">
        <v>2555</v>
      </c>
      <c r="B464" t="s">
        <v>1829</v>
      </c>
      <c r="D464" t="s">
        <v>998</v>
      </c>
      <c r="E464" t="s">
        <v>997</v>
      </c>
      <c r="F464" t="s">
        <v>1755</v>
      </c>
      <c r="G464" t="str">
        <f>CONCATENATE(Master_Packing_Database[[#This Row],[Exp '#]],Master_Packing_Database[[#This Row],[Batch '#]])</f>
        <v>2410th-</v>
      </c>
      <c r="H464" t="s">
        <v>2707</v>
      </c>
      <c r="I464" t="s">
        <v>295</v>
      </c>
      <c r="J464" t="s">
        <v>117</v>
      </c>
      <c r="K464" t="s">
        <v>32</v>
      </c>
      <c r="L464" t="s">
        <v>835</v>
      </c>
      <c r="M464" t="s">
        <v>835</v>
      </c>
      <c r="N464" t="s">
        <v>32</v>
      </c>
      <c r="O464" t="s">
        <v>32</v>
      </c>
      <c r="V464" t="s">
        <v>32</v>
      </c>
      <c r="X464" t="s">
        <v>32</v>
      </c>
      <c r="AE464" t="s">
        <v>1755</v>
      </c>
      <c r="AI464" t="s">
        <v>32</v>
      </c>
      <c r="AK464" t="s">
        <v>32</v>
      </c>
      <c r="AN464">
        <v>0</v>
      </c>
      <c r="AO464" t="s">
        <v>1834</v>
      </c>
      <c r="AP464" t="s">
        <v>1834</v>
      </c>
      <c r="AQ464">
        <v>0</v>
      </c>
      <c r="AR464" t="s">
        <v>1835</v>
      </c>
    </row>
    <row r="465" spans="1:44" x14ac:dyDescent="0.25">
      <c r="A465" t="s">
        <v>2555</v>
      </c>
      <c r="B465" t="s">
        <v>1829</v>
      </c>
      <c r="D465" t="s">
        <v>374</v>
      </c>
      <c r="E465" t="s">
        <v>373</v>
      </c>
      <c r="F465" t="s">
        <v>1755</v>
      </c>
      <c r="G465" t="str">
        <f>CONCATENATE(Master_Packing_Database[[#This Row],[Exp '#]],Master_Packing_Database[[#This Row],[Batch '#]])</f>
        <v>2282nd-</v>
      </c>
      <c r="I465" t="s">
        <v>375</v>
      </c>
      <c r="J465" t="s">
        <v>366</v>
      </c>
      <c r="K465" t="s">
        <v>32</v>
      </c>
      <c r="L465" t="s">
        <v>376</v>
      </c>
      <c r="M465" t="s">
        <v>376</v>
      </c>
      <c r="N465" t="s">
        <v>32</v>
      </c>
      <c r="O465" t="s">
        <v>32</v>
      </c>
      <c r="V465" t="s">
        <v>32</v>
      </c>
      <c r="X465" t="s">
        <v>32</v>
      </c>
      <c r="AE465" t="s">
        <v>1755</v>
      </c>
      <c r="AI465" t="s">
        <v>32</v>
      </c>
      <c r="AK465" t="s">
        <v>32</v>
      </c>
      <c r="AN465">
        <v>0</v>
      </c>
      <c r="AO465" t="s">
        <v>1834</v>
      </c>
      <c r="AP465" t="s">
        <v>1834</v>
      </c>
      <c r="AQ465">
        <v>0</v>
      </c>
      <c r="AR465" t="s">
        <v>1835</v>
      </c>
    </row>
    <row r="466" spans="1:44" x14ac:dyDescent="0.25">
      <c r="A466" t="s">
        <v>2555</v>
      </c>
      <c r="B466" t="s">
        <v>1829</v>
      </c>
      <c r="D466" t="s">
        <v>1050</v>
      </c>
      <c r="E466" t="s">
        <v>1049</v>
      </c>
      <c r="F466" t="s">
        <v>2708</v>
      </c>
      <c r="G466" t="str">
        <f>CONCATENATE(Master_Packing_Database[[#This Row],[Exp '#]],Master_Packing_Database[[#This Row],[Batch '#]])</f>
        <v>2424thCANCELLED</v>
      </c>
      <c r="H466" t="s">
        <v>2709</v>
      </c>
      <c r="I466" t="s">
        <v>660</v>
      </c>
      <c r="J466" t="s">
        <v>117</v>
      </c>
      <c r="K466" t="s">
        <v>32</v>
      </c>
      <c r="L466" t="s">
        <v>2710</v>
      </c>
      <c r="M466" t="s">
        <v>116</v>
      </c>
      <c r="N466" t="s">
        <v>32</v>
      </c>
      <c r="O466" t="s">
        <v>32</v>
      </c>
      <c r="V466" t="s">
        <v>32</v>
      </c>
      <c r="X466" t="s">
        <v>32</v>
      </c>
      <c r="AE466" t="s">
        <v>1755</v>
      </c>
      <c r="AI466" t="s">
        <v>32</v>
      </c>
      <c r="AK466" t="s">
        <v>32</v>
      </c>
      <c r="AN466">
        <v>0</v>
      </c>
      <c r="AO466" t="s">
        <v>1834</v>
      </c>
      <c r="AP466" t="s">
        <v>1834</v>
      </c>
      <c r="AQ466">
        <v>0</v>
      </c>
      <c r="AR466" t="s">
        <v>1835</v>
      </c>
    </row>
    <row r="467" spans="1:44" x14ac:dyDescent="0.25">
      <c r="A467" t="s">
        <v>2555</v>
      </c>
      <c r="B467" t="s">
        <v>1829</v>
      </c>
      <c r="D467" t="s">
        <v>2711</v>
      </c>
      <c r="E467" t="s">
        <v>1130</v>
      </c>
      <c r="F467" t="s">
        <v>1755</v>
      </c>
      <c r="G467" t="str">
        <f>CONCATENATE(Master_Packing_Database[[#This Row],[Exp '#]],Master_Packing_Database[[#This Row],[Batch '#]])</f>
        <v>2453rd-</v>
      </c>
      <c r="H467" t="s">
        <v>2712</v>
      </c>
      <c r="I467" t="s">
        <v>319</v>
      </c>
      <c r="J467" t="s">
        <v>366</v>
      </c>
      <c r="K467" t="s">
        <v>32</v>
      </c>
      <c r="L467" t="s">
        <v>544</v>
      </c>
      <c r="M467" t="s">
        <v>599</v>
      </c>
      <c r="N467" t="s">
        <v>32</v>
      </c>
      <c r="O467" t="s">
        <v>32</v>
      </c>
      <c r="V467" t="s">
        <v>32</v>
      </c>
      <c r="X467" t="s">
        <v>32</v>
      </c>
      <c r="AE467" t="s">
        <v>1755</v>
      </c>
      <c r="AI467" t="s">
        <v>32</v>
      </c>
      <c r="AK467" t="s">
        <v>32</v>
      </c>
      <c r="AN467">
        <v>0</v>
      </c>
      <c r="AO467" t="s">
        <v>1834</v>
      </c>
      <c r="AP467" t="s">
        <v>1834</v>
      </c>
      <c r="AQ467">
        <v>0</v>
      </c>
      <c r="AR467" t="s">
        <v>1835</v>
      </c>
    </row>
    <row r="468" spans="1:44" x14ac:dyDescent="0.25">
      <c r="A468" t="s">
        <v>2555</v>
      </c>
      <c r="B468" t="s">
        <v>1829</v>
      </c>
      <c r="D468" t="s">
        <v>2713</v>
      </c>
      <c r="E468" t="s">
        <v>2714</v>
      </c>
      <c r="F468" t="s">
        <v>1755</v>
      </c>
      <c r="G468" t="str">
        <f>CONCATENATE(Master_Packing_Database[[#This Row],[Exp '#]],Master_Packing_Database[[#This Row],[Batch '#]])</f>
        <v>2457th-</v>
      </c>
      <c r="H468" t="s">
        <v>2715</v>
      </c>
      <c r="I468" t="s">
        <v>332</v>
      </c>
      <c r="J468" t="s">
        <v>117</v>
      </c>
      <c r="K468" t="s">
        <v>32</v>
      </c>
      <c r="L468" t="s">
        <v>599</v>
      </c>
      <c r="M468" t="s">
        <v>116</v>
      </c>
      <c r="N468" t="s">
        <v>32</v>
      </c>
      <c r="O468" t="s">
        <v>32</v>
      </c>
      <c r="V468" t="s">
        <v>32</v>
      </c>
      <c r="X468" t="s">
        <v>32</v>
      </c>
      <c r="AE468" t="s">
        <v>1755</v>
      </c>
      <c r="AI468" t="s">
        <v>32</v>
      </c>
      <c r="AK468" t="s">
        <v>32</v>
      </c>
      <c r="AN468">
        <v>0</v>
      </c>
      <c r="AO468" t="s">
        <v>1834</v>
      </c>
      <c r="AP468" t="s">
        <v>1834</v>
      </c>
      <c r="AQ468">
        <v>0</v>
      </c>
      <c r="AR468" t="s">
        <v>1835</v>
      </c>
    </row>
    <row r="469" spans="1:44" x14ac:dyDescent="0.25">
      <c r="A469" t="s">
        <v>2555</v>
      </c>
      <c r="B469" t="s">
        <v>1829</v>
      </c>
      <c r="D469" t="s">
        <v>48</v>
      </c>
      <c r="E469" t="s">
        <v>2716</v>
      </c>
      <c r="F469" t="s">
        <v>1755</v>
      </c>
      <c r="G469" t="str">
        <f>CONCATENATE(Master_Packing_Database[[#This Row],[Exp '#]],Master_Packing_Database[[#This Row],[Batch '#]])</f>
        <v>2462nd-</v>
      </c>
      <c r="H469" t="s">
        <v>2717</v>
      </c>
      <c r="I469" t="s">
        <v>2718</v>
      </c>
      <c r="J469" t="s">
        <v>117</v>
      </c>
      <c r="K469" t="s">
        <v>32</v>
      </c>
      <c r="L469" t="s">
        <v>116</v>
      </c>
      <c r="M469" t="s">
        <v>116</v>
      </c>
      <c r="N469" t="s">
        <v>32</v>
      </c>
      <c r="O469" t="s">
        <v>32</v>
      </c>
      <c r="V469" t="s">
        <v>32</v>
      </c>
      <c r="X469" t="s">
        <v>32</v>
      </c>
      <c r="AE469" t="s">
        <v>1755</v>
      </c>
      <c r="AI469" t="s">
        <v>32</v>
      </c>
      <c r="AK469" t="s">
        <v>32</v>
      </c>
      <c r="AN469">
        <v>0</v>
      </c>
      <c r="AO469" t="s">
        <v>1834</v>
      </c>
      <c r="AP469" t="s">
        <v>1834</v>
      </c>
      <c r="AQ469">
        <v>0</v>
      </c>
      <c r="AR469" t="s">
        <v>1835</v>
      </c>
    </row>
    <row r="470" spans="1:44" x14ac:dyDescent="0.25">
      <c r="A470" t="s">
        <v>2555</v>
      </c>
      <c r="B470" t="s">
        <v>1829</v>
      </c>
      <c r="D470" t="s">
        <v>2719</v>
      </c>
      <c r="E470" t="s">
        <v>2720</v>
      </c>
      <c r="F470" t="s">
        <v>1755</v>
      </c>
      <c r="G470" t="str">
        <f>CONCATENATE(Master_Packing_Database[[#This Row],[Exp '#]],Master_Packing_Database[[#This Row],[Batch '#]])</f>
        <v>2465th-</v>
      </c>
      <c r="H470" t="s">
        <v>2721</v>
      </c>
      <c r="I470" t="s">
        <v>1053</v>
      </c>
      <c r="J470" t="s">
        <v>117</v>
      </c>
      <c r="K470" t="s">
        <v>32</v>
      </c>
      <c r="L470" t="s">
        <v>2722</v>
      </c>
      <c r="N470" t="s">
        <v>32</v>
      </c>
      <c r="O470" t="s">
        <v>32</v>
      </c>
      <c r="V470" t="s">
        <v>32</v>
      </c>
      <c r="X470" t="s">
        <v>32</v>
      </c>
      <c r="AE470" t="s">
        <v>1755</v>
      </c>
      <c r="AI470" t="s">
        <v>32</v>
      </c>
      <c r="AK470" t="s">
        <v>32</v>
      </c>
      <c r="AN470">
        <v>0</v>
      </c>
      <c r="AO470" t="s">
        <v>1834</v>
      </c>
      <c r="AP470" t="s">
        <v>1834</v>
      </c>
      <c r="AQ470">
        <v>0</v>
      </c>
      <c r="AR470" t="s">
        <v>1835</v>
      </c>
    </row>
    <row r="471" spans="1:44" x14ac:dyDescent="0.25">
      <c r="A471" t="s">
        <v>2555</v>
      </c>
      <c r="B471" t="s">
        <v>1829</v>
      </c>
      <c r="D471" t="s">
        <v>1124</v>
      </c>
      <c r="E471" t="s">
        <v>2723</v>
      </c>
      <c r="F471" t="s">
        <v>1755</v>
      </c>
      <c r="G471" t="str">
        <f>CONCATENATE(Master_Packing_Database[[#This Row],[Exp '#]],Master_Packing_Database[[#This Row],[Batch '#]])</f>
        <v>2477th-</v>
      </c>
      <c r="H471" t="s">
        <v>2724</v>
      </c>
      <c r="I471" t="s">
        <v>2725</v>
      </c>
      <c r="J471" t="s">
        <v>117</v>
      </c>
      <c r="K471" t="s">
        <v>32</v>
      </c>
      <c r="L471" t="s">
        <v>975</v>
      </c>
      <c r="M471" t="s">
        <v>116</v>
      </c>
      <c r="N471" t="s">
        <v>32</v>
      </c>
      <c r="O471" t="s">
        <v>32</v>
      </c>
      <c r="V471" t="s">
        <v>32</v>
      </c>
      <c r="X471" t="s">
        <v>32</v>
      </c>
      <c r="AE471" t="s">
        <v>1755</v>
      </c>
      <c r="AI471" t="s">
        <v>32</v>
      </c>
      <c r="AK471" t="s">
        <v>32</v>
      </c>
      <c r="AN471">
        <v>0</v>
      </c>
      <c r="AO471" t="s">
        <v>1834</v>
      </c>
      <c r="AP471" t="s">
        <v>1834</v>
      </c>
      <c r="AQ471">
        <v>0</v>
      </c>
      <c r="AR471" t="s">
        <v>1835</v>
      </c>
    </row>
    <row r="472" spans="1:44" x14ac:dyDescent="0.25">
      <c r="A472" t="s">
        <v>2555</v>
      </c>
      <c r="B472" t="s">
        <v>1829</v>
      </c>
      <c r="D472" t="s">
        <v>1090</v>
      </c>
      <c r="E472" t="s">
        <v>2726</v>
      </c>
      <c r="F472" t="s">
        <v>1755</v>
      </c>
      <c r="G472" t="str">
        <f>CONCATENATE(Master_Packing_Database[[#This Row],[Exp '#]],Master_Packing_Database[[#This Row],[Batch '#]])</f>
        <v>2459th-</v>
      </c>
      <c r="I472" t="s">
        <v>2727</v>
      </c>
      <c r="J472" t="s">
        <v>366</v>
      </c>
      <c r="K472" t="s">
        <v>32</v>
      </c>
      <c r="L472" t="s">
        <v>975</v>
      </c>
      <c r="M472" t="s">
        <v>116</v>
      </c>
      <c r="N472" t="s">
        <v>32</v>
      </c>
      <c r="O472" t="s">
        <v>32</v>
      </c>
      <c r="V472" t="s">
        <v>32</v>
      </c>
      <c r="X472" t="s">
        <v>32</v>
      </c>
      <c r="AE472" t="s">
        <v>1755</v>
      </c>
      <c r="AI472" t="s">
        <v>32</v>
      </c>
      <c r="AK472" t="s">
        <v>32</v>
      </c>
      <c r="AN472">
        <v>0</v>
      </c>
      <c r="AO472" t="s">
        <v>1834</v>
      </c>
      <c r="AP472" t="s">
        <v>1834</v>
      </c>
      <c r="AQ472">
        <v>0</v>
      </c>
      <c r="AR472" t="s">
        <v>1835</v>
      </c>
    </row>
    <row r="473" spans="1:44" x14ac:dyDescent="0.25">
      <c r="A473" t="s">
        <v>2555</v>
      </c>
      <c r="B473" t="s">
        <v>1829</v>
      </c>
      <c r="D473" t="s">
        <v>1109</v>
      </c>
      <c r="E473" t="s">
        <v>2728</v>
      </c>
      <c r="F473" t="s">
        <v>1755</v>
      </c>
      <c r="G473" t="str">
        <f>CONCATENATE(Master_Packing_Database[[#This Row],[Exp '#]],Master_Packing_Database[[#This Row],[Batch '#]])</f>
        <v>2464th-</v>
      </c>
      <c r="H473" t="s">
        <v>2729</v>
      </c>
      <c r="I473" t="s">
        <v>332</v>
      </c>
      <c r="J473" t="s">
        <v>117</v>
      </c>
      <c r="K473" t="s">
        <v>32</v>
      </c>
      <c r="L473" t="s">
        <v>1072</v>
      </c>
      <c r="M473" t="s">
        <v>975</v>
      </c>
      <c r="N473" t="s">
        <v>32</v>
      </c>
      <c r="O473" t="s">
        <v>32</v>
      </c>
      <c r="V473" t="s">
        <v>32</v>
      </c>
      <c r="X473" t="s">
        <v>32</v>
      </c>
      <c r="AE473" t="s">
        <v>1755</v>
      </c>
      <c r="AI473" t="s">
        <v>32</v>
      </c>
      <c r="AK473" t="s">
        <v>32</v>
      </c>
      <c r="AN473">
        <v>0</v>
      </c>
      <c r="AO473" t="s">
        <v>1834</v>
      </c>
      <c r="AP473" t="s">
        <v>1834</v>
      </c>
      <c r="AQ473">
        <v>0</v>
      </c>
      <c r="AR473" t="s">
        <v>1835</v>
      </c>
    </row>
    <row r="474" spans="1:44" x14ac:dyDescent="0.25">
      <c r="A474" t="s">
        <v>2555</v>
      </c>
      <c r="B474" t="s">
        <v>1829</v>
      </c>
      <c r="D474" t="s">
        <v>2730</v>
      </c>
      <c r="E474" t="s">
        <v>2731</v>
      </c>
      <c r="F474" t="s">
        <v>1755</v>
      </c>
      <c r="G474" t="str">
        <f>CONCATENATE(Master_Packing_Database[[#This Row],[Exp '#]],Master_Packing_Database[[#This Row],[Batch '#]])</f>
        <v>2466th-</v>
      </c>
      <c r="H474" t="s">
        <v>2732</v>
      </c>
      <c r="I474" t="s">
        <v>981</v>
      </c>
      <c r="J474" t="s">
        <v>117</v>
      </c>
      <c r="K474" t="s">
        <v>32</v>
      </c>
      <c r="L474" t="s">
        <v>835</v>
      </c>
      <c r="M474" t="s">
        <v>835</v>
      </c>
      <c r="N474" t="s">
        <v>32</v>
      </c>
      <c r="O474" t="s">
        <v>32</v>
      </c>
      <c r="V474" t="s">
        <v>32</v>
      </c>
      <c r="X474" t="s">
        <v>32</v>
      </c>
      <c r="AE474" t="s">
        <v>1755</v>
      </c>
      <c r="AI474" t="s">
        <v>32</v>
      </c>
      <c r="AK474" t="s">
        <v>32</v>
      </c>
      <c r="AN474">
        <v>0</v>
      </c>
      <c r="AO474" t="s">
        <v>1834</v>
      </c>
      <c r="AP474" t="s">
        <v>1834</v>
      </c>
      <c r="AQ474">
        <v>0</v>
      </c>
      <c r="AR474" t="s">
        <v>1835</v>
      </c>
    </row>
    <row r="475" spans="1:44" x14ac:dyDescent="0.25">
      <c r="A475" t="s">
        <v>2555</v>
      </c>
      <c r="B475" t="s">
        <v>1829</v>
      </c>
      <c r="D475" t="s">
        <v>1109</v>
      </c>
      <c r="E475" t="s">
        <v>2733</v>
      </c>
      <c r="F475" t="s">
        <v>1755</v>
      </c>
      <c r="G475" t="str">
        <f>CONCATENATE(Master_Packing_Database[[#This Row],[Exp '#]],Master_Packing_Database[[#This Row],[Batch '#]])</f>
        <v>2467th-</v>
      </c>
      <c r="I475" t="s">
        <v>981</v>
      </c>
      <c r="J475" t="s">
        <v>117</v>
      </c>
      <c r="K475" t="s">
        <v>32</v>
      </c>
      <c r="L475" t="s">
        <v>116</v>
      </c>
      <c r="M475" t="s">
        <v>116</v>
      </c>
      <c r="N475" t="s">
        <v>32</v>
      </c>
      <c r="O475" t="s">
        <v>32</v>
      </c>
      <c r="V475" t="s">
        <v>32</v>
      </c>
      <c r="X475" t="s">
        <v>32</v>
      </c>
      <c r="AE475" t="s">
        <v>1755</v>
      </c>
      <c r="AI475" t="s">
        <v>32</v>
      </c>
      <c r="AK475" t="s">
        <v>32</v>
      </c>
      <c r="AN475">
        <v>0</v>
      </c>
      <c r="AO475" t="s">
        <v>1834</v>
      </c>
      <c r="AP475" t="s">
        <v>1834</v>
      </c>
      <c r="AQ475">
        <v>0</v>
      </c>
      <c r="AR475" t="s">
        <v>1835</v>
      </c>
    </row>
    <row r="476" spans="1:44" x14ac:dyDescent="0.25">
      <c r="A476" t="s">
        <v>2555</v>
      </c>
      <c r="B476" t="s">
        <v>1829</v>
      </c>
      <c r="D476" t="s">
        <v>2734</v>
      </c>
      <c r="E476" t="s">
        <v>2735</v>
      </c>
      <c r="F476" t="s">
        <v>1755</v>
      </c>
      <c r="G476" t="str">
        <f>CONCATENATE(Master_Packing_Database[[#This Row],[Exp '#]],Master_Packing_Database[[#This Row],[Batch '#]])</f>
        <v>2468th-</v>
      </c>
      <c r="I476" t="s">
        <v>2736</v>
      </c>
      <c r="J476" t="s">
        <v>117</v>
      </c>
      <c r="K476" t="s">
        <v>32</v>
      </c>
      <c r="L476" t="s">
        <v>521</v>
      </c>
      <c r="N476" t="s">
        <v>32</v>
      </c>
      <c r="O476" t="s">
        <v>32</v>
      </c>
      <c r="V476" t="s">
        <v>32</v>
      </c>
      <c r="X476" t="s">
        <v>32</v>
      </c>
      <c r="AE476" t="s">
        <v>1755</v>
      </c>
      <c r="AI476" t="s">
        <v>32</v>
      </c>
      <c r="AK476" t="s">
        <v>32</v>
      </c>
      <c r="AN476">
        <v>0</v>
      </c>
      <c r="AO476" t="s">
        <v>1834</v>
      </c>
      <c r="AP476" t="s">
        <v>1834</v>
      </c>
      <c r="AQ476">
        <v>0</v>
      </c>
      <c r="AR476" t="s">
        <v>1835</v>
      </c>
    </row>
    <row r="477" spans="1:44" x14ac:dyDescent="0.25">
      <c r="A477" t="s">
        <v>2555</v>
      </c>
      <c r="B477" t="s">
        <v>1829</v>
      </c>
      <c r="D477" t="s">
        <v>178</v>
      </c>
      <c r="E477" t="s">
        <v>2737</v>
      </c>
      <c r="F477" t="s">
        <v>1755</v>
      </c>
      <c r="G477" t="str">
        <f>CONCATENATE(Master_Packing_Database[[#This Row],[Exp '#]],Master_Packing_Database[[#This Row],[Batch '#]])</f>
        <v>2469th-</v>
      </c>
      <c r="I477" t="s">
        <v>2738</v>
      </c>
      <c r="J477" t="s">
        <v>117</v>
      </c>
      <c r="K477" t="s">
        <v>32</v>
      </c>
      <c r="L477" t="s">
        <v>521</v>
      </c>
      <c r="N477" t="s">
        <v>32</v>
      </c>
      <c r="O477" t="s">
        <v>32</v>
      </c>
      <c r="V477" t="s">
        <v>32</v>
      </c>
      <c r="X477" t="s">
        <v>32</v>
      </c>
      <c r="AE477" t="s">
        <v>1755</v>
      </c>
      <c r="AI477" t="s">
        <v>32</v>
      </c>
      <c r="AK477" t="s">
        <v>32</v>
      </c>
      <c r="AN477">
        <v>0</v>
      </c>
      <c r="AO477" t="s">
        <v>1834</v>
      </c>
      <c r="AP477" t="s">
        <v>1834</v>
      </c>
      <c r="AQ477">
        <v>0</v>
      </c>
      <c r="AR477" t="s">
        <v>1835</v>
      </c>
    </row>
    <row r="478" spans="1:44" x14ac:dyDescent="0.25">
      <c r="A478" t="s">
        <v>2555</v>
      </c>
      <c r="B478" t="s">
        <v>1829</v>
      </c>
      <c r="D478" t="s">
        <v>48</v>
      </c>
      <c r="E478" t="s">
        <v>2739</v>
      </c>
      <c r="F478" t="s">
        <v>1755</v>
      </c>
      <c r="G478" t="str">
        <f>CONCATENATE(Master_Packing_Database[[#This Row],[Exp '#]],Master_Packing_Database[[#This Row],[Batch '#]])</f>
        <v>2470th-</v>
      </c>
      <c r="I478" t="s">
        <v>168</v>
      </c>
      <c r="J478" t="s">
        <v>117</v>
      </c>
      <c r="K478" t="s">
        <v>32</v>
      </c>
      <c r="L478" t="s">
        <v>835</v>
      </c>
      <c r="M478" t="s">
        <v>835</v>
      </c>
      <c r="N478" t="s">
        <v>32</v>
      </c>
      <c r="O478" t="s">
        <v>32</v>
      </c>
      <c r="V478" t="s">
        <v>32</v>
      </c>
      <c r="X478" t="s">
        <v>32</v>
      </c>
      <c r="AE478" t="s">
        <v>1755</v>
      </c>
      <c r="AI478" t="s">
        <v>32</v>
      </c>
      <c r="AK478" t="s">
        <v>32</v>
      </c>
      <c r="AN478">
        <v>0</v>
      </c>
      <c r="AO478" t="s">
        <v>1834</v>
      </c>
      <c r="AP478" t="s">
        <v>1834</v>
      </c>
      <c r="AQ478">
        <v>0</v>
      </c>
      <c r="AR478" t="s">
        <v>1835</v>
      </c>
    </row>
    <row r="479" spans="1:44" x14ac:dyDescent="0.25">
      <c r="A479" t="s">
        <v>2555</v>
      </c>
      <c r="B479" t="s">
        <v>1829</v>
      </c>
      <c r="D479" t="s">
        <v>48</v>
      </c>
      <c r="E479" t="s">
        <v>2740</v>
      </c>
      <c r="F479" t="s">
        <v>1755</v>
      </c>
      <c r="G479" t="str">
        <f>CONCATENATE(Master_Packing_Database[[#This Row],[Exp '#]],Master_Packing_Database[[#This Row],[Batch '#]])</f>
        <v>2471st-</v>
      </c>
      <c r="I479" t="s">
        <v>2741</v>
      </c>
      <c r="J479" t="s">
        <v>117</v>
      </c>
      <c r="K479" t="s">
        <v>32</v>
      </c>
      <c r="L479" t="s">
        <v>116</v>
      </c>
      <c r="M479" t="s">
        <v>116</v>
      </c>
      <c r="N479" t="s">
        <v>32</v>
      </c>
      <c r="O479" t="s">
        <v>32</v>
      </c>
      <c r="V479" t="s">
        <v>32</v>
      </c>
      <c r="X479" t="s">
        <v>32</v>
      </c>
      <c r="AE479" t="s">
        <v>1755</v>
      </c>
      <c r="AI479" t="s">
        <v>32</v>
      </c>
      <c r="AK479" t="s">
        <v>32</v>
      </c>
      <c r="AN479">
        <v>0</v>
      </c>
      <c r="AO479" t="s">
        <v>1834</v>
      </c>
      <c r="AP479" t="s">
        <v>1834</v>
      </c>
      <c r="AQ479">
        <v>0</v>
      </c>
      <c r="AR479" t="s">
        <v>1835</v>
      </c>
    </row>
    <row r="480" spans="1:44" x14ac:dyDescent="0.25">
      <c r="A480" t="s">
        <v>2555</v>
      </c>
      <c r="B480" t="s">
        <v>1829</v>
      </c>
      <c r="D480" t="s">
        <v>2742</v>
      </c>
      <c r="E480" t="s">
        <v>2743</v>
      </c>
      <c r="F480" t="s">
        <v>1755</v>
      </c>
      <c r="G480" t="str">
        <f>CONCATENATE(Master_Packing_Database[[#This Row],[Exp '#]],Master_Packing_Database[[#This Row],[Batch '#]])</f>
        <v>2472nd-</v>
      </c>
      <c r="I480" t="s">
        <v>295</v>
      </c>
      <c r="J480" t="s">
        <v>117</v>
      </c>
      <c r="K480" t="s">
        <v>32</v>
      </c>
      <c r="L480" t="s">
        <v>835</v>
      </c>
      <c r="M480" t="s">
        <v>835</v>
      </c>
      <c r="N480" t="s">
        <v>32</v>
      </c>
      <c r="O480" t="s">
        <v>32</v>
      </c>
      <c r="V480" t="s">
        <v>32</v>
      </c>
      <c r="X480" t="s">
        <v>32</v>
      </c>
      <c r="AE480" t="s">
        <v>1755</v>
      </c>
      <c r="AI480" t="s">
        <v>32</v>
      </c>
      <c r="AK480" t="s">
        <v>32</v>
      </c>
      <c r="AN480">
        <v>0</v>
      </c>
      <c r="AO480" t="s">
        <v>1834</v>
      </c>
      <c r="AP480" t="s">
        <v>1834</v>
      </c>
      <c r="AQ480">
        <v>0</v>
      </c>
      <c r="AR480" t="s">
        <v>1835</v>
      </c>
    </row>
    <row r="481" spans="1:44" x14ac:dyDescent="0.25">
      <c r="A481" t="s">
        <v>2555</v>
      </c>
      <c r="B481" t="s">
        <v>1829</v>
      </c>
      <c r="D481" t="s">
        <v>1090</v>
      </c>
      <c r="E481" t="s">
        <v>2744</v>
      </c>
      <c r="F481" t="s">
        <v>1755</v>
      </c>
      <c r="G481" t="str">
        <f>CONCATENATE(Master_Packing_Database[[#This Row],[Exp '#]],Master_Packing_Database[[#This Row],[Batch '#]])</f>
        <v>2475th-</v>
      </c>
      <c r="I481" t="s">
        <v>1116</v>
      </c>
      <c r="J481" t="s">
        <v>117</v>
      </c>
      <c r="K481" t="s">
        <v>32</v>
      </c>
      <c r="L481" t="s">
        <v>116</v>
      </c>
      <c r="M481" t="s">
        <v>116</v>
      </c>
      <c r="N481" t="s">
        <v>32</v>
      </c>
      <c r="O481" t="s">
        <v>32</v>
      </c>
      <c r="V481" t="s">
        <v>32</v>
      </c>
      <c r="X481" t="s">
        <v>32</v>
      </c>
      <c r="AE481" t="s">
        <v>1755</v>
      </c>
      <c r="AI481" t="s">
        <v>32</v>
      </c>
      <c r="AK481" t="s">
        <v>32</v>
      </c>
      <c r="AN481">
        <v>0</v>
      </c>
      <c r="AO481" t="s">
        <v>1834</v>
      </c>
      <c r="AP481" t="s">
        <v>1834</v>
      </c>
      <c r="AQ481">
        <v>0</v>
      </c>
      <c r="AR481" t="s">
        <v>1835</v>
      </c>
    </row>
    <row r="482" spans="1:44" x14ac:dyDescent="0.25">
      <c r="A482" t="s">
        <v>2555</v>
      </c>
      <c r="B482" t="s">
        <v>1829</v>
      </c>
      <c r="D482" t="s">
        <v>1090</v>
      </c>
      <c r="E482" t="s">
        <v>2745</v>
      </c>
      <c r="F482" t="s">
        <v>1755</v>
      </c>
      <c r="G482" t="str">
        <f>CONCATENATE(Master_Packing_Database[[#This Row],[Exp '#]],Master_Packing_Database[[#This Row],[Batch '#]])</f>
        <v>2476th-</v>
      </c>
      <c r="I482" t="s">
        <v>497</v>
      </c>
      <c r="J482" t="s">
        <v>117</v>
      </c>
      <c r="K482" t="s">
        <v>32</v>
      </c>
      <c r="L482" t="s">
        <v>116</v>
      </c>
      <c r="M482" t="s">
        <v>116</v>
      </c>
      <c r="N482" t="s">
        <v>32</v>
      </c>
      <c r="O482" t="s">
        <v>32</v>
      </c>
      <c r="V482" t="s">
        <v>32</v>
      </c>
      <c r="X482" t="s">
        <v>32</v>
      </c>
      <c r="AE482" t="s">
        <v>1755</v>
      </c>
      <c r="AI482" t="s">
        <v>32</v>
      </c>
      <c r="AK482" t="s">
        <v>32</v>
      </c>
      <c r="AN482">
        <v>0</v>
      </c>
      <c r="AO482" t="s">
        <v>1834</v>
      </c>
      <c r="AP482" t="s">
        <v>1834</v>
      </c>
      <c r="AQ482">
        <v>0</v>
      </c>
      <c r="AR482" t="s">
        <v>1835</v>
      </c>
    </row>
    <row r="483" spans="1:44" x14ac:dyDescent="0.25">
      <c r="A483" t="s">
        <v>1828</v>
      </c>
      <c r="B483" t="s">
        <v>2746</v>
      </c>
      <c r="D483" t="s">
        <v>2747</v>
      </c>
      <c r="G483" t="str">
        <f>CONCATENATE(Master_Packing_Database[[#This Row],[Exp '#]],Master_Packing_Database[[#This Row],[Batch '#]])</f>
        <v/>
      </c>
      <c r="I483" t="s">
        <v>1340</v>
      </c>
      <c r="J483" t="s">
        <v>1371</v>
      </c>
      <c r="AI483" t="s">
        <v>2748</v>
      </c>
      <c r="AN483">
        <v>0</v>
      </c>
      <c r="AO483" t="s">
        <v>1834</v>
      </c>
      <c r="AP483" t="s">
        <v>1834</v>
      </c>
      <c r="AQ483">
        <v>0</v>
      </c>
      <c r="AR483" t="s">
        <v>1835</v>
      </c>
    </row>
    <row r="484" spans="1:44" x14ac:dyDescent="0.25">
      <c r="A484" t="s">
        <v>1828</v>
      </c>
      <c r="B484" t="s">
        <v>2746</v>
      </c>
      <c r="D484" t="s">
        <v>2749</v>
      </c>
      <c r="G484" t="str">
        <f>CONCATENATE(Master_Packing_Database[[#This Row],[Exp '#]],Master_Packing_Database[[#This Row],[Batch '#]])</f>
        <v/>
      </c>
      <c r="I484" t="s">
        <v>2750</v>
      </c>
      <c r="J484" t="s">
        <v>2751</v>
      </c>
      <c r="AI484" t="s">
        <v>2748</v>
      </c>
      <c r="AN484">
        <v>0</v>
      </c>
      <c r="AO484" t="s">
        <v>1834</v>
      </c>
      <c r="AP484" t="s">
        <v>1834</v>
      </c>
      <c r="AQ484">
        <v>0</v>
      </c>
      <c r="AR484" t="s">
        <v>1835</v>
      </c>
    </row>
    <row r="485" spans="1:44" x14ac:dyDescent="0.25">
      <c r="A485" t="s">
        <v>1828</v>
      </c>
      <c r="B485" t="s">
        <v>2746</v>
      </c>
      <c r="D485" t="s">
        <v>2752</v>
      </c>
      <c r="G485" t="str">
        <f>CONCATENATE(Master_Packing_Database[[#This Row],[Exp '#]],Master_Packing_Database[[#This Row],[Batch '#]])</f>
        <v/>
      </c>
      <c r="I485" t="s">
        <v>2753</v>
      </c>
      <c r="J485" t="s">
        <v>117</v>
      </c>
      <c r="AI485" t="s">
        <v>2748</v>
      </c>
      <c r="AN485">
        <v>0</v>
      </c>
      <c r="AO485" t="s">
        <v>1834</v>
      </c>
      <c r="AP485" t="s">
        <v>1834</v>
      </c>
      <c r="AQ485">
        <v>0</v>
      </c>
      <c r="AR485" t="s">
        <v>1835</v>
      </c>
    </row>
    <row r="486" spans="1:44" x14ac:dyDescent="0.25">
      <c r="A486" t="s">
        <v>1828</v>
      </c>
      <c r="B486" t="s">
        <v>2746</v>
      </c>
      <c r="D486" t="s">
        <v>2754</v>
      </c>
      <c r="G486" t="str">
        <f>CONCATENATE(Master_Packing_Database[[#This Row],[Exp '#]],Master_Packing_Database[[#This Row],[Batch '#]])</f>
        <v/>
      </c>
      <c r="I486" t="s">
        <v>2755</v>
      </c>
      <c r="J486" t="s">
        <v>366</v>
      </c>
      <c r="AI486" t="s">
        <v>2748</v>
      </c>
      <c r="AN486">
        <v>0</v>
      </c>
      <c r="AO486" t="s">
        <v>1834</v>
      </c>
      <c r="AP486" t="s">
        <v>1834</v>
      </c>
      <c r="AQ486">
        <v>0</v>
      </c>
      <c r="AR486" t="s">
        <v>1835</v>
      </c>
    </row>
    <row r="487" spans="1:44" x14ac:dyDescent="0.25">
      <c r="A487" t="s">
        <v>1828</v>
      </c>
      <c r="B487" t="s">
        <v>2746</v>
      </c>
      <c r="D487" t="s">
        <v>2754</v>
      </c>
      <c r="G487" t="str">
        <f>CONCATENATE(Master_Packing_Database[[#This Row],[Exp '#]],Master_Packing_Database[[#This Row],[Batch '#]])</f>
        <v/>
      </c>
      <c r="I487" t="s">
        <v>2756</v>
      </c>
      <c r="J487" t="s">
        <v>366</v>
      </c>
      <c r="AI487" t="s">
        <v>2748</v>
      </c>
      <c r="AN487">
        <v>0</v>
      </c>
      <c r="AO487" t="s">
        <v>1834</v>
      </c>
      <c r="AP487" t="s">
        <v>1834</v>
      </c>
      <c r="AQ487">
        <v>0</v>
      </c>
      <c r="AR487" t="s">
        <v>1835</v>
      </c>
    </row>
    <row r="488" spans="1:44" x14ac:dyDescent="0.25">
      <c r="A488" t="s">
        <v>1828</v>
      </c>
      <c r="B488" t="s">
        <v>2746</v>
      </c>
      <c r="D488" t="s">
        <v>2749</v>
      </c>
      <c r="G488" t="str">
        <f>CONCATENATE(Master_Packing_Database[[#This Row],[Exp '#]],Master_Packing_Database[[#This Row],[Batch '#]])</f>
        <v/>
      </c>
      <c r="I488" t="s">
        <v>2757</v>
      </c>
      <c r="J488" t="s">
        <v>366</v>
      </c>
      <c r="AI488" t="s">
        <v>2748</v>
      </c>
      <c r="AN488">
        <v>0</v>
      </c>
      <c r="AO488" t="s">
        <v>1834</v>
      </c>
      <c r="AP488" t="s">
        <v>1834</v>
      </c>
      <c r="AQ488">
        <v>0</v>
      </c>
      <c r="AR488" t="s">
        <v>1835</v>
      </c>
    </row>
    <row r="489" spans="1:44" x14ac:dyDescent="0.25">
      <c r="A489" t="s">
        <v>1828</v>
      </c>
      <c r="B489" t="s">
        <v>2746</v>
      </c>
      <c r="D489" t="s">
        <v>2749</v>
      </c>
      <c r="G489" t="str">
        <f>CONCATENATE(Master_Packing_Database[[#This Row],[Exp '#]],Master_Packing_Database[[#This Row],[Batch '#]])</f>
        <v/>
      </c>
      <c r="I489" t="s">
        <v>2758</v>
      </c>
      <c r="J489" t="s">
        <v>366</v>
      </c>
      <c r="AI489" t="s">
        <v>2748</v>
      </c>
      <c r="AN489">
        <v>0</v>
      </c>
      <c r="AO489" t="s">
        <v>1834</v>
      </c>
      <c r="AP489" t="s">
        <v>1834</v>
      </c>
      <c r="AQ489">
        <v>0</v>
      </c>
      <c r="AR489" t="s">
        <v>1835</v>
      </c>
    </row>
    <row r="490" spans="1:44" x14ac:dyDescent="0.25">
      <c r="A490" t="s">
        <v>1828</v>
      </c>
      <c r="B490" t="s">
        <v>2746</v>
      </c>
      <c r="D490" t="s">
        <v>1857</v>
      </c>
      <c r="G490" t="str">
        <f>CONCATENATE(Master_Packing_Database[[#This Row],[Exp '#]],Master_Packing_Database[[#This Row],[Batch '#]])</f>
        <v/>
      </c>
      <c r="I490" t="s">
        <v>1227</v>
      </c>
      <c r="J490" t="s">
        <v>366</v>
      </c>
      <c r="AI490" t="s">
        <v>2748</v>
      </c>
      <c r="AN490">
        <v>0</v>
      </c>
      <c r="AO490" t="s">
        <v>1834</v>
      </c>
      <c r="AP490" t="s">
        <v>1834</v>
      </c>
      <c r="AQ490">
        <v>0</v>
      </c>
      <c r="AR490" t="s">
        <v>1835</v>
      </c>
    </row>
    <row r="491" spans="1:44" x14ac:dyDescent="0.25">
      <c r="A491" t="s">
        <v>1828</v>
      </c>
      <c r="B491" t="s">
        <v>2746</v>
      </c>
      <c r="D491" t="s">
        <v>2759</v>
      </c>
      <c r="G491" t="str">
        <f>CONCATENATE(Master_Packing_Database[[#This Row],[Exp '#]],Master_Packing_Database[[#This Row],[Batch '#]])</f>
        <v/>
      </c>
      <c r="I491" t="s">
        <v>1227</v>
      </c>
      <c r="J491" t="s">
        <v>366</v>
      </c>
      <c r="AI491" t="s">
        <v>2748</v>
      </c>
      <c r="AN491">
        <v>0</v>
      </c>
      <c r="AO491" t="s">
        <v>1834</v>
      </c>
      <c r="AP491" t="s">
        <v>1834</v>
      </c>
      <c r="AQ491">
        <v>0</v>
      </c>
      <c r="AR491" t="s">
        <v>1835</v>
      </c>
    </row>
    <row r="492" spans="1:44" x14ac:dyDescent="0.25">
      <c r="A492" t="s">
        <v>1828</v>
      </c>
      <c r="B492" t="s">
        <v>2746</v>
      </c>
      <c r="D492" t="s">
        <v>2760</v>
      </c>
      <c r="G492" t="str">
        <f>CONCATENATE(Master_Packing_Database[[#This Row],[Exp '#]],Master_Packing_Database[[#This Row],[Batch '#]])</f>
        <v/>
      </c>
      <c r="I492" t="s">
        <v>2761</v>
      </c>
      <c r="J492" t="s">
        <v>366</v>
      </c>
      <c r="AI492" t="s">
        <v>2748</v>
      </c>
      <c r="AN492">
        <v>0</v>
      </c>
      <c r="AO492" t="s">
        <v>1834</v>
      </c>
      <c r="AP492" t="s">
        <v>1834</v>
      </c>
      <c r="AQ492">
        <v>0</v>
      </c>
      <c r="AR492" t="s">
        <v>1835</v>
      </c>
    </row>
    <row r="493" spans="1:44" x14ac:dyDescent="0.25">
      <c r="A493" t="s">
        <v>1828</v>
      </c>
      <c r="B493" t="s">
        <v>2746</v>
      </c>
      <c r="D493" t="s">
        <v>2760</v>
      </c>
      <c r="G493" t="str">
        <f>CONCATENATE(Master_Packing_Database[[#This Row],[Exp '#]],Master_Packing_Database[[#This Row],[Batch '#]])</f>
        <v/>
      </c>
      <c r="I493" t="s">
        <v>2762</v>
      </c>
      <c r="J493" t="s">
        <v>366</v>
      </c>
      <c r="AI493" t="s">
        <v>2748</v>
      </c>
      <c r="AN493">
        <v>0</v>
      </c>
      <c r="AO493" t="s">
        <v>1834</v>
      </c>
      <c r="AP493" t="s">
        <v>1834</v>
      </c>
      <c r="AQ493">
        <v>0</v>
      </c>
      <c r="AR493" t="s">
        <v>1835</v>
      </c>
    </row>
    <row r="494" spans="1:44" x14ac:dyDescent="0.25">
      <c r="A494" t="s">
        <v>1828</v>
      </c>
      <c r="B494" t="s">
        <v>2746</v>
      </c>
      <c r="D494" t="s">
        <v>2763</v>
      </c>
      <c r="G494" t="str">
        <f>CONCATENATE(Master_Packing_Database[[#This Row],[Exp '#]],Master_Packing_Database[[#This Row],[Batch '#]])</f>
        <v/>
      </c>
      <c r="I494" t="s">
        <v>2764</v>
      </c>
      <c r="J494" t="s">
        <v>366</v>
      </c>
      <c r="AI494" t="s">
        <v>2748</v>
      </c>
      <c r="AN494">
        <v>0</v>
      </c>
      <c r="AO494" t="s">
        <v>1834</v>
      </c>
      <c r="AP494" t="s">
        <v>1834</v>
      </c>
      <c r="AQ494">
        <v>0</v>
      </c>
      <c r="AR494" t="s">
        <v>1835</v>
      </c>
    </row>
    <row r="495" spans="1:44" x14ac:dyDescent="0.25">
      <c r="A495" t="s">
        <v>1828</v>
      </c>
      <c r="B495" t="s">
        <v>2746</v>
      </c>
      <c r="D495" t="s">
        <v>2759</v>
      </c>
      <c r="G495" t="str">
        <f>CONCATENATE(Master_Packing_Database[[#This Row],[Exp '#]],Master_Packing_Database[[#This Row],[Batch '#]])</f>
        <v/>
      </c>
      <c r="I495" t="s">
        <v>2765</v>
      </c>
      <c r="J495" t="s">
        <v>2766</v>
      </c>
      <c r="AI495" t="s">
        <v>2748</v>
      </c>
      <c r="AN495">
        <v>0</v>
      </c>
      <c r="AO495" t="s">
        <v>1834</v>
      </c>
      <c r="AP495" t="s">
        <v>1834</v>
      </c>
      <c r="AQ495">
        <v>0</v>
      </c>
      <c r="AR495" t="s">
        <v>1835</v>
      </c>
    </row>
    <row r="496" spans="1:44" x14ac:dyDescent="0.25">
      <c r="A496" t="s">
        <v>1828</v>
      </c>
      <c r="B496" t="s">
        <v>2746</v>
      </c>
      <c r="D496" t="s">
        <v>2759</v>
      </c>
      <c r="G496" t="str">
        <f>CONCATENATE(Master_Packing_Database[[#This Row],[Exp '#]],Master_Packing_Database[[#This Row],[Batch '#]])</f>
        <v/>
      </c>
      <c r="I496" t="s">
        <v>2767</v>
      </c>
      <c r="J496" t="s">
        <v>2766</v>
      </c>
      <c r="AI496" t="s">
        <v>2748</v>
      </c>
      <c r="AN496">
        <v>0</v>
      </c>
      <c r="AO496" t="s">
        <v>1834</v>
      </c>
      <c r="AP496" t="s">
        <v>1834</v>
      </c>
      <c r="AQ496">
        <v>0</v>
      </c>
      <c r="AR496" t="s">
        <v>1835</v>
      </c>
    </row>
    <row r="497" spans="1:44" x14ac:dyDescent="0.25">
      <c r="A497" t="s">
        <v>1828</v>
      </c>
      <c r="B497" t="s">
        <v>2746</v>
      </c>
      <c r="D497" t="s">
        <v>2768</v>
      </c>
      <c r="G497" t="str">
        <f>CONCATENATE(Master_Packing_Database[[#This Row],[Exp '#]],Master_Packing_Database[[#This Row],[Batch '#]])</f>
        <v/>
      </c>
      <c r="I497" t="s">
        <v>2769</v>
      </c>
      <c r="J497" t="s">
        <v>1371</v>
      </c>
      <c r="AI497" t="s">
        <v>2748</v>
      </c>
      <c r="AN497">
        <v>0</v>
      </c>
      <c r="AO497" t="s">
        <v>1834</v>
      </c>
      <c r="AP497" t="s">
        <v>1834</v>
      </c>
      <c r="AQ497">
        <v>0</v>
      </c>
      <c r="AR497" t="s">
        <v>1835</v>
      </c>
    </row>
    <row r="498" spans="1:44" x14ac:dyDescent="0.25">
      <c r="A498" t="s">
        <v>1828</v>
      </c>
      <c r="B498" t="s">
        <v>2746</v>
      </c>
      <c r="D498" t="s">
        <v>2768</v>
      </c>
      <c r="G498" t="str">
        <f>CONCATENATE(Master_Packing_Database[[#This Row],[Exp '#]],Master_Packing_Database[[#This Row],[Batch '#]])</f>
        <v/>
      </c>
      <c r="I498" t="s">
        <v>2769</v>
      </c>
      <c r="J498" t="s">
        <v>1371</v>
      </c>
      <c r="AI498" t="s">
        <v>2748</v>
      </c>
      <c r="AN498">
        <v>0</v>
      </c>
      <c r="AO498" t="s">
        <v>1834</v>
      </c>
      <c r="AP498" t="s">
        <v>1834</v>
      </c>
      <c r="AQ498">
        <v>0</v>
      </c>
      <c r="AR498" t="s">
        <v>1835</v>
      </c>
    </row>
    <row r="499" spans="1:44" x14ac:dyDescent="0.25">
      <c r="A499" t="s">
        <v>1828</v>
      </c>
      <c r="B499" t="s">
        <v>2746</v>
      </c>
      <c r="D499" t="s">
        <v>2770</v>
      </c>
      <c r="G499" t="str">
        <f>CONCATENATE(Master_Packing_Database[[#This Row],[Exp '#]],Master_Packing_Database[[#This Row],[Batch '#]])</f>
        <v/>
      </c>
      <c r="I499" t="s">
        <v>2771</v>
      </c>
      <c r="J499" t="s">
        <v>1371</v>
      </c>
      <c r="AI499" t="s">
        <v>2748</v>
      </c>
      <c r="AN499">
        <v>0</v>
      </c>
      <c r="AO499" t="s">
        <v>1834</v>
      </c>
      <c r="AP499" t="s">
        <v>1834</v>
      </c>
      <c r="AQ499">
        <v>0</v>
      </c>
      <c r="AR499" t="s">
        <v>1835</v>
      </c>
    </row>
    <row r="500" spans="1:44" x14ac:dyDescent="0.25">
      <c r="A500" t="s">
        <v>1828</v>
      </c>
      <c r="B500" t="s">
        <v>2746</v>
      </c>
      <c r="D500" t="s">
        <v>2772</v>
      </c>
      <c r="G500" t="str">
        <f>CONCATENATE(Master_Packing_Database[[#This Row],[Exp '#]],Master_Packing_Database[[#This Row],[Batch '#]])</f>
        <v/>
      </c>
      <c r="I500" t="s">
        <v>2773</v>
      </c>
      <c r="J500" t="s">
        <v>1371</v>
      </c>
      <c r="AI500" t="s">
        <v>2748</v>
      </c>
      <c r="AN500">
        <v>0</v>
      </c>
      <c r="AO500" t="s">
        <v>1834</v>
      </c>
      <c r="AP500" t="s">
        <v>1834</v>
      </c>
      <c r="AQ500">
        <v>0</v>
      </c>
      <c r="AR500" t="s">
        <v>1835</v>
      </c>
    </row>
    <row r="501" spans="1:44" x14ac:dyDescent="0.25">
      <c r="A501" t="s">
        <v>1828</v>
      </c>
      <c r="B501" t="s">
        <v>2746</v>
      </c>
      <c r="D501" t="s">
        <v>2772</v>
      </c>
      <c r="G501" t="str">
        <f>CONCATENATE(Master_Packing_Database[[#This Row],[Exp '#]],Master_Packing_Database[[#This Row],[Batch '#]])</f>
        <v/>
      </c>
      <c r="I501" t="s">
        <v>2774</v>
      </c>
      <c r="J501" t="s">
        <v>1371</v>
      </c>
      <c r="AI501" t="s">
        <v>2748</v>
      </c>
      <c r="AN501">
        <v>0</v>
      </c>
      <c r="AO501" t="s">
        <v>1834</v>
      </c>
      <c r="AP501" t="s">
        <v>1834</v>
      </c>
      <c r="AQ501">
        <v>0</v>
      </c>
      <c r="AR501" t="s">
        <v>1835</v>
      </c>
    </row>
    <row r="502" spans="1:44" x14ac:dyDescent="0.25">
      <c r="A502" t="s">
        <v>1828</v>
      </c>
      <c r="B502" t="s">
        <v>2746</v>
      </c>
      <c r="D502" t="s">
        <v>2772</v>
      </c>
      <c r="G502" t="str">
        <f>CONCATENATE(Master_Packing_Database[[#This Row],[Exp '#]],Master_Packing_Database[[#This Row],[Batch '#]])</f>
        <v/>
      </c>
      <c r="I502" t="s">
        <v>2775</v>
      </c>
      <c r="J502" t="s">
        <v>1371</v>
      </c>
      <c r="AI502" t="s">
        <v>2748</v>
      </c>
      <c r="AN502">
        <v>0</v>
      </c>
      <c r="AO502" t="s">
        <v>1834</v>
      </c>
      <c r="AP502" t="s">
        <v>1834</v>
      </c>
      <c r="AQ502">
        <v>0</v>
      </c>
      <c r="AR502" t="s">
        <v>1835</v>
      </c>
    </row>
    <row r="503" spans="1:44" x14ac:dyDescent="0.25">
      <c r="A503" t="s">
        <v>1828</v>
      </c>
      <c r="B503" t="s">
        <v>2746</v>
      </c>
      <c r="D503" t="s">
        <v>2772</v>
      </c>
      <c r="G503" t="str">
        <f>CONCATENATE(Master_Packing_Database[[#This Row],[Exp '#]],Master_Packing_Database[[#This Row],[Batch '#]])</f>
        <v/>
      </c>
      <c r="I503" t="s">
        <v>2776</v>
      </c>
      <c r="J503" t="s">
        <v>1371</v>
      </c>
      <c r="AI503" t="s">
        <v>2748</v>
      </c>
      <c r="AN503">
        <v>0</v>
      </c>
      <c r="AO503" t="s">
        <v>1834</v>
      </c>
      <c r="AP503" t="s">
        <v>1834</v>
      </c>
      <c r="AQ503">
        <v>0</v>
      </c>
      <c r="AR503" t="s">
        <v>1835</v>
      </c>
    </row>
    <row r="504" spans="1:44" x14ac:dyDescent="0.25">
      <c r="A504" t="s">
        <v>1828</v>
      </c>
      <c r="B504" t="s">
        <v>2746</v>
      </c>
      <c r="D504" t="s">
        <v>2777</v>
      </c>
      <c r="G504" t="str">
        <f>CONCATENATE(Master_Packing_Database[[#This Row],[Exp '#]],Master_Packing_Database[[#This Row],[Batch '#]])</f>
        <v/>
      </c>
      <c r="I504" t="s">
        <v>2778</v>
      </c>
      <c r="J504" t="s">
        <v>117</v>
      </c>
      <c r="AI504" t="s">
        <v>2748</v>
      </c>
      <c r="AN504">
        <v>0</v>
      </c>
      <c r="AO504" t="s">
        <v>1834</v>
      </c>
      <c r="AP504" t="s">
        <v>1834</v>
      </c>
      <c r="AQ504">
        <v>0</v>
      </c>
      <c r="AR504" t="s">
        <v>1835</v>
      </c>
    </row>
    <row r="505" spans="1:44" x14ac:dyDescent="0.25">
      <c r="A505" t="s">
        <v>1828</v>
      </c>
      <c r="B505" t="s">
        <v>2746</v>
      </c>
      <c r="D505" t="s">
        <v>2777</v>
      </c>
      <c r="G505" t="str">
        <f>CONCATENATE(Master_Packing_Database[[#This Row],[Exp '#]],Master_Packing_Database[[#This Row],[Batch '#]])</f>
        <v/>
      </c>
      <c r="I505" t="s">
        <v>2779</v>
      </c>
      <c r="J505" t="s">
        <v>117</v>
      </c>
      <c r="AI505" t="s">
        <v>2748</v>
      </c>
      <c r="AN505">
        <v>0</v>
      </c>
      <c r="AO505" t="s">
        <v>1834</v>
      </c>
      <c r="AP505" t="s">
        <v>1834</v>
      </c>
      <c r="AQ505">
        <v>0</v>
      </c>
      <c r="AR505" t="s">
        <v>1835</v>
      </c>
    </row>
    <row r="506" spans="1:44" x14ac:dyDescent="0.25">
      <c r="A506" t="s">
        <v>1828</v>
      </c>
      <c r="B506" t="s">
        <v>2746</v>
      </c>
      <c r="D506" t="s">
        <v>2768</v>
      </c>
      <c r="G506" t="str">
        <f>CONCATENATE(Master_Packing_Database[[#This Row],[Exp '#]],Master_Packing_Database[[#This Row],[Batch '#]])</f>
        <v/>
      </c>
      <c r="I506" t="s">
        <v>2780</v>
      </c>
      <c r="J506" t="s">
        <v>1371</v>
      </c>
      <c r="AI506" t="s">
        <v>2748</v>
      </c>
      <c r="AN506">
        <v>0</v>
      </c>
      <c r="AO506" t="s">
        <v>1834</v>
      </c>
      <c r="AP506" t="s">
        <v>1834</v>
      </c>
      <c r="AQ506">
        <v>0</v>
      </c>
      <c r="AR506" t="s">
        <v>1835</v>
      </c>
    </row>
    <row r="507" spans="1:44" x14ac:dyDescent="0.25">
      <c r="A507" t="s">
        <v>1828</v>
      </c>
      <c r="B507" t="s">
        <v>2746</v>
      </c>
      <c r="D507" t="s">
        <v>2768</v>
      </c>
      <c r="G507" t="str">
        <f>CONCATENATE(Master_Packing_Database[[#This Row],[Exp '#]],Master_Packing_Database[[#This Row],[Batch '#]])</f>
        <v/>
      </c>
      <c r="I507" t="s">
        <v>2780</v>
      </c>
      <c r="J507" t="s">
        <v>1371</v>
      </c>
      <c r="AI507" t="s">
        <v>2748</v>
      </c>
      <c r="AN507">
        <v>0</v>
      </c>
      <c r="AO507" t="s">
        <v>1834</v>
      </c>
      <c r="AP507" t="s">
        <v>1834</v>
      </c>
      <c r="AQ507">
        <v>0</v>
      </c>
      <c r="AR507" t="s">
        <v>1835</v>
      </c>
    </row>
    <row r="508" spans="1:44" x14ac:dyDescent="0.25">
      <c r="A508" t="s">
        <v>1828</v>
      </c>
      <c r="B508" t="s">
        <v>2746</v>
      </c>
      <c r="D508" t="s">
        <v>2768</v>
      </c>
      <c r="G508" t="str">
        <f>CONCATENATE(Master_Packing_Database[[#This Row],[Exp '#]],Master_Packing_Database[[#This Row],[Batch '#]])</f>
        <v/>
      </c>
      <c r="I508" t="s">
        <v>2781</v>
      </c>
      <c r="J508" t="s">
        <v>1371</v>
      </c>
      <c r="AI508" t="s">
        <v>2748</v>
      </c>
      <c r="AN508">
        <v>0</v>
      </c>
      <c r="AO508" t="s">
        <v>1834</v>
      </c>
      <c r="AP508" t="s">
        <v>1834</v>
      </c>
      <c r="AQ508">
        <v>0</v>
      </c>
      <c r="AR508" t="s">
        <v>1835</v>
      </c>
    </row>
    <row r="509" spans="1:44" x14ac:dyDescent="0.25">
      <c r="A509" t="s">
        <v>1828</v>
      </c>
      <c r="B509" t="s">
        <v>2746</v>
      </c>
      <c r="D509" t="s">
        <v>2782</v>
      </c>
      <c r="G509" t="str">
        <f>CONCATENATE(Master_Packing_Database[[#This Row],[Exp '#]],Master_Packing_Database[[#This Row],[Batch '#]])</f>
        <v/>
      </c>
      <c r="I509" t="s">
        <v>2783</v>
      </c>
      <c r="J509" t="s">
        <v>1371</v>
      </c>
      <c r="AI509" t="s">
        <v>2748</v>
      </c>
      <c r="AN509">
        <v>0</v>
      </c>
      <c r="AO509" t="s">
        <v>1834</v>
      </c>
      <c r="AP509" t="s">
        <v>1834</v>
      </c>
      <c r="AQ509">
        <v>0</v>
      </c>
      <c r="AR509" t="s">
        <v>1835</v>
      </c>
    </row>
    <row r="510" spans="1:44" x14ac:dyDescent="0.25">
      <c r="A510" t="s">
        <v>1828</v>
      </c>
      <c r="B510" t="s">
        <v>2746</v>
      </c>
      <c r="D510" t="s">
        <v>2784</v>
      </c>
      <c r="G510" t="str">
        <f>CONCATENATE(Master_Packing_Database[[#This Row],[Exp '#]],Master_Packing_Database[[#This Row],[Batch '#]])</f>
        <v/>
      </c>
      <c r="I510" t="s">
        <v>1227</v>
      </c>
      <c r="J510" t="s">
        <v>366</v>
      </c>
      <c r="AI510" t="s">
        <v>2748</v>
      </c>
      <c r="AN510">
        <v>0</v>
      </c>
      <c r="AO510" t="s">
        <v>1834</v>
      </c>
      <c r="AP510" t="s">
        <v>1834</v>
      </c>
      <c r="AQ510">
        <v>0</v>
      </c>
      <c r="AR510" t="s">
        <v>1835</v>
      </c>
    </row>
    <row r="511" spans="1:44" x14ac:dyDescent="0.25">
      <c r="A511" t="s">
        <v>1828</v>
      </c>
      <c r="B511" t="s">
        <v>2746</v>
      </c>
      <c r="D511" t="s">
        <v>2785</v>
      </c>
      <c r="G511" t="str">
        <f>CONCATENATE(Master_Packing_Database[[#This Row],[Exp '#]],Master_Packing_Database[[#This Row],[Batch '#]])</f>
        <v/>
      </c>
      <c r="I511" t="s">
        <v>2786</v>
      </c>
      <c r="J511" t="s">
        <v>1371</v>
      </c>
      <c r="AI511" t="s">
        <v>2748</v>
      </c>
      <c r="AN511">
        <v>0</v>
      </c>
      <c r="AO511" t="s">
        <v>1834</v>
      </c>
      <c r="AP511" t="s">
        <v>1834</v>
      </c>
      <c r="AQ511">
        <v>0</v>
      </c>
      <c r="AR511" t="s">
        <v>1835</v>
      </c>
    </row>
    <row r="512" spans="1:44" x14ac:dyDescent="0.25">
      <c r="A512" t="s">
        <v>1828</v>
      </c>
      <c r="B512" t="s">
        <v>2746</v>
      </c>
      <c r="D512" t="s">
        <v>2787</v>
      </c>
      <c r="G512" t="str">
        <f>CONCATENATE(Master_Packing_Database[[#This Row],[Exp '#]],Master_Packing_Database[[#This Row],[Batch '#]])</f>
        <v/>
      </c>
      <c r="I512" t="s">
        <v>2788</v>
      </c>
      <c r="J512" t="s">
        <v>366</v>
      </c>
      <c r="AI512" t="s">
        <v>2748</v>
      </c>
      <c r="AN512">
        <v>0</v>
      </c>
      <c r="AO512" t="s">
        <v>1834</v>
      </c>
      <c r="AP512" t="s">
        <v>1834</v>
      </c>
      <c r="AQ512">
        <v>0</v>
      </c>
      <c r="AR512" t="s">
        <v>1835</v>
      </c>
    </row>
    <row r="513" spans="1:44" x14ac:dyDescent="0.25">
      <c r="A513" t="s">
        <v>1828</v>
      </c>
      <c r="B513" t="s">
        <v>2746</v>
      </c>
      <c r="D513" t="s">
        <v>2789</v>
      </c>
      <c r="G513" t="str">
        <f>CONCATENATE(Master_Packing_Database[[#This Row],[Exp '#]],Master_Packing_Database[[#This Row],[Batch '#]])</f>
        <v/>
      </c>
      <c r="I513" t="s">
        <v>2790</v>
      </c>
      <c r="J513" t="s">
        <v>1371</v>
      </c>
      <c r="AI513" t="s">
        <v>2748</v>
      </c>
      <c r="AN513">
        <v>0</v>
      </c>
      <c r="AO513" t="s">
        <v>1834</v>
      </c>
      <c r="AP513" t="s">
        <v>1834</v>
      </c>
      <c r="AQ513">
        <v>0</v>
      </c>
      <c r="AR513" t="s">
        <v>1835</v>
      </c>
    </row>
    <row r="514" spans="1:44" x14ac:dyDescent="0.25">
      <c r="A514" t="s">
        <v>1828</v>
      </c>
      <c r="B514" t="s">
        <v>2746</v>
      </c>
      <c r="D514" t="s">
        <v>2789</v>
      </c>
      <c r="G514" t="str">
        <f>CONCATENATE(Master_Packing_Database[[#This Row],[Exp '#]],Master_Packing_Database[[#This Row],[Batch '#]])</f>
        <v/>
      </c>
      <c r="I514" t="s">
        <v>2791</v>
      </c>
      <c r="J514" t="s">
        <v>1371</v>
      </c>
      <c r="AI514" t="s">
        <v>2748</v>
      </c>
      <c r="AN514">
        <v>0</v>
      </c>
      <c r="AO514" t="s">
        <v>1834</v>
      </c>
      <c r="AP514" t="s">
        <v>1834</v>
      </c>
      <c r="AQ514">
        <v>0</v>
      </c>
      <c r="AR514" t="s">
        <v>1835</v>
      </c>
    </row>
    <row r="515" spans="1:44" x14ac:dyDescent="0.25">
      <c r="A515" t="s">
        <v>1828</v>
      </c>
      <c r="B515" t="s">
        <v>2746</v>
      </c>
      <c r="D515" t="s">
        <v>2789</v>
      </c>
      <c r="G515" t="str">
        <f>CONCATENATE(Master_Packing_Database[[#This Row],[Exp '#]],Master_Packing_Database[[#This Row],[Batch '#]])</f>
        <v/>
      </c>
      <c r="I515" t="s">
        <v>2792</v>
      </c>
      <c r="J515" t="s">
        <v>1371</v>
      </c>
      <c r="AI515" t="s">
        <v>2748</v>
      </c>
      <c r="AN515">
        <v>0</v>
      </c>
      <c r="AO515" t="s">
        <v>1834</v>
      </c>
      <c r="AP515" t="s">
        <v>1834</v>
      </c>
      <c r="AQ515">
        <v>0</v>
      </c>
      <c r="AR515" t="s">
        <v>1835</v>
      </c>
    </row>
    <row r="516" spans="1:44" x14ac:dyDescent="0.25">
      <c r="A516" t="s">
        <v>1828</v>
      </c>
      <c r="B516" t="s">
        <v>2746</v>
      </c>
      <c r="D516" t="s">
        <v>2789</v>
      </c>
      <c r="G516" t="str">
        <f>CONCATENATE(Master_Packing_Database[[#This Row],[Exp '#]],Master_Packing_Database[[#This Row],[Batch '#]])</f>
        <v/>
      </c>
      <c r="I516" t="s">
        <v>2793</v>
      </c>
      <c r="J516" t="s">
        <v>1371</v>
      </c>
      <c r="AI516" t="s">
        <v>2748</v>
      </c>
      <c r="AN516">
        <v>0</v>
      </c>
      <c r="AO516" t="s">
        <v>1834</v>
      </c>
      <c r="AP516" t="s">
        <v>1834</v>
      </c>
      <c r="AQ516">
        <v>0</v>
      </c>
      <c r="AR516" t="s">
        <v>1835</v>
      </c>
    </row>
    <row r="517" spans="1:44" x14ac:dyDescent="0.25">
      <c r="A517" t="s">
        <v>1828</v>
      </c>
      <c r="B517" t="s">
        <v>2746</v>
      </c>
      <c r="D517" t="s">
        <v>2789</v>
      </c>
      <c r="G517" t="str">
        <f>CONCATENATE(Master_Packing_Database[[#This Row],[Exp '#]],Master_Packing_Database[[#This Row],[Batch '#]])</f>
        <v/>
      </c>
      <c r="I517" t="s">
        <v>2794</v>
      </c>
      <c r="J517" t="s">
        <v>1371</v>
      </c>
      <c r="AI517" t="s">
        <v>2748</v>
      </c>
      <c r="AN517">
        <v>0</v>
      </c>
      <c r="AO517" t="s">
        <v>1834</v>
      </c>
      <c r="AP517" t="s">
        <v>1834</v>
      </c>
      <c r="AQ517">
        <v>0</v>
      </c>
      <c r="AR517" t="s">
        <v>1835</v>
      </c>
    </row>
    <row r="518" spans="1:44" x14ac:dyDescent="0.25">
      <c r="A518" t="s">
        <v>1828</v>
      </c>
      <c r="B518" t="s">
        <v>2746</v>
      </c>
      <c r="D518" t="s">
        <v>2789</v>
      </c>
      <c r="G518" t="str">
        <f>CONCATENATE(Master_Packing_Database[[#This Row],[Exp '#]],Master_Packing_Database[[#This Row],[Batch '#]])</f>
        <v/>
      </c>
      <c r="I518" t="s">
        <v>2795</v>
      </c>
      <c r="J518" t="s">
        <v>1371</v>
      </c>
      <c r="AI518" t="s">
        <v>2748</v>
      </c>
      <c r="AN518">
        <v>0</v>
      </c>
      <c r="AO518" t="s">
        <v>1834</v>
      </c>
      <c r="AP518" t="s">
        <v>1834</v>
      </c>
      <c r="AQ518">
        <v>0</v>
      </c>
      <c r="AR518" t="s">
        <v>1835</v>
      </c>
    </row>
    <row r="519" spans="1:44" x14ac:dyDescent="0.25">
      <c r="A519" t="s">
        <v>1828</v>
      </c>
      <c r="B519" t="s">
        <v>2746</v>
      </c>
      <c r="D519" t="s">
        <v>2796</v>
      </c>
      <c r="G519" t="str">
        <f>CONCATENATE(Master_Packing_Database[[#This Row],[Exp '#]],Master_Packing_Database[[#This Row],[Batch '#]])</f>
        <v/>
      </c>
      <c r="I519" t="s">
        <v>2797</v>
      </c>
      <c r="J519" t="s">
        <v>117</v>
      </c>
      <c r="AI519" t="s">
        <v>2748</v>
      </c>
      <c r="AN519">
        <v>0</v>
      </c>
      <c r="AO519" t="s">
        <v>1834</v>
      </c>
      <c r="AP519" t="s">
        <v>1834</v>
      </c>
      <c r="AQ519">
        <v>0</v>
      </c>
      <c r="AR519" t="s">
        <v>1835</v>
      </c>
    </row>
    <row r="520" spans="1:44" x14ac:dyDescent="0.25">
      <c r="A520" t="s">
        <v>1828</v>
      </c>
      <c r="B520" t="s">
        <v>2746</v>
      </c>
      <c r="D520" t="s">
        <v>2798</v>
      </c>
      <c r="G520" t="str">
        <f>CONCATENATE(Master_Packing_Database[[#This Row],[Exp '#]],Master_Packing_Database[[#This Row],[Batch '#]])</f>
        <v/>
      </c>
      <c r="I520" t="s">
        <v>2799</v>
      </c>
      <c r="J520" t="s">
        <v>1371</v>
      </c>
      <c r="AI520" t="s">
        <v>2748</v>
      </c>
      <c r="AN520">
        <v>0</v>
      </c>
      <c r="AO520" t="s">
        <v>1834</v>
      </c>
      <c r="AP520" t="s">
        <v>1834</v>
      </c>
      <c r="AQ520">
        <v>0</v>
      </c>
      <c r="AR520" t="s">
        <v>1835</v>
      </c>
    </row>
    <row r="521" spans="1:44" x14ac:dyDescent="0.25">
      <c r="A521" t="s">
        <v>1828</v>
      </c>
      <c r="B521" t="s">
        <v>2746</v>
      </c>
      <c r="D521" t="s">
        <v>2798</v>
      </c>
      <c r="G521" t="str">
        <f>CONCATENATE(Master_Packing_Database[[#This Row],[Exp '#]],Master_Packing_Database[[#This Row],[Batch '#]])</f>
        <v/>
      </c>
      <c r="I521" t="s">
        <v>2799</v>
      </c>
      <c r="J521" t="s">
        <v>1371</v>
      </c>
      <c r="AI521" t="s">
        <v>2748</v>
      </c>
      <c r="AN521">
        <v>0</v>
      </c>
      <c r="AO521" t="s">
        <v>1834</v>
      </c>
      <c r="AP521" t="s">
        <v>1834</v>
      </c>
      <c r="AQ521">
        <v>0</v>
      </c>
      <c r="AR521" t="s">
        <v>1835</v>
      </c>
    </row>
    <row r="522" spans="1:44" x14ac:dyDescent="0.25">
      <c r="A522" t="s">
        <v>1828</v>
      </c>
      <c r="B522" t="s">
        <v>2746</v>
      </c>
      <c r="D522" t="s">
        <v>2798</v>
      </c>
      <c r="G522" t="str">
        <f>CONCATENATE(Master_Packing_Database[[#This Row],[Exp '#]],Master_Packing_Database[[#This Row],[Batch '#]])</f>
        <v/>
      </c>
      <c r="I522" t="s">
        <v>2800</v>
      </c>
      <c r="J522" t="s">
        <v>1371</v>
      </c>
      <c r="AI522" t="s">
        <v>2748</v>
      </c>
      <c r="AN522">
        <v>0</v>
      </c>
      <c r="AO522" t="s">
        <v>1834</v>
      </c>
      <c r="AP522" t="s">
        <v>1834</v>
      </c>
      <c r="AQ522">
        <v>0</v>
      </c>
      <c r="AR522" t="s">
        <v>1835</v>
      </c>
    </row>
    <row r="523" spans="1:44" x14ac:dyDescent="0.25">
      <c r="A523" t="s">
        <v>1828</v>
      </c>
      <c r="B523" t="s">
        <v>2746</v>
      </c>
      <c r="D523" t="s">
        <v>2798</v>
      </c>
      <c r="G523" t="str">
        <f>CONCATENATE(Master_Packing_Database[[#This Row],[Exp '#]],Master_Packing_Database[[#This Row],[Batch '#]])</f>
        <v/>
      </c>
      <c r="I523" t="s">
        <v>2801</v>
      </c>
      <c r="J523" t="s">
        <v>117</v>
      </c>
      <c r="AI523" t="s">
        <v>2748</v>
      </c>
      <c r="AN523">
        <v>0</v>
      </c>
      <c r="AO523" t="s">
        <v>1834</v>
      </c>
      <c r="AP523" t="s">
        <v>1834</v>
      </c>
      <c r="AQ523">
        <v>0</v>
      </c>
      <c r="AR523" t="s">
        <v>1835</v>
      </c>
    </row>
    <row r="524" spans="1:44" x14ac:dyDescent="0.25">
      <c r="A524" t="s">
        <v>1828</v>
      </c>
      <c r="B524" t="s">
        <v>2746</v>
      </c>
      <c r="D524" t="s">
        <v>2798</v>
      </c>
      <c r="G524" t="str">
        <f>CONCATENATE(Master_Packing_Database[[#This Row],[Exp '#]],Master_Packing_Database[[#This Row],[Batch '#]])</f>
        <v/>
      </c>
      <c r="I524" t="s">
        <v>2802</v>
      </c>
      <c r="J524" t="s">
        <v>117</v>
      </c>
      <c r="AI524" t="s">
        <v>2748</v>
      </c>
      <c r="AN524">
        <v>0</v>
      </c>
      <c r="AO524" t="s">
        <v>1834</v>
      </c>
      <c r="AP524" t="s">
        <v>1834</v>
      </c>
      <c r="AQ524">
        <v>0</v>
      </c>
      <c r="AR524" t="s">
        <v>1835</v>
      </c>
    </row>
    <row r="525" spans="1:44" x14ac:dyDescent="0.25">
      <c r="A525" t="s">
        <v>1828</v>
      </c>
      <c r="B525" t="s">
        <v>2746</v>
      </c>
      <c r="D525" t="s">
        <v>2803</v>
      </c>
      <c r="G525" t="str">
        <f>CONCATENATE(Master_Packing_Database[[#This Row],[Exp '#]],Master_Packing_Database[[#This Row],[Batch '#]])</f>
        <v/>
      </c>
      <c r="I525" t="s">
        <v>2804</v>
      </c>
      <c r="J525" t="s">
        <v>1371</v>
      </c>
      <c r="AI525" t="s">
        <v>2748</v>
      </c>
      <c r="AN525">
        <v>0</v>
      </c>
      <c r="AO525" t="s">
        <v>1834</v>
      </c>
      <c r="AP525" t="s">
        <v>1834</v>
      </c>
      <c r="AQ525">
        <v>0</v>
      </c>
      <c r="AR525" t="s">
        <v>1835</v>
      </c>
    </row>
    <row r="526" spans="1:44" x14ac:dyDescent="0.25">
      <c r="A526" t="s">
        <v>1828</v>
      </c>
      <c r="B526" t="s">
        <v>2746</v>
      </c>
      <c r="D526" t="s">
        <v>2803</v>
      </c>
      <c r="G526" t="str">
        <f>CONCATENATE(Master_Packing_Database[[#This Row],[Exp '#]],Master_Packing_Database[[#This Row],[Batch '#]])</f>
        <v/>
      </c>
      <c r="I526" t="s">
        <v>2805</v>
      </c>
      <c r="J526" t="s">
        <v>366</v>
      </c>
      <c r="AI526" t="s">
        <v>2748</v>
      </c>
      <c r="AN526">
        <v>0</v>
      </c>
      <c r="AO526" t="s">
        <v>1834</v>
      </c>
      <c r="AP526" t="s">
        <v>1834</v>
      </c>
      <c r="AQ526">
        <v>0</v>
      </c>
      <c r="AR526" t="s">
        <v>1835</v>
      </c>
    </row>
    <row r="527" spans="1:44" x14ac:dyDescent="0.25">
      <c r="A527" t="s">
        <v>1828</v>
      </c>
      <c r="B527" t="s">
        <v>2746</v>
      </c>
      <c r="D527" t="s">
        <v>2803</v>
      </c>
      <c r="G527" t="str">
        <f>CONCATENATE(Master_Packing_Database[[#This Row],[Exp '#]],Master_Packing_Database[[#This Row],[Batch '#]])</f>
        <v/>
      </c>
      <c r="I527" t="s">
        <v>2806</v>
      </c>
      <c r="J527" t="s">
        <v>366</v>
      </c>
      <c r="AI527" t="s">
        <v>2748</v>
      </c>
      <c r="AN527">
        <v>0</v>
      </c>
      <c r="AO527" t="s">
        <v>1834</v>
      </c>
      <c r="AP527" t="s">
        <v>1834</v>
      </c>
      <c r="AQ527">
        <v>0</v>
      </c>
      <c r="AR527" t="s">
        <v>1835</v>
      </c>
    </row>
    <row r="528" spans="1:44" x14ac:dyDescent="0.25">
      <c r="A528" t="s">
        <v>1828</v>
      </c>
      <c r="B528" t="s">
        <v>2746</v>
      </c>
      <c r="D528" t="s">
        <v>2803</v>
      </c>
      <c r="G528" t="str">
        <f>CONCATENATE(Master_Packing_Database[[#This Row],[Exp '#]],Master_Packing_Database[[#This Row],[Batch '#]])</f>
        <v/>
      </c>
      <c r="I528" t="s">
        <v>2807</v>
      </c>
      <c r="J528" t="s">
        <v>366</v>
      </c>
      <c r="AI528" t="s">
        <v>2748</v>
      </c>
      <c r="AN528">
        <v>0</v>
      </c>
      <c r="AO528" t="s">
        <v>1834</v>
      </c>
      <c r="AP528" t="s">
        <v>1834</v>
      </c>
      <c r="AQ528">
        <v>0</v>
      </c>
      <c r="AR528" t="s">
        <v>1835</v>
      </c>
    </row>
    <row r="529" spans="1:44" x14ac:dyDescent="0.25">
      <c r="A529" t="s">
        <v>1828</v>
      </c>
      <c r="B529" t="s">
        <v>2746</v>
      </c>
      <c r="D529" t="s">
        <v>2808</v>
      </c>
      <c r="G529" t="str">
        <f>CONCATENATE(Master_Packing_Database[[#This Row],[Exp '#]],Master_Packing_Database[[#This Row],[Batch '#]])</f>
        <v/>
      </c>
      <c r="I529" t="s">
        <v>2809</v>
      </c>
      <c r="J529" t="s">
        <v>2810</v>
      </c>
      <c r="AI529" t="s">
        <v>2748</v>
      </c>
      <c r="AN529">
        <v>0</v>
      </c>
      <c r="AO529" t="s">
        <v>1834</v>
      </c>
      <c r="AP529" t="s">
        <v>1834</v>
      </c>
      <c r="AQ529">
        <v>0</v>
      </c>
      <c r="AR529" t="s">
        <v>1835</v>
      </c>
    </row>
    <row r="530" spans="1:44" x14ac:dyDescent="0.25">
      <c r="A530" t="s">
        <v>1828</v>
      </c>
      <c r="B530" t="s">
        <v>2746</v>
      </c>
      <c r="D530" t="s">
        <v>2808</v>
      </c>
      <c r="G530" t="str">
        <f>CONCATENATE(Master_Packing_Database[[#This Row],[Exp '#]],Master_Packing_Database[[#This Row],[Batch '#]])</f>
        <v/>
      </c>
      <c r="I530" t="s">
        <v>2811</v>
      </c>
      <c r="J530" t="s">
        <v>2810</v>
      </c>
      <c r="AI530" t="s">
        <v>2748</v>
      </c>
      <c r="AN530">
        <v>0</v>
      </c>
      <c r="AO530" t="s">
        <v>1834</v>
      </c>
      <c r="AP530" t="s">
        <v>1834</v>
      </c>
      <c r="AQ530">
        <v>0</v>
      </c>
      <c r="AR530" t="s">
        <v>1835</v>
      </c>
    </row>
    <row r="531" spans="1:44" x14ac:dyDescent="0.25">
      <c r="A531" t="s">
        <v>1828</v>
      </c>
      <c r="B531" t="s">
        <v>2746</v>
      </c>
      <c r="D531" t="s">
        <v>2812</v>
      </c>
      <c r="G531" t="str">
        <f>CONCATENATE(Master_Packing_Database[[#This Row],[Exp '#]],Master_Packing_Database[[#This Row],[Batch '#]])</f>
        <v/>
      </c>
      <c r="I531" t="s">
        <v>2813</v>
      </c>
      <c r="J531" t="s">
        <v>117</v>
      </c>
      <c r="AI531" t="s">
        <v>2748</v>
      </c>
      <c r="AN531">
        <v>0</v>
      </c>
      <c r="AO531" t="s">
        <v>1834</v>
      </c>
      <c r="AP531" t="s">
        <v>1834</v>
      </c>
      <c r="AQ531">
        <v>0</v>
      </c>
      <c r="AR531" t="s">
        <v>1835</v>
      </c>
    </row>
    <row r="532" spans="1:44" x14ac:dyDescent="0.25">
      <c r="A532" t="s">
        <v>1828</v>
      </c>
      <c r="B532" t="s">
        <v>2746</v>
      </c>
      <c r="D532" t="s">
        <v>2812</v>
      </c>
      <c r="G532" t="str">
        <f>CONCATENATE(Master_Packing_Database[[#This Row],[Exp '#]],Master_Packing_Database[[#This Row],[Batch '#]])</f>
        <v/>
      </c>
      <c r="I532" t="s">
        <v>2813</v>
      </c>
      <c r="J532" t="s">
        <v>117</v>
      </c>
      <c r="AI532" t="s">
        <v>2748</v>
      </c>
      <c r="AN532">
        <v>0</v>
      </c>
      <c r="AO532" t="s">
        <v>1834</v>
      </c>
      <c r="AP532" t="s">
        <v>1834</v>
      </c>
      <c r="AQ532">
        <v>0</v>
      </c>
      <c r="AR532" t="s">
        <v>1835</v>
      </c>
    </row>
    <row r="533" spans="1:44" x14ac:dyDescent="0.25">
      <c r="A533" t="s">
        <v>1828</v>
      </c>
      <c r="B533" t="s">
        <v>2746</v>
      </c>
      <c r="D533" t="s">
        <v>2812</v>
      </c>
      <c r="G533" t="str">
        <f>CONCATENATE(Master_Packing_Database[[#This Row],[Exp '#]],Master_Packing_Database[[#This Row],[Batch '#]])</f>
        <v/>
      </c>
      <c r="I533" t="s">
        <v>2814</v>
      </c>
      <c r="J533" t="s">
        <v>1371</v>
      </c>
      <c r="AI533" t="s">
        <v>2748</v>
      </c>
      <c r="AN533">
        <v>0</v>
      </c>
      <c r="AO533" t="s">
        <v>1834</v>
      </c>
      <c r="AP533" t="s">
        <v>1834</v>
      </c>
      <c r="AQ533">
        <v>0</v>
      </c>
      <c r="AR533" t="s">
        <v>1835</v>
      </c>
    </row>
    <row r="534" spans="1:44" x14ac:dyDescent="0.25">
      <c r="A534" t="s">
        <v>1828</v>
      </c>
      <c r="B534" t="s">
        <v>2746</v>
      </c>
      <c r="D534" t="s">
        <v>2815</v>
      </c>
      <c r="G534" t="str">
        <f>CONCATENATE(Master_Packing_Database[[#This Row],[Exp '#]],Master_Packing_Database[[#This Row],[Batch '#]])</f>
        <v/>
      </c>
      <c r="I534" t="s">
        <v>2816</v>
      </c>
      <c r="J534" t="s">
        <v>117</v>
      </c>
      <c r="AI534" t="s">
        <v>2817</v>
      </c>
      <c r="AN534">
        <v>0</v>
      </c>
      <c r="AO534" t="s">
        <v>1834</v>
      </c>
      <c r="AP534" t="s">
        <v>1834</v>
      </c>
      <c r="AQ534">
        <v>0</v>
      </c>
      <c r="AR534" t="s">
        <v>1835</v>
      </c>
    </row>
    <row r="535" spans="1:44" x14ac:dyDescent="0.25">
      <c r="A535" t="s">
        <v>1828</v>
      </c>
      <c r="B535" t="s">
        <v>2746</v>
      </c>
      <c r="D535" t="s">
        <v>2818</v>
      </c>
      <c r="G535" t="str">
        <f>CONCATENATE(Master_Packing_Database[[#This Row],[Exp '#]],Master_Packing_Database[[#This Row],[Batch '#]])</f>
        <v/>
      </c>
      <c r="I535" t="s">
        <v>2819</v>
      </c>
      <c r="J535" t="s">
        <v>1371</v>
      </c>
      <c r="AI535" t="s">
        <v>2748</v>
      </c>
      <c r="AN535">
        <v>0</v>
      </c>
      <c r="AO535" t="s">
        <v>1834</v>
      </c>
      <c r="AP535" t="s">
        <v>1834</v>
      </c>
      <c r="AQ535">
        <v>0</v>
      </c>
      <c r="AR535" t="s">
        <v>1835</v>
      </c>
    </row>
    <row r="536" spans="1:44" x14ac:dyDescent="0.25">
      <c r="A536" t="s">
        <v>1828</v>
      </c>
      <c r="B536" t="s">
        <v>2746</v>
      </c>
      <c r="D536" t="s">
        <v>2818</v>
      </c>
      <c r="G536" t="str">
        <f>CONCATENATE(Master_Packing_Database[[#This Row],[Exp '#]],Master_Packing_Database[[#This Row],[Batch '#]])</f>
        <v/>
      </c>
      <c r="I536" t="s">
        <v>2820</v>
      </c>
      <c r="J536" t="s">
        <v>1371</v>
      </c>
      <c r="AI536" t="s">
        <v>2748</v>
      </c>
      <c r="AN536">
        <v>0</v>
      </c>
      <c r="AO536" t="s">
        <v>1834</v>
      </c>
      <c r="AP536" t="s">
        <v>1834</v>
      </c>
      <c r="AQ536">
        <v>0</v>
      </c>
      <c r="AR536" t="s">
        <v>1835</v>
      </c>
    </row>
    <row r="537" spans="1:44" x14ac:dyDescent="0.25">
      <c r="A537" t="s">
        <v>1828</v>
      </c>
      <c r="B537" t="s">
        <v>2746</v>
      </c>
      <c r="D537" t="s">
        <v>2818</v>
      </c>
      <c r="G537" t="str">
        <f>CONCATENATE(Master_Packing_Database[[#This Row],[Exp '#]],Master_Packing_Database[[#This Row],[Batch '#]])</f>
        <v/>
      </c>
      <c r="I537" t="s">
        <v>2800</v>
      </c>
      <c r="J537" t="s">
        <v>1371</v>
      </c>
      <c r="AI537" t="s">
        <v>2748</v>
      </c>
      <c r="AN537">
        <v>0</v>
      </c>
      <c r="AO537" t="s">
        <v>1834</v>
      </c>
      <c r="AP537" t="s">
        <v>1834</v>
      </c>
      <c r="AQ537">
        <v>0</v>
      </c>
      <c r="AR537" t="s">
        <v>1835</v>
      </c>
    </row>
    <row r="538" spans="1:44" x14ac:dyDescent="0.25">
      <c r="A538" t="s">
        <v>1828</v>
      </c>
      <c r="B538" t="s">
        <v>2746</v>
      </c>
      <c r="D538" t="s">
        <v>2818</v>
      </c>
      <c r="G538" t="str">
        <f>CONCATENATE(Master_Packing_Database[[#This Row],[Exp '#]],Master_Packing_Database[[#This Row],[Batch '#]])</f>
        <v/>
      </c>
      <c r="I538" t="s">
        <v>2799</v>
      </c>
      <c r="J538" t="s">
        <v>1371</v>
      </c>
      <c r="AI538" t="s">
        <v>2748</v>
      </c>
      <c r="AN538">
        <v>0</v>
      </c>
      <c r="AO538" t="s">
        <v>1834</v>
      </c>
      <c r="AP538" t="s">
        <v>1834</v>
      </c>
      <c r="AQ538">
        <v>0</v>
      </c>
      <c r="AR538" t="s">
        <v>1835</v>
      </c>
    </row>
    <row r="539" spans="1:44" x14ac:dyDescent="0.25">
      <c r="A539" t="s">
        <v>1828</v>
      </c>
      <c r="B539" t="s">
        <v>2746</v>
      </c>
      <c r="D539" t="s">
        <v>2818</v>
      </c>
      <c r="G539" t="str">
        <f>CONCATENATE(Master_Packing_Database[[#This Row],[Exp '#]],Master_Packing_Database[[#This Row],[Batch '#]])</f>
        <v/>
      </c>
      <c r="I539" t="s">
        <v>2799</v>
      </c>
      <c r="J539" t="s">
        <v>1371</v>
      </c>
      <c r="AI539" t="s">
        <v>2748</v>
      </c>
      <c r="AN539">
        <v>0</v>
      </c>
      <c r="AO539" t="s">
        <v>1834</v>
      </c>
      <c r="AP539" t="s">
        <v>1834</v>
      </c>
      <c r="AQ539">
        <v>0</v>
      </c>
      <c r="AR539" t="s">
        <v>1835</v>
      </c>
    </row>
    <row r="540" spans="1:44" x14ac:dyDescent="0.25">
      <c r="A540" t="s">
        <v>1828</v>
      </c>
      <c r="B540" t="s">
        <v>2746</v>
      </c>
      <c r="D540" t="s">
        <v>2818</v>
      </c>
      <c r="G540" t="str">
        <f>CONCATENATE(Master_Packing_Database[[#This Row],[Exp '#]],Master_Packing_Database[[#This Row],[Batch '#]])</f>
        <v/>
      </c>
      <c r="I540" t="s">
        <v>2799</v>
      </c>
      <c r="J540" t="s">
        <v>1371</v>
      </c>
      <c r="AI540" t="s">
        <v>2748</v>
      </c>
      <c r="AN540">
        <v>0</v>
      </c>
      <c r="AO540" t="s">
        <v>1834</v>
      </c>
      <c r="AP540" t="s">
        <v>1834</v>
      </c>
      <c r="AQ540">
        <v>0</v>
      </c>
      <c r="AR540" t="s">
        <v>1835</v>
      </c>
    </row>
    <row r="541" spans="1:44" x14ac:dyDescent="0.25">
      <c r="A541" t="s">
        <v>1828</v>
      </c>
      <c r="B541" t="s">
        <v>2746</v>
      </c>
      <c r="D541" t="s">
        <v>2821</v>
      </c>
      <c r="G541" t="str">
        <f>CONCATENATE(Master_Packing_Database[[#This Row],[Exp '#]],Master_Packing_Database[[#This Row],[Batch '#]])</f>
        <v/>
      </c>
      <c r="I541" t="s">
        <v>2822</v>
      </c>
      <c r="J541" t="s">
        <v>1371</v>
      </c>
      <c r="AI541" t="s">
        <v>2823</v>
      </c>
      <c r="AN541">
        <v>0</v>
      </c>
      <c r="AO541" t="s">
        <v>1834</v>
      </c>
      <c r="AP541" t="s">
        <v>1834</v>
      </c>
      <c r="AQ541">
        <v>0</v>
      </c>
      <c r="AR541" t="s">
        <v>1835</v>
      </c>
    </row>
    <row r="542" spans="1:44" x14ac:dyDescent="0.25">
      <c r="A542" t="s">
        <v>1828</v>
      </c>
      <c r="B542" t="s">
        <v>2746</v>
      </c>
      <c r="D542" t="s">
        <v>2747</v>
      </c>
      <c r="G542" t="str">
        <f>CONCATENATE(Master_Packing_Database[[#This Row],[Exp '#]],Master_Packing_Database[[#This Row],[Batch '#]])</f>
        <v/>
      </c>
      <c r="I542" t="s">
        <v>2824</v>
      </c>
      <c r="J542" t="s">
        <v>117</v>
      </c>
      <c r="AI542" t="s">
        <v>2748</v>
      </c>
      <c r="AN542">
        <v>0</v>
      </c>
      <c r="AO542" t="s">
        <v>1834</v>
      </c>
      <c r="AP542" t="s">
        <v>1834</v>
      </c>
      <c r="AQ542">
        <v>0</v>
      </c>
      <c r="AR542" t="s">
        <v>1835</v>
      </c>
    </row>
    <row r="543" spans="1:44" x14ac:dyDescent="0.25">
      <c r="A543" t="s">
        <v>1828</v>
      </c>
      <c r="B543" t="s">
        <v>2746</v>
      </c>
      <c r="D543" t="s">
        <v>2747</v>
      </c>
      <c r="G543" t="str">
        <f>CONCATENATE(Master_Packing_Database[[#This Row],[Exp '#]],Master_Packing_Database[[#This Row],[Batch '#]])</f>
        <v/>
      </c>
      <c r="I543" t="s">
        <v>2825</v>
      </c>
      <c r="J543" t="s">
        <v>117</v>
      </c>
      <c r="AI543" t="s">
        <v>2748</v>
      </c>
      <c r="AN543">
        <v>0</v>
      </c>
      <c r="AO543" t="s">
        <v>1834</v>
      </c>
      <c r="AP543" t="s">
        <v>1834</v>
      </c>
      <c r="AQ543">
        <v>0</v>
      </c>
      <c r="AR543" t="s">
        <v>1835</v>
      </c>
    </row>
    <row r="544" spans="1:44" x14ac:dyDescent="0.25">
      <c r="A544" t="s">
        <v>1828</v>
      </c>
      <c r="B544" t="s">
        <v>2746</v>
      </c>
      <c r="D544" t="s">
        <v>2747</v>
      </c>
      <c r="G544" t="str">
        <f>CONCATENATE(Master_Packing_Database[[#This Row],[Exp '#]],Master_Packing_Database[[#This Row],[Batch '#]])</f>
        <v/>
      </c>
      <c r="I544" t="s">
        <v>2826</v>
      </c>
      <c r="J544" t="s">
        <v>117</v>
      </c>
      <c r="AI544" t="s">
        <v>2748</v>
      </c>
      <c r="AN544">
        <v>0</v>
      </c>
      <c r="AO544" t="s">
        <v>1834</v>
      </c>
      <c r="AP544" t="s">
        <v>1834</v>
      </c>
      <c r="AQ544">
        <v>0</v>
      </c>
      <c r="AR544" t="s">
        <v>1835</v>
      </c>
    </row>
    <row r="545" spans="1:44" x14ac:dyDescent="0.25">
      <c r="A545" t="s">
        <v>1828</v>
      </c>
      <c r="B545" t="s">
        <v>2746</v>
      </c>
      <c r="D545" t="s">
        <v>2747</v>
      </c>
      <c r="G545" t="str">
        <f>CONCATENATE(Master_Packing_Database[[#This Row],[Exp '#]],Master_Packing_Database[[#This Row],[Batch '#]])</f>
        <v/>
      </c>
      <c r="I545" t="s">
        <v>2827</v>
      </c>
      <c r="J545" t="s">
        <v>117</v>
      </c>
      <c r="AI545" t="s">
        <v>2748</v>
      </c>
      <c r="AN545">
        <v>0</v>
      </c>
      <c r="AO545" t="s">
        <v>1834</v>
      </c>
      <c r="AP545" t="s">
        <v>1834</v>
      </c>
      <c r="AQ545">
        <v>0</v>
      </c>
      <c r="AR545" t="s">
        <v>1835</v>
      </c>
    </row>
    <row r="546" spans="1:44" x14ac:dyDescent="0.25">
      <c r="A546" t="s">
        <v>1828</v>
      </c>
      <c r="B546" t="s">
        <v>2746</v>
      </c>
      <c r="D546" t="s">
        <v>2787</v>
      </c>
      <c r="G546" t="str">
        <f>CONCATENATE(Master_Packing_Database[[#This Row],[Exp '#]],Master_Packing_Database[[#This Row],[Batch '#]])</f>
        <v/>
      </c>
      <c r="I546" t="s">
        <v>2828</v>
      </c>
      <c r="J546" t="s">
        <v>117</v>
      </c>
      <c r="AI546" t="s">
        <v>2823</v>
      </c>
      <c r="AN546">
        <v>0</v>
      </c>
      <c r="AO546" t="s">
        <v>1834</v>
      </c>
      <c r="AP546" t="s">
        <v>1834</v>
      </c>
      <c r="AQ546">
        <v>0</v>
      </c>
      <c r="AR546" t="s">
        <v>1835</v>
      </c>
    </row>
    <row r="547" spans="1:44" x14ac:dyDescent="0.25">
      <c r="A547" t="s">
        <v>1828</v>
      </c>
      <c r="B547" t="s">
        <v>2746</v>
      </c>
      <c r="D547" t="s">
        <v>2798</v>
      </c>
      <c r="G547" t="str">
        <f>CONCATENATE(Master_Packing_Database[[#This Row],[Exp '#]],Master_Packing_Database[[#This Row],[Batch '#]])</f>
        <v/>
      </c>
      <c r="I547" t="s">
        <v>1227</v>
      </c>
      <c r="J547" t="s">
        <v>366</v>
      </c>
      <c r="AI547" t="s">
        <v>2823</v>
      </c>
      <c r="AN547">
        <v>0</v>
      </c>
      <c r="AO547" t="s">
        <v>1834</v>
      </c>
      <c r="AP547" t="s">
        <v>1834</v>
      </c>
      <c r="AQ547">
        <v>0</v>
      </c>
      <c r="AR547" t="s">
        <v>1835</v>
      </c>
    </row>
    <row r="548" spans="1:44" x14ac:dyDescent="0.25">
      <c r="A548" t="s">
        <v>1828</v>
      </c>
      <c r="B548" t="s">
        <v>2746</v>
      </c>
      <c r="D548" t="s">
        <v>2770</v>
      </c>
      <c r="G548" t="str">
        <f>CONCATENATE(Master_Packing_Database[[#This Row],[Exp '#]],Master_Packing_Database[[#This Row],[Batch '#]])</f>
        <v/>
      </c>
      <c r="I548" t="s">
        <v>2829</v>
      </c>
      <c r="J548" t="s">
        <v>1371</v>
      </c>
      <c r="AI548" t="s">
        <v>2823</v>
      </c>
      <c r="AN548">
        <v>0</v>
      </c>
      <c r="AO548" t="s">
        <v>1834</v>
      </c>
      <c r="AP548" t="s">
        <v>1834</v>
      </c>
      <c r="AQ548">
        <v>0</v>
      </c>
      <c r="AR548" t="s">
        <v>1835</v>
      </c>
    </row>
    <row r="549" spans="1:44" x14ac:dyDescent="0.25">
      <c r="A549" t="s">
        <v>1828</v>
      </c>
      <c r="B549" t="s">
        <v>2746</v>
      </c>
      <c r="D549" t="s">
        <v>2770</v>
      </c>
      <c r="G549" t="str">
        <f>CONCATENATE(Master_Packing_Database[[#This Row],[Exp '#]],Master_Packing_Database[[#This Row],[Batch '#]])</f>
        <v/>
      </c>
      <c r="I549" t="s">
        <v>2830</v>
      </c>
      <c r="J549" t="s">
        <v>1371</v>
      </c>
      <c r="AI549" t="s">
        <v>2823</v>
      </c>
      <c r="AN549">
        <v>0</v>
      </c>
      <c r="AO549" t="s">
        <v>1834</v>
      </c>
      <c r="AP549" t="s">
        <v>1834</v>
      </c>
      <c r="AQ549">
        <v>0</v>
      </c>
      <c r="AR549" t="s">
        <v>1835</v>
      </c>
    </row>
    <row r="550" spans="1:44" x14ac:dyDescent="0.25">
      <c r="A550" t="s">
        <v>1828</v>
      </c>
      <c r="B550" t="s">
        <v>2746</v>
      </c>
      <c r="D550" t="s">
        <v>2770</v>
      </c>
      <c r="G550" t="str">
        <f>CONCATENATE(Master_Packing_Database[[#This Row],[Exp '#]],Master_Packing_Database[[#This Row],[Batch '#]])</f>
        <v/>
      </c>
      <c r="I550" t="s">
        <v>2831</v>
      </c>
      <c r="J550" t="s">
        <v>1371</v>
      </c>
      <c r="AI550" t="s">
        <v>2823</v>
      </c>
      <c r="AN550">
        <v>0</v>
      </c>
      <c r="AO550" t="s">
        <v>1834</v>
      </c>
      <c r="AP550" t="s">
        <v>1834</v>
      </c>
      <c r="AQ550">
        <v>0</v>
      </c>
      <c r="AR550" t="s">
        <v>1835</v>
      </c>
    </row>
    <row r="551" spans="1:44" x14ac:dyDescent="0.25">
      <c r="A551" t="s">
        <v>1828</v>
      </c>
      <c r="B551" t="s">
        <v>2746</v>
      </c>
      <c r="D551" t="s">
        <v>2770</v>
      </c>
      <c r="G551" t="str">
        <f>CONCATENATE(Master_Packing_Database[[#This Row],[Exp '#]],Master_Packing_Database[[#This Row],[Batch '#]])</f>
        <v/>
      </c>
      <c r="I551" t="s">
        <v>2832</v>
      </c>
      <c r="J551" t="s">
        <v>1371</v>
      </c>
      <c r="AI551" t="s">
        <v>2823</v>
      </c>
      <c r="AN551">
        <v>0</v>
      </c>
      <c r="AO551" t="s">
        <v>1834</v>
      </c>
      <c r="AP551" t="s">
        <v>1834</v>
      </c>
      <c r="AQ551">
        <v>0</v>
      </c>
      <c r="AR551" t="s">
        <v>1835</v>
      </c>
    </row>
    <row r="552" spans="1:44" x14ac:dyDescent="0.25">
      <c r="A552" t="s">
        <v>1828</v>
      </c>
      <c r="B552" t="s">
        <v>2746</v>
      </c>
      <c r="D552" t="s">
        <v>2747</v>
      </c>
      <c r="G552" t="str">
        <f>CONCATENATE(Master_Packing_Database[[#This Row],[Exp '#]],Master_Packing_Database[[#This Row],[Batch '#]])</f>
        <v/>
      </c>
      <c r="I552" t="s">
        <v>2833</v>
      </c>
      <c r="J552" t="s">
        <v>117</v>
      </c>
      <c r="AI552" t="s">
        <v>2748</v>
      </c>
      <c r="AN552">
        <v>0</v>
      </c>
      <c r="AO552" t="s">
        <v>1834</v>
      </c>
      <c r="AP552" t="s">
        <v>1834</v>
      </c>
      <c r="AQ552">
        <v>0</v>
      </c>
      <c r="AR552" t="s">
        <v>1835</v>
      </c>
    </row>
    <row r="553" spans="1:44" x14ac:dyDescent="0.25">
      <c r="A553" t="s">
        <v>1828</v>
      </c>
      <c r="B553" t="s">
        <v>2746</v>
      </c>
      <c r="D553" t="s">
        <v>2747</v>
      </c>
      <c r="G553" t="str">
        <f>CONCATENATE(Master_Packing_Database[[#This Row],[Exp '#]],Master_Packing_Database[[#This Row],[Batch '#]])</f>
        <v/>
      </c>
      <c r="I553" t="s">
        <v>2834</v>
      </c>
      <c r="J553" t="s">
        <v>117</v>
      </c>
      <c r="AI553" t="s">
        <v>2748</v>
      </c>
      <c r="AN553">
        <v>0</v>
      </c>
      <c r="AO553" t="s">
        <v>1834</v>
      </c>
      <c r="AP553" t="s">
        <v>1834</v>
      </c>
      <c r="AQ553">
        <v>0</v>
      </c>
      <c r="AR553" t="s">
        <v>1835</v>
      </c>
    </row>
    <row r="554" spans="1:44" x14ac:dyDescent="0.25">
      <c r="A554" t="s">
        <v>1828</v>
      </c>
      <c r="B554" t="s">
        <v>2746</v>
      </c>
      <c r="D554" t="s">
        <v>2770</v>
      </c>
      <c r="G554" t="str">
        <f>CONCATENATE(Master_Packing_Database[[#This Row],[Exp '#]],Master_Packing_Database[[#This Row],[Batch '#]])</f>
        <v/>
      </c>
      <c r="I554" t="s">
        <v>2835</v>
      </c>
      <c r="J554" t="s">
        <v>117</v>
      </c>
      <c r="AI554" t="s">
        <v>2748</v>
      </c>
      <c r="AN554">
        <v>0</v>
      </c>
      <c r="AO554" t="s">
        <v>1834</v>
      </c>
      <c r="AP554" t="s">
        <v>1834</v>
      </c>
      <c r="AQ554">
        <v>0</v>
      </c>
      <c r="AR554" t="s">
        <v>1835</v>
      </c>
    </row>
    <row r="555" spans="1:44" x14ac:dyDescent="0.25">
      <c r="A555" t="s">
        <v>1828</v>
      </c>
      <c r="B555" t="s">
        <v>2746</v>
      </c>
      <c r="D555" t="s">
        <v>2768</v>
      </c>
      <c r="G555" t="str">
        <f>CONCATENATE(Master_Packing_Database[[#This Row],[Exp '#]],Master_Packing_Database[[#This Row],[Batch '#]])</f>
        <v/>
      </c>
      <c r="I555" t="s">
        <v>2836</v>
      </c>
      <c r="J555" t="s">
        <v>366</v>
      </c>
      <c r="AI555" t="s">
        <v>2748</v>
      </c>
      <c r="AN555">
        <v>0</v>
      </c>
      <c r="AO555" t="s">
        <v>1834</v>
      </c>
      <c r="AP555" t="s">
        <v>1834</v>
      </c>
      <c r="AQ555">
        <v>0</v>
      </c>
      <c r="AR555" t="s">
        <v>1835</v>
      </c>
    </row>
    <row r="556" spans="1:44" x14ac:dyDescent="0.25">
      <c r="A556" t="s">
        <v>1828</v>
      </c>
      <c r="B556" t="s">
        <v>2746</v>
      </c>
      <c r="D556" t="s">
        <v>2818</v>
      </c>
      <c r="G556" t="str">
        <f>CONCATENATE(Master_Packing_Database[[#This Row],[Exp '#]],Master_Packing_Database[[#This Row],[Batch '#]])</f>
        <v/>
      </c>
      <c r="I556" t="s">
        <v>2837</v>
      </c>
      <c r="J556" t="s">
        <v>366</v>
      </c>
      <c r="AI556" t="s">
        <v>2748</v>
      </c>
      <c r="AN556">
        <v>0</v>
      </c>
      <c r="AO556" t="s">
        <v>1834</v>
      </c>
      <c r="AP556" t="s">
        <v>1834</v>
      </c>
      <c r="AQ556">
        <v>0</v>
      </c>
      <c r="AR556" t="s">
        <v>1835</v>
      </c>
    </row>
    <row r="557" spans="1:44" x14ac:dyDescent="0.25">
      <c r="A557" t="s">
        <v>1828</v>
      </c>
      <c r="B557" t="s">
        <v>2746</v>
      </c>
      <c r="D557" t="s">
        <v>2747</v>
      </c>
      <c r="G557" t="str">
        <f>CONCATENATE(Master_Packing_Database[[#This Row],[Exp '#]],Master_Packing_Database[[#This Row],[Batch '#]])</f>
        <v/>
      </c>
      <c r="I557" t="s">
        <v>2838</v>
      </c>
      <c r="J557" t="s">
        <v>1371</v>
      </c>
      <c r="AI557" t="s">
        <v>2748</v>
      </c>
      <c r="AN557">
        <v>0</v>
      </c>
      <c r="AO557" t="s">
        <v>1834</v>
      </c>
      <c r="AP557" t="s">
        <v>1834</v>
      </c>
      <c r="AQ557">
        <v>0</v>
      </c>
      <c r="AR557" t="s">
        <v>1835</v>
      </c>
    </row>
    <row r="558" spans="1:44" x14ac:dyDescent="0.25">
      <c r="A558" t="s">
        <v>1828</v>
      </c>
      <c r="B558" t="s">
        <v>2746</v>
      </c>
      <c r="D558" t="s">
        <v>2747</v>
      </c>
      <c r="G558" t="str">
        <f>CONCATENATE(Master_Packing_Database[[#This Row],[Exp '#]],Master_Packing_Database[[#This Row],[Batch '#]])</f>
        <v/>
      </c>
      <c r="I558" t="s">
        <v>2839</v>
      </c>
      <c r="J558" t="s">
        <v>1371</v>
      </c>
      <c r="AI558" t="s">
        <v>2748</v>
      </c>
      <c r="AN558">
        <v>0</v>
      </c>
      <c r="AO558" t="s">
        <v>1834</v>
      </c>
      <c r="AP558" t="s">
        <v>1834</v>
      </c>
      <c r="AQ558">
        <v>0</v>
      </c>
      <c r="AR558" t="s">
        <v>1835</v>
      </c>
    </row>
    <row r="559" spans="1:44" x14ac:dyDescent="0.25">
      <c r="A559" t="s">
        <v>1828</v>
      </c>
      <c r="B559" t="s">
        <v>2746</v>
      </c>
      <c r="D559" t="s">
        <v>2747</v>
      </c>
      <c r="G559" t="str">
        <f>CONCATENATE(Master_Packing_Database[[#This Row],[Exp '#]],Master_Packing_Database[[#This Row],[Batch '#]])</f>
        <v/>
      </c>
      <c r="I559" t="s">
        <v>2840</v>
      </c>
      <c r="J559" t="s">
        <v>1371</v>
      </c>
      <c r="AI559" t="s">
        <v>2748</v>
      </c>
      <c r="AN559">
        <v>0</v>
      </c>
      <c r="AO559" t="s">
        <v>1834</v>
      </c>
      <c r="AP559" t="s">
        <v>1834</v>
      </c>
      <c r="AQ559">
        <v>0</v>
      </c>
      <c r="AR559" t="s">
        <v>1835</v>
      </c>
    </row>
    <row r="560" spans="1:44" x14ac:dyDescent="0.25">
      <c r="A560" t="s">
        <v>1828</v>
      </c>
      <c r="B560" t="s">
        <v>2746</v>
      </c>
      <c r="D560" t="s">
        <v>2747</v>
      </c>
      <c r="G560" t="str">
        <f>CONCATENATE(Master_Packing_Database[[#This Row],[Exp '#]],Master_Packing_Database[[#This Row],[Batch '#]])</f>
        <v/>
      </c>
      <c r="I560" t="s">
        <v>2841</v>
      </c>
      <c r="J560" t="s">
        <v>1371</v>
      </c>
      <c r="AI560" t="s">
        <v>2748</v>
      </c>
      <c r="AN560">
        <v>0</v>
      </c>
      <c r="AO560" t="s">
        <v>1834</v>
      </c>
      <c r="AP560" t="s">
        <v>1834</v>
      </c>
      <c r="AQ560">
        <v>0</v>
      </c>
      <c r="AR560" t="s">
        <v>1835</v>
      </c>
    </row>
    <row r="561" spans="1:44" x14ac:dyDescent="0.25">
      <c r="A561" t="s">
        <v>1828</v>
      </c>
      <c r="B561" t="s">
        <v>2746</v>
      </c>
      <c r="D561" t="s">
        <v>2747</v>
      </c>
      <c r="G561" t="str">
        <f>CONCATENATE(Master_Packing_Database[[#This Row],[Exp '#]],Master_Packing_Database[[#This Row],[Batch '#]])</f>
        <v/>
      </c>
      <c r="I561" t="s">
        <v>2841</v>
      </c>
      <c r="J561" t="s">
        <v>1371</v>
      </c>
      <c r="AI561" t="s">
        <v>2748</v>
      </c>
      <c r="AN561">
        <v>0</v>
      </c>
      <c r="AO561" t="s">
        <v>1834</v>
      </c>
      <c r="AP561" t="s">
        <v>1834</v>
      </c>
      <c r="AQ561">
        <v>0</v>
      </c>
      <c r="AR561" t="s">
        <v>1835</v>
      </c>
    </row>
    <row r="562" spans="1:44" x14ac:dyDescent="0.25">
      <c r="A562" t="s">
        <v>1828</v>
      </c>
      <c r="B562" t="s">
        <v>2746</v>
      </c>
      <c r="D562" t="s">
        <v>2747</v>
      </c>
      <c r="G562" t="str">
        <f>CONCATENATE(Master_Packing_Database[[#This Row],[Exp '#]],Master_Packing_Database[[#This Row],[Batch '#]])</f>
        <v/>
      </c>
      <c r="I562" t="s">
        <v>2841</v>
      </c>
      <c r="J562" t="s">
        <v>1371</v>
      </c>
      <c r="AI562" t="s">
        <v>2748</v>
      </c>
      <c r="AN562">
        <v>0</v>
      </c>
      <c r="AO562" t="s">
        <v>1834</v>
      </c>
      <c r="AP562" t="s">
        <v>1834</v>
      </c>
      <c r="AQ562">
        <v>0</v>
      </c>
      <c r="AR562" t="s">
        <v>1835</v>
      </c>
    </row>
    <row r="563" spans="1:44" x14ac:dyDescent="0.25">
      <c r="A563" t="s">
        <v>1828</v>
      </c>
      <c r="B563" t="s">
        <v>2746</v>
      </c>
      <c r="D563" t="s">
        <v>2747</v>
      </c>
      <c r="G563" t="str">
        <f>CONCATENATE(Master_Packing_Database[[#This Row],[Exp '#]],Master_Packing_Database[[#This Row],[Batch '#]])</f>
        <v/>
      </c>
      <c r="I563" t="s">
        <v>2841</v>
      </c>
      <c r="J563" t="s">
        <v>1371</v>
      </c>
      <c r="AI563" t="s">
        <v>2748</v>
      </c>
      <c r="AN563">
        <v>0</v>
      </c>
      <c r="AO563" t="s">
        <v>1834</v>
      </c>
      <c r="AP563" t="s">
        <v>1834</v>
      </c>
      <c r="AQ563">
        <v>0</v>
      </c>
      <c r="AR563" t="s">
        <v>1835</v>
      </c>
    </row>
    <row r="564" spans="1:44" x14ac:dyDescent="0.25">
      <c r="A564" t="s">
        <v>1828</v>
      </c>
      <c r="B564" t="s">
        <v>2746</v>
      </c>
      <c r="D564" t="s">
        <v>2747</v>
      </c>
      <c r="G564" t="str">
        <f>CONCATENATE(Master_Packing_Database[[#This Row],[Exp '#]],Master_Packing_Database[[#This Row],[Batch '#]])</f>
        <v/>
      </c>
      <c r="I564" t="s">
        <v>2842</v>
      </c>
      <c r="J564" t="s">
        <v>1371</v>
      </c>
      <c r="AI564" t="s">
        <v>2748</v>
      </c>
      <c r="AN564">
        <v>0</v>
      </c>
      <c r="AO564" t="s">
        <v>1834</v>
      </c>
      <c r="AP564" t="s">
        <v>1834</v>
      </c>
      <c r="AQ564">
        <v>0</v>
      </c>
      <c r="AR564" t="s">
        <v>1835</v>
      </c>
    </row>
    <row r="565" spans="1:44" x14ac:dyDescent="0.25">
      <c r="A565" t="s">
        <v>1828</v>
      </c>
      <c r="B565" t="s">
        <v>2746</v>
      </c>
      <c r="D565" t="s">
        <v>2747</v>
      </c>
      <c r="G565" t="str">
        <f>CONCATENATE(Master_Packing_Database[[#This Row],[Exp '#]],Master_Packing_Database[[#This Row],[Batch '#]])</f>
        <v/>
      </c>
      <c r="I565" t="s">
        <v>2843</v>
      </c>
      <c r="J565" t="s">
        <v>1371</v>
      </c>
      <c r="AI565" t="s">
        <v>2748</v>
      </c>
      <c r="AN565">
        <v>0</v>
      </c>
      <c r="AO565" t="s">
        <v>1834</v>
      </c>
      <c r="AP565" t="s">
        <v>1834</v>
      </c>
      <c r="AQ565">
        <v>0</v>
      </c>
      <c r="AR565" t="s">
        <v>1835</v>
      </c>
    </row>
    <row r="566" spans="1:44" x14ac:dyDescent="0.25">
      <c r="A566" t="s">
        <v>1828</v>
      </c>
      <c r="B566" t="s">
        <v>2746</v>
      </c>
      <c r="D566" t="s">
        <v>2844</v>
      </c>
      <c r="G566" t="str">
        <f>CONCATENATE(Master_Packing_Database[[#This Row],[Exp '#]],Master_Packing_Database[[#This Row],[Batch '#]])</f>
        <v/>
      </c>
      <c r="I566" t="s">
        <v>2845</v>
      </c>
      <c r="J566" t="s">
        <v>1371</v>
      </c>
      <c r="AI566" t="s">
        <v>2823</v>
      </c>
      <c r="AN566">
        <v>0</v>
      </c>
      <c r="AO566" t="s">
        <v>1834</v>
      </c>
      <c r="AP566" t="s">
        <v>1834</v>
      </c>
      <c r="AQ566">
        <v>0</v>
      </c>
      <c r="AR566" t="s">
        <v>1835</v>
      </c>
    </row>
    <row r="567" spans="1:44" x14ac:dyDescent="0.25">
      <c r="A567" t="s">
        <v>1828</v>
      </c>
      <c r="B567" t="s">
        <v>2746</v>
      </c>
      <c r="D567" t="s">
        <v>2844</v>
      </c>
      <c r="G567" t="str">
        <f>CONCATENATE(Master_Packing_Database[[#This Row],[Exp '#]],Master_Packing_Database[[#This Row],[Batch '#]])</f>
        <v/>
      </c>
      <c r="I567" t="s">
        <v>2846</v>
      </c>
      <c r="J567" t="s">
        <v>1371</v>
      </c>
      <c r="AI567" t="s">
        <v>2823</v>
      </c>
      <c r="AN567">
        <v>0</v>
      </c>
      <c r="AO567" t="s">
        <v>1834</v>
      </c>
      <c r="AP567" t="s">
        <v>1834</v>
      </c>
      <c r="AQ567">
        <v>0</v>
      </c>
      <c r="AR567" t="s">
        <v>1835</v>
      </c>
    </row>
    <row r="568" spans="1:44" x14ac:dyDescent="0.25">
      <c r="A568" t="s">
        <v>1828</v>
      </c>
      <c r="B568" t="s">
        <v>2746</v>
      </c>
      <c r="D568" t="s">
        <v>2844</v>
      </c>
      <c r="G568" t="str">
        <f>CONCATENATE(Master_Packing_Database[[#This Row],[Exp '#]],Master_Packing_Database[[#This Row],[Batch '#]])</f>
        <v/>
      </c>
      <c r="I568" t="s">
        <v>2847</v>
      </c>
      <c r="J568" t="s">
        <v>1371</v>
      </c>
      <c r="AI568" t="s">
        <v>2823</v>
      </c>
      <c r="AN568">
        <v>0</v>
      </c>
      <c r="AO568" t="s">
        <v>1834</v>
      </c>
      <c r="AP568" t="s">
        <v>1834</v>
      </c>
      <c r="AQ568">
        <v>0</v>
      </c>
      <c r="AR568" t="s">
        <v>1835</v>
      </c>
    </row>
    <row r="569" spans="1:44" x14ac:dyDescent="0.25">
      <c r="A569" t="s">
        <v>1828</v>
      </c>
      <c r="B569" t="s">
        <v>2746</v>
      </c>
      <c r="D569" t="s">
        <v>2821</v>
      </c>
      <c r="G569" t="str">
        <f>CONCATENATE(Master_Packing_Database[[#This Row],[Exp '#]],Master_Packing_Database[[#This Row],[Batch '#]])</f>
        <v/>
      </c>
      <c r="I569" t="s">
        <v>2848</v>
      </c>
      <c r="J569" t="s">
        <v>1371</v>
      </c>
      <c r="AI569" t="s">
        <v>2748</v>
      </c>
      <c r="AN569">
        <v>0</v>
      </c>
      <c r="AO569" t="s">
        <v>1834</v>
      </c>
      <c r="AP569" t="s">
        <v>1834</v>
      </c>
      <c r="AQ569">
        <v>0</v>
      </c>
      <c r="AR569" t="s">
        <v>1835</v>
      </c>
    </row>
    <row r="570" spans="1:44" x14ac:dyDescent="0.25">
      <c r="A570" t="s">
        <v>1828</v>
      </c>
      <c r="B570" t="s">
        <v>2746</v>
      </c>
      <c r="D570" t="s">
        <v>2808</v>
      </c>
      <c r="G570" t="str">
        <f>CONCATENATE(Master_Packing_Database[[#This Row],[Exp '#]],Master_Packing_Database[[#This Row],[Batch '#]])</f>
        <v/>
      </c>
      <c r="I570" t="s">
        <v>2780</v>
      </c>
      <c r="J570" t="s">
        <v>1371</v>
      </c>
      <c r="AI570" t="s">
        <v>2748</v>
      </c>
      <c r="AN570">
        <v>0</v>
      </c>
      <c r="AO570" t="s">
        <v>1834</v>
      </c>
      <c r="AP570" t="s">
        <v>1834</v>
      </c>
      <c r="AQ570">
        <v>0</v>
      </c>
      <c r="AR570" t="s">
        <v>1835</v>
      </c>
    </row>
    <row r="571" spans="1:44" x14ac:dyDescent="0.25">
      <c r="A571" t="s">
        <v>1828</v>
      </c>
      <c r="B571" t="s">
        <v>2746</v>
      </c>
      <c r="D571" t="s">
        <v>2808</v>
      </c>
      <c r="G571" t="str">
        <f>CONCATENATE(Master_Packing_Database[[#This Row],[Exp '#]],Master_Packing_Database[[#This Row],[Batch '#]])</f>
        <v/>
      </c>
      <c r="I571" t="s">
        <v>2780</v>
      </c>
      <c r="J571" t="s">
        <v>1371</v>
      </c>
      <c r="AI571" t="s">
        <v>2748</v>
      </c>
      <c r="AN571">
        <v>0</v>
      </c>
      <c r="AO571" t="s">
        <v>1834</v>
      </c>
      <c r="AP571" t="s">
        <v>1834</v>
      </c>
      <c r="AQ571">
        <v>0</v>
      </c>
      <c r="AR571" t="s">
        <v>1835</v>
      </c>
    </row>
    <row r="572" spans="1:44" x14ac:dyDescent="0.25">
      <c r="A572" t="s">
        <v>1828</v>
      </c>
      <c r="B572" t="s">
        <v>2746</v>
      </c>
      <c r="D572" t="s">
        <v>2808</v>
      </c>
      <c r="G572" t="str">
        <f>CONCATENATE(Master_Packing_Database[[#This Row],[Exp '#]],Master_Packing_Database[[#This Row],[Batch '#]])</f>
        <v/>
      </c>
      <c r="I572" t="s">
        <v>2781</v>
      </c>
      <c r="J572" t="s">
        <v>1371</v>
      </c>
      <c r="AI572" t="s">
        <v>2748</v>
      </c>
      <c r="AN572">
        <v>0</v>
      </c>
      <c r="AO572" t="s">
        <v>1834</v>
      </c>
      <c r="AP572" t="s">
        <v>1834</v>
      </c>
      <c r="AQ572">
        <v>0</v>
      </c>
      <c r="AR572" t="s">
        <v>1835</v>
      </c>
    </row>
    <row r="573" spans="1:44" x14ac:dyDescent="0.25">
      <c r="A573" t="s">
        <v>1828</v>
      </c>
      <c r="B573" t="s">
        <v>2746</v>
      </c>
      <c r="D573" t="s">
        <v>2849</v>
      </c>
      <c r="G573" t="str">
        <f>CONCATENATE(Master_Packing_Database[[#This Row],[Exp '#]],Master_Packing_Database[[#This Row],[Batch '#]])</f>
        <v/>
      </c>
      <c r="I573" t="s">
        <v>2850</v>
      </c>
      <c r="J573" t="s">
        <v>1371</v>
      </c>
      <c r="AI573" t="s">
        <v>2748</v>
      </c>
      <c r="AN573">
        <v>0</v>
      </c>
      <c r="AO573" t="s">
        <v>1834</v>
      </c>
      <c r="AP573" t="s">
        <v>1834</v>
      </c>
      <c r="AQ573">
        <v>0</v>
      </c>
      <c r="AR573" t="s">
        <v>1835</v>
      </c>
    </row>
    <row r="574" spans="1:44" x14ac:dyDescent="0.25">
      <c r="A574" t="s">
        <v>1828</v>
      </c>
      <c r="B574" t="s">
        <v>2746</v>
      </c>
      <c r="D574" t="s">
        <v>2849</v>
      </c>
      <c r="G574" t="str">
        <f>CONCATENATE(Master_Packing_Database[[#This Row],[Exp '#]],Master_Packing_Database[[#This Row],[Batch '#]])</f>
        <v/>
      </c>
      <c r="I574" t="s">
        <v>2851</v>
      </c>
      <c r="J574" t="s">
        <v>366</v>
      </c>
      <c r="AI574" t="s">
        <v>2748</v>
      </c>
      <c r="AN574">
        <v>0</v>
      </c>
      <c r="AO574" t="s">
        <v>1834</v>
      </c>
      <c r="AP574" t="s">
        <v>1834</v>
      </c>
      <c r="AQ574">
        <v>0</v>
      </c>
      <c r="AR574" t="s">
        <v>1835</v>
      </c>
    </row>
    <row r="575" spans="1:44" x14ac:dyDescent="0.25">
      <c r="A575" t="s">
        <v>1828</v>
      </c>
      <c r="B575" t="s">
        <v>2746</v>
      </c>
      <c r="D575" t="s">
        <v>2812</v>
      </c>
      <c r="G575" t="str">
        <f>CONCATENATE(Master_Packing_Database[[#This Row],[Exp '#]],Master_Packing_Database[[#This Row],[Batch '#]])</f>
        <v/>
      </c>
      <c r="I575" t="s">
        <v>2852</v>
      </c>
      <c r="J575" t="s">
        <v>117</v>
      </c>
      <c r="AI575" t="s">
        <v>2823</v>
      </c>
      <c r="AN575">
        <v>0</v>
      </c>
      <c r="AO575" t="s">
        <v>1834</v>
      </c>
      <c r="AP575" t="s">
        <v>1834</v>
      </c>
      <c r="AQ575">
        <v>0</v>
      </c>
      <c r="AR575" t="s">
        <v>1835</v>
      </c>
    </row>
    <row r="576" spans="1:44" x14ac:dyDescent="0.25">
      <c r="A576" t="s">
        <v>1828</v>
      </c>
      <c r="B576" t="s">
        <v>2746</v>
      </c>
      <c r="D576" t="s">
        <v>2853</v>
      </c>
      <c r="G576" t="str">
        <f>CONCATENATE(Master_Packing_Database[[#This Row],[Exp '#]],Master_Packing_Database[[#This Row],[Batch '#]])</f>
        <v/>
      </c>
      <c r="I576" t="s">
        <v>2854</v>
      </c>
      <c r="J576" t="s">
        <v>117</v>
      </c>
      <c r="AI576" t="s">
        <v>2823</v>
      </c>
      <c r="AN576">
        <v>0</v>
      </c>
      <c r="AO576" t="s">
        <v>1834</v>
      </c>
      <c r="AP576" t="s">
        <v>1834</v>
      </c>
      <c r="AQ576">
        <v>0</v>
      </c>
      <c r="AR576" t="s">
        <v>1835</v>
      </c>
    </row>
    <row r="577" spans="1:44" x14ac:dyDescent="0.25">
      <c r="A577" t="s">
        <v>1828</v>
      </c>
      <c r="B577" t="s">
        <v>2746</v>
      </c>
      <c r="D577" t="s">
        <v>2849</v>
      </c>
      <c r="G577" t="str">
        <f>CONCATENATE(Master_Packing_Database[[#This Row],[Exp '#]],Master_Packing_Database[[#This Row],[Batch '#]])</f>
        <v/>
      </c>
      <c r="I577" t="s">
        <v>2855</v>
      </c>
      <c r="J577" t="s">
        <v>366</v>
      </c>
      <c r="AI577" t="s">
        <v>2823</v>
      </c>
      <c r="AN577">
        <v>0</v>
      </c>
      <c r="AO577" t="s">
        <v>1834</v>
      </c>
      <c r="AP577" t="s">
        <v>1834</v>
      </c>
      <c r="AQ577">
        <v>0</v>
      </c>
      <c r="AR577" t="s">
        <v>1835</v>
      </c>
    </row>
    <row r="578" spans="1:44" x14ac:dyDescent="0.25">
      <c r="A578" t="s">
        <v>1828</v>
      </c>
      <c r="B578" t="s">
        <v>2746</v>
      </c>
      <c r="D578" t="s">
        <v>2808</v>
      </c>
      <c r="G578" t="str">
        <f>CONCATENATE(Master_Packing_Database[[#This Row],[Exp '#]],Master_Packing_Database[[#This Row],[Batch '#]])</f>
        <v/>
      </c>
      <c r="I578" t="s">
        <v>2848</v>
      </c>
      <c r="J578" t="s">
        <v>117</v>
      </c>
      <c r="AI578" t="s">
        <v>2748</v>
      </c>
      <c r="AN578">
        <v>0</v>
      </c>
      <c r="AO578" t="s">
        <v>1834</v>
      </c>
      <c r="AP578" t="s">
        <v>1834</v>
      </c>
      <c r="AQ578">
        <v>0</v>
      </c>
      <c r="AR578" t="s">
        <v>1835</v>
      </c>
    </row>
    <row r="579" spans="1:44" x14ac:dyDescent="0.25">
      <c r="A579" t="s">
        <v>1828</v>
      </c>
      <c r="B579" t="s">
        <v>2746</v>
      </c>
      <c r="D579" t="s">
        <v>2853</v>
      </c>
      <c r="G579" t="str">
        <f>CONCATENATE(Master_Packing_Database[[#This Row],[Exp '#]],Master_Packing_Database[[#This Row],[Batch '#]])</f>
        <v/>
      </c>
      <c r="I579" t="s">
        <v>2856</v>
      </c>
      <c r="J579" t="s">
        <v>117</v>
      </c>
      <c r="AI579" t="s">
        <v>2823</v>
      </c>
      <c r="AN579">
        <v>0</v>
      </c>
      <c r="AO579" t="s">
        <v>1834</v>
      </c>
      <c r="AP579" t="s">
        <v>1834</v>
      </c>
      <c r="AQ579">
        <v>0</v>
      </c>
      <c r="AR579" t="s">
        <v>1835</v>
      </c>
    </row>
    <row r="580" spans="1:44" x14ac:dyDescent="0.25">
      <c r="A580" t="s">
        <v>1828</v>
      </c>
      <c r="B580" t="s">
        <v>2746</v>
      </c>
      <c r="D580" t="s">
        <v>2770</v>
      </c>
      <c r="G580" t="str">
        <f>CONCATENATE(Master_Packing_Database[[#This Row],[Exp '#]],Master_Packing_Database[[#This Row],[Batch '#]])</f>
        <v/>
      </c>
      <c r="I580" t="s">
        <v>2806</v>
      </c>
      <c r="J580" t="s">
        <v>366</v>
      </c>
      <c r="AI580" t="s">
        <v>2823</v>
      </c>
      <c r="AN580">
        <v>0</v>
      </c>
      <c r="AO580" t="s">
        <v>1834</v>
      </c>
      <c r="AP580" t="s">
        <v>1834</v>
      </c>
      <c r="AQ580">
        <v>0</v>
      </c>
      <c r="AR580" t="s">
        <v>1835</v>
      </c>
    </row>
    <row r="581" spans="1:44" x14ac:dyDescent="0.25">
      <c r="A581" t="s">
        <v>1828</v>
      </c>
      <c r="B581" t="s">
        <v>2746</v>
      </c>
      <c r="D581" t="s">
        <v>2770</v>
      </c>
      <c r="G581" t="str">
        <f>CONCATENATE(Master_Packing_Database[[#This Row],[Exp '#]],Master_Packing_Database[[#This Row],[Batch '#]])</f>
        <v/>
      </c>
      <c r="I581" t="s">
        <v>2857</v>
      </c>
      <c r="J581" t="s">
        <v>366</v>
      </c>
      <c r="AI581" t="s">
        <v>2823</v>
      </c>
      <c r="AN581">
        <v>0</v>
      </c>
      <c r="AO581" t="s">
        <v>1834</v>
      </c>
      <c r="AP581" t="s">
        <v>1834</v>
      </c>
      <c r="AQ581">
        <v>0</v>
      </c>
      <c r="AR581" t="s">
        <v>1835</v>
      </c>
    </row>
    <row r="582" spans="1:44" x14ac:dyDescent="0.25">
      <c r="A582" t="s">
        <v>1828</v>
      </c>
      <c r="B582" t="s">
        <v>2746</v>
      </c>
      <c r="D582" t="s">
        <v>2770</v>
      </c>
      <c r="G582" t="str">
        <f>CONCATENATE(Master_Packing_Database[[#This Row],[Exp '#]],Master_Packing_Database[[#This Row],[Batch '#]])</f>
        <v/>
      </c>
      <c r="I582" t="s">
        <v>2858</v>
      </c>
      <c r="J582" t="s">
        <v>366</v>
      </c>
      <c r="AI582" t="s">
        <v>2823</v>
      </c>
      <c r="AN582">
        <v>0</v>
      </c>
      <c r="AO582" t="s">
        <v>1834</v>
      </c>
      <c r="AP582" t="s">
        <v>1834</v>
      </c>
      <c r="AQ582">
        <v>0</v>
      </c>
      <c r="AR582" t="s">
        <v>1835</v>
      </c>
    </row>
    <row r="583" spans="1:44" x14ac:dyDescent="0.25">
      <c r="A583" t="s">
        <v>1828</v>
      </c>
      <c r="B583" t="s">
        <v>2746</v>
      </c>
      <c r="D583" t="s">
        <v>2752</v>
      </c>
      <c r="G583" t="str">
        <f>CONCATENATE(Master_Packing_Database[[#This Row],[Exp '#]],Master_Packing_Database[[#This Row],[Batch '#]])</f>
        <v/>
      </c>
      <c r="I583" t="s">
        <v>2859</v>
      </c>
      <c r="J583" t="s">
        <v>1371</v>
      </c>
      <c r="AI583" t="s">
        <v>2823</v>
      </c>
      <c r="AN583">
        <v>0</v>
      </c>
      <c r="AO583" t="s">
        <v>1834</v>
      </c>
      <c r="AP583" t="s">
        <v>1834</v>
      </c>
      <c r="AQ583">
        <v>0</v>
      </c>
      <c r="AR583" t="s">
        <v>1835</v>
      </c>
    </row>
    <row r="584" spans="1:44" x14ac:dyDescent="0.25">
      <c r="A584" t="s">
        <v>1828</v>
      </c>
      <c r="B584" t="s">
        <v>2746</v>
      </c>
      <c r="D584" t="s">
        <v>2752</v>
      </c>
      <c r="G584" t="str">
        <f>CONCATENATE(Master_Packing_Database[[#This Row],[Exp '#]],Master_Packing_Database[[#This Row],[Batch '#]])</f>
        <v/>
      </c>
      <c r="I584" t="s">
        <v>2860</v>
      </c>
      <c r="J584" t="s">
        <v>117</v>
      </c>
      <c r="AI584" t="s">
        <v>2823</v>
      </c>
      <c r="AN584">
        <v>0</v>
      </c>
      <c r="AO584" t="s">
        <v>1834</v>
      </c>
      <c r="AP584" t="s">
        <v>1834</v>
      </c>
      <c r="AQ584">
        <v>0</v>
      </c>
      <c r="AR584" t="s">
        <v>1835</v>
      </c>
    </row>
    <row r="585" spans="1:44" x14ac:dyDescent="0.25">
      <c r="A585" t="s">
        <v>1828</v>
      </c>
      <c r="B585" t="s">
        <v>2746</v>
      </c>
      <c r="D585" t="s">
        <v>2752</v>
      </c>
      <c r="G585" t="str">
        <f>CONCATENATE(Master_Packing_Database[[#This Row],[Exp '#]],Master_Packing_Database[[#This Row],[Batch '#]])</f>
        <v/>
      </c>
      <c r="I585" t="s">
        <v>2860</v>
      </c>
      <c r="J585" t="s">
        <v>117</v>
      </c>
      <c r="AI585" t="s">
        <v>2823</v>
      </c>
      <c r="AN585">
        <v>0</v>
      </c>
      <c r="AO585" t="s">
        <v>1834</v>
      </c>
      <c r="AP585" t="s">
        <v>1834</v>
      </c>
      <c r="AQ585">
        <v>0</v>
      </c>
      <c r="AR585" t="s">
        <v>1835</v>
      </c>
    </row>
    <row r="586" spans="1:44" x14ac:dyDescent="0.25">
      <c r="A586" t="s">
        <v>1828</v>
      </c>
      <c r="B586" t="s">
        <v>2746</v>
      </c>
      <c r="D586" t="s">
        <v>2752</v>
      </c>
      <c r="G586" t="str">
        <f>CONCATENATE(Master_Packing_Database[[#This Row],[Exp '#]],Master_Packing_Database[[#This Row],[Batch '#]])</f>
        <v/>
      </c>
      <c r="I586" t="s">
        <v>2861</v>
      </c>
      <c r="J586" t="s">
        <v>1371</v>
      </c>
      <c r="AI586" t="s">
        <v>2823</v>
      </c>
      <c r="AN586">
        <v>0</v>
      </c>
      <c r="AO586" t="s">
        <v>1834</v>
      </c>
      <c r="AP586" t="s">
        <v>1834</v>
      </c>
      <c r="AQ586">
        <v>0</v>
      </c>
      <c r="AR586" t="s">
        <v>1835</v>
      </c>
    </row>
    <row r="587" spans="1:44" x14ac:dyDescent="0.25">
      <c r="A587" t="s">
        <v>1828</v>
      </c>
      <c r="B587" t="s">
        <v>2746</v>
      </c>
      <c r="D587" t="s">
        <v>2752</v>
      </c>
      <c r="G587" t="str">
        <f>CONCATENATE(Master_Packing_Database[[#This Row],[Exp '#]],Master_Packing_Database[[#This Row],[Batch '#]])</f>
        <v/>
      </c>
      <c r="I587" t="s">
        <v>2862</v>
      </c>
      <c r="J587" t="s">
        <v>1371</v>
      </c>
      <c r="AI587" t="s">
        <v>2823</v>
      </c>
      <c r="AN587">
        <v>0</v>
      </c>
      <c r="AO587" t="s">
        <v>1834</v>
      </c>
      <c r="AP587" t="s">
        <v>1834</v>
      </c>
      <c r="AQ587">
        <v>0</v>
      </c>
      <c r="AR587" t="s">
        <v>1835</v>
      </c>
    </row>
    <row r="588" spans="1:44" x14ac:dyDescent="0.25">
      <c r="A588" t="s">
        <v>1828</v>
      </c>
      <c r="B588" t="s">
        <v>2746</v>
      </c>
      <c r="D588" t="s">
        <v>2849</v>
      </c>
      <c r="G588" t="str">
        <f>CONCATENATE(Master_Packing_Database[[#This Row],[Exp '#]],Master_Packing_Database[[#This Row],[Batch '#]])</f>
        <v/>
      </c>
      <c r="I588" t="s">
        <v>2863</v>
      </c>
      <c r="J588" t="s">
        <v>1371</v>
      </c>
      <c r="AI588" t="s">
        <v>2748</v>
      </c>
      <c r="AN588">
        <v>0</v>
      </c>
      <c r="AO588" t="s">
        <v>1834</v>
      </c>
      <c r="AP588" t="s">
        <v>1834</v>
      </c>
      <c r="AQ588">
        <v>0</v>
      </c>
      <c r="AR588" t="s">
        <v>1835</v>
      </c>
    </row>
    <row r="589" spans="1:44" x14ac:dyDescent="0.25">
      <c r="A589" t="s">
        <v>1828</v>
      </c>
      <c r="B589" t="s">
        <v>2746</v>
      </c>
      <c r="D589" t="s">
        <v>2864</v>
      </c>
      <c r="G589" t="str">
        <f>CONCATENATE(Master_Packing_Database[[#This Row],[Exp '#]],Master_Packing_Database[[#This Row],[Batch '#]])</f>
        <v/>
      </c>
      <c r="I589" t="s">
        <v>2865</v>
      </c>
      <c r="J589" t="s">
        <v>366</v>
      </c>
      <c r="AI589" t="s">
        <v>2748</v>
      </c>
      <c r="AN589">
        <v>0</v>
      </c>
      <c r="AO589" t="s">
        <v>1834</v>
      </c>
      <c r="AP589" t="s">
        <v>1834</v>
      </c>
      <c r="AQ589">
        <v>0</v>
      </c>
      <c r="AR589" t="s">
        <v>1835</v>
      </c>
    </row>
    <row r="590" spans="1:44" x14ac:dyDescent="0.25">
      <c r="A590" t="s">
        <v>1828</v>
      </c>
      <c r="B590" t="s">
        <v>2746</v>
      </c>
      <c r="D590" t="s">
        <v>2866</v>
      </c>
      <c r="G590" t="str">
        <f>CONCATENATE(Master_Packing_Database[[#This Row],[Exp '#]],Master_Packing_Database[[#This Row],[Batch '#]])</f>
        <v/>
      </c>
      <c r="I590" t="s">
        <v>1227</v>
      </c>
      <c r="J590" t="s">
        <v>117</v>
      </c>
      <c r="AI590" t="s">
        <v>2748</v>
      </c>
      <c r="AN590">
        <v>0</v>
      </c>
      <c r="AO590" t="s">
        <v>1834</v>
      </c>
      <c r="AP590" t="s">
        <v>1834</v>
      </c>
      <c r="AQ590">
        <v>0</v>
      </c>
      <c r="AR590" t="s">
        <v>1835</v>
      </c>
    </row>
    <row r="591" spans="1:44" x14ac:dyDescent="0.25">
      <c r="A591" t="s">
        <v>1828</v>
      </c>
      <c r="B591" t="s">
        <v>2746</v>
      </c>
      <c r="D591" t="s">
        <v>2798</v>
      </c>
      <c r="G591" t="str">
        <f>CONCATENATE(Master_Packing_Database[[#This Row],[Exp '#]],Master_Packing_Database[[#This Row],[Batch '#]])</f>
        <v/>
      </c>
      <c r="I591" t="s">
        <v>2741</v>
      </c>
      <c r="J591" t="s">
        <v>366</v>
      </c>
      <c r="AI591" t="s">
        <v>2748</v>
      </c>
      <c r="AN591">
        <v>0</v>
      </c>
      <c r="AO591" t="s">
        <v>1834</v>
      </c>
      <c r="AP591" t="s">
        <v>1834</v>
      </c>
      <c r="AQ591">
        <v>0</v>
      </c>
      <c r="AR591" t="s">
        <v>1835</v>
      </c>
    </row>
    <row r="592" spans="1:44" x14ac:dyDescent="0.25">
      <c r="A592" t="s">
        <v>1828</v>
      </c>
      <c r="B592" t="s">
        <v>2746</v>
      </c>
      <c r="D592" t="s">
        <v>2812</v>
      </c>
      <c r="G592" t="str">
        <f>CONCATENATE(Master_Packing_Database[[#This Row],[Exp '#]],Master_Packing_Database[[#This Row],[Batch '#]])</f>
        <v/>
      </c>
      <c r="I592" t="s">
        <v>2862</v>
      </c>
      <c r="J592" t="s">
        <v>1371</v>
      </c>
      <c r="AI592" t="s">
        <v>2748</v>
      </c>
      <c r="AN592">
        <v>0</v>
      </c>
      <c r="AO592" t="s">
        <v>1834</v>
      </c>
      <c r="AP592" t="s">
        <v>1834</v>
      </c>
      <c r="AQ592">
        <v>0</v>
      </c>
      <c r="AR592" t="s">
        <v>1835</v>
      </c>
    </row>
    <row r="593" spans="1:44" x14ac:dyDescent="0.25">
      <c r="A593" t="s">
        <v>1828</v>
      </c>
      <c r="B593" t="s">
        <v>2746</v>
      </c>
      <c r="D593" t="s">
        <v>2812</v>
      </c>
      <c r="G593" t="str">
        <f>CONCATENATE(Master_Packing_Database[[#This Row],[Exp '#]],Master_Packing_Database[[#This Row],[Batch '#]])</f>
        <v/>
      </c>
      <c r="I593" t="s">
        <v>2867</v>
      </c>
      <c r="J593" t="s">
        <v>1371</v>
      </c>
      <c r="AI593" t="s">
        <v>2748</v>
      </c>
      <c r="AN593">
        <v>0</v>
      </c>
      <c r="AO593" t="s">
        <v>1834</v>
      </c>
      <c r="AP593" t="s">
        <v>1834</v>
      </c>
      <c r="AQ593">
        <v>0</v>
      </c>
      <c r="AR593" t="s">
        <v>1835</v>
      </c>
    </row>
    <row r="594" spans="1:44" x14ac:dyDescent="0.25">
      <c r="A594" t="s">
        <v>1828</v>
      </c>
      <c r="B594" t="s">
        <v>2746</v>
      </c>
      <c r="D594" t="s">
        <v>2868</v>
      </c>
      <c r="G594" t="str">
        <f>CONCATENATE(Master_Packing_Database[[#This Row],[Exp '#]],Master_Packing_Database[[#This Row],[Batch '#]])</f>
        <v/>
      </c>
      <c r="I594" t="s">
        <v>2824</v>
      </c>
      <c r="J594" t="s">
        <v>117</v>
      </c>
      <c r="AI594" t="s">
        <v>2748</v>
      </c>
      <c r="AN594">
        <v>0</v>
      </c>
      <c r="AO594" t="s">
        <v>1834</v>
      </c>
      <c r="AP594" t="s">
        <v>1834</v>
      </c>
      <c r="AQ594">
        <v>0</v>
      </c>
      <c r="AR594" t="s">
        <v>1835</v>
      </c>
    </row>
    <row r="595" spans="1:44" x14ac:dyDescent="0.25">
      <c r="A595" t="s">
        <v>1828</v>
      </c>
      <c r="B595" t="s">
        <v>2746</v>
      </c>
      <c r="D595" t="s">
        <v>2770</v>
      </c>
      <c r="G595" t="str">
        <f>CONCATENATE(Master_Packing_Database[[#This Row],[Exp '#]],Master_Packing_Database[[#This Row],[Batch '#]])</f>
        <v/>
      </c>
      <c r="I595" t="s">
        <v>1227</v>
      </c>
      <c r="J595" t="s">
        <v>366</v>
      </c>
      <c r="AI595" t="s">
        <v>2748</v>
      </c>
      <c r="AN595">
        <v>0</v>
      </c>
      <c r="AO595" t="s">
        <v>1834</v>
      </c>
      <c r="AP595" t="s">
        <v>1834</v>
      </c>
      <c r="AQ595">
        <v>0</v>
      </c>
      <c r="AR595" t="s">
        <v>1835</v>
      </c>
    </row>
    <row r="596" spans="1:44" x14ac:dyDescent="0.25">
      <c r="A596" t="s">
        <v>1828</v>
      </c>
      <c r="B596" t="s">
        <v>2746</v>
      </c>
      <c r="D596" t="s">
        <v>2763</v>
      </c>
      <c r="G596" t="str">
        <f>CONCATENATE(Master_Packing_Database[[#This Row],[Exp '#]],Master_Packing_Database[[#This Row],[Batch '#]])</f>
        <v/>
      </c>
      <c r="I596" t="s">
        <v>2869</v>
      </c>
      <c r="J596" t="s">
        <v>1371</v>
      </c>
      <c r="AI596" t="s">
        <v>2823</v>
      </c>
      <c r="AN596">
        <v>0</v>
      </c>
      <c r="AO596" t="s">
        <v>1834</v>
      </c>
      <c r="AP596" t="s">
        <v>1834</v>
      </c>
      <c r="AQ596">
        <v>0</v>
      </c>
      <c r="AR596" t="s">
        <v>1835</v>
      </c>
    </row>
    <row r="597" spans="1:44" x14ac:dyDescent="0.25">
      <c r="A597" t="s">
        <v>1828</v>
      </c>
      <c r="B597" t="s">
        <v>2746</v>
      </c>
      <c r="D597" t="s">
        <v>2763</v>
      </c>
      <c r="G597" t="str">
        <f>CONCATENATE(Master_Packing_Database[[#This Row],[Exp '#]],Master_Packing_Database[[#This Row],[Batch '#]])</f>
        <v/>
      </c>
      <c r="I597" t="s">
        <v>2869</v>
      </c>
      <c r="J597" t="s">
        <v>1371</v>
      </c>
      <c r="AI597" t="s">
        <v>2823</v>
      </c>
      <c r="AN597">
        <v>0</v>
      </c>
      <c r="AO597" t="s">
        <v>1834</v>
      </c>
      <c r="AP597" t="s">
        <v>1834</v>
      </c>
      <c r="AQ597">
        <v>0</v>
      </c>
      <c r="AR597" t="s">
        <v>1835</v>
      </c>
    </row>
    <row r="598" spans="1:44" x14ac:dyDescent="0.25">
      <c r="A598" t="s">
        <v>1828</v>
      </c>
      <c r="B598" t="s">
        <v>2746</v>
      </c>
      <c r="D598" t="s">
        <v>2763</v>
      </c>
      <c r="G598" t="str">
        <f>CONCATENATE(Master_Packing_Database[[#This Row],[Exp '#]],Master_Packing_Database[[#This Row],[Batch '#]])</f>
        <v/>
      </c>
      <c r="I598" t="s">
        <v>2870</v>
      </c>
      <c r="J598" t="s">
        <v>1371</v>
      </c>
      <c r="AI598" t="s">
        <v>2823</v>
      </c>
      <c r="AN598">
        <v>0</v>
      </c>
      <c r="AO598" t="s">
        <v>1834</v>
      </c>
      <c r="AP598" t="s">
        <v>1834</v>
      </c>
      <c r="AQ598">
        <v>0</v>
      </c>
      <c r="AR598" t="s">
        <v>1835</v>
      </c>
    </row>
    <row r="599" spans="1:44" x14ac:dyDescent="0.25">
      <c r="A599" t="s">
        <v>1828</v>
      </c>
      <c r="B599" t="s">
        <v>2746</v>
      </c>
      <c r="D599" t="s">
        <v>2871</v>
      </c>
      <c r="G599" t="str">
        <f>CONCATENATE(Master_Packing_Database[[#This Row],[Exp '#]],Master_Packing_Database[[#This Row],[Batch '#]])</f>
        <v/>
      </c>
      <c r="I599" t="s">
        <v>2872</v>
      </c>
      <c r="J599" t="s">
        <v>366</v>
      </c>
      <c r="AI599" t="s">
        <v>2748</v>
      </c>
      <c r="AN599">
        <v>0</v>
      </c>
      <c r="AO599" t="s">
        <v>1834</v>
      </c>
      <c r="AP599" t="s">
        <v>1834</v>
      </c>
      <c r="AQ599">
        <v>0</v>
      </c>
      <c r="AR599" t="s">
        <v>1835</v>
      </c>
    </row>
    <row r="600" spans="1:44" x14ac:dyDescent="0.25">
      <c r="A600" t="s">
        <v>1828</v>
      </c>
      <c r="B600" t="s">
        <v>2746</v>
      </c>
      <c r="D600" t="s">
        <v>2871</v>
      </c>
      <c r="G600" t="str">
        <f>CONCATENATE(Master_Packing_Database[[#This Row],[Exp '#]],Master_Packing_Database[[#This Row],[Batch '#]])</f>
        <v/>
      </c>
      <c r="I600" t="s">
        <v>2873</v>
      </c>
      <c r="J600" t="s">
        <v>366</v>
      </c>
      <c r="AI600" t="s">
        <v>2748</v>
      </c>
      <c r="AN600">
        <v>0</v>
      </c>
      <c r="AO600" t="s">
        <v>1834</v>
      </c>
      <c r="AP600" t="s">
        <v>1834</v>
      </c>
      <c r="AQ600">
        <v>0</v>
      </c>
      <c r="AR600" t="s">
        <v>1835</v>
      </c>
    </row>
    <row r="601" spans="1:44" x14ac:dyDescent="0.25">
      <c r="A601" t="s">
        <v>1828</v>
      </c>
      <c r="B601" t="s">
        <v>2746</v>
      </c>
      <c r="D601" t="s">
        <v>2782</v>
      </c>
      <c r="G601" t="str">
        <f>CONCATENATE(Master_Packing_Database[[#This Row],[Exp '#]],Master_Packing_Database[[#This Row],[Batch '#]])</f>
        <v/>
      </c>
      <c r="I601" t="s">
        <v>1227</v>
      </c>
      <c r="J601" t="s">
        <v>366</v>
      </c>
      <c r="AI601" t="s">
        <v>2748</v>
      </c>
      <c r="AN601">
        <v>0</v>
      </c>
      <c r="AO601" t="s">
        <v>1834</v>
      </c>
      <c r="AP601" t="s">
        <v>1834</v>
      </c>
      <c r="AQ601">
        <v>0</v>
      </c>
      <c r="AR601" t="s">
        <v>1835</v>
      </c>
    </row>
    <row r="602" spans="1:44" x14ac:dyDescent="0.25">
      <c r="A602" t="s">
        <v>1828</v>
      </c>
      <c r="B602" t="s">
        <v>2746</v>
      </c>
      <c r="D602" t="s">
        <v>2808</v>
      </c>
      <c r="G602" t="str">
        <f>CONCATENATE(Master_Packing_Database[[#This Row],[Exp '#]],Master_Packing_Database[[#This Row],[Batch '#]])</f>
        <v/>
      </c>
      <c r="I602" t="s">
        <v>2874</v>
      </c>
      <c r="J602" t="s">
        <v>366</v>
      </c>
      <c r="AI602" t="s">
        <v>2748</v>
      </c>
      <c r="AN602">
        <v>0</v>
      </c>
      <c r="AO602" t="s">
        <v>1834</v>
      </c>
      <c r="AP602" t="s">
        <v>1834</v>
      </c>
      <c r="AQ602">
        <v>0</v>
      </c>
      <c r="AR602" t="s">
        <v>1835</v>
      </c>
    </row>
    <row r="603" spans="1:44" x14ac:dyDescent="0.25">
      <c r="A603" t="s">
        <v>1828</v>
      </c>
      <c r="B603" t="s">
        <v>2746</v>
      </c>
      <c r="D603" t="s">
        <v>2808</v>
      </c>
      <c r="G603" t="str">
        <f>CONCATENATE(Master_Packing_Database[[#This Row],[Exp '#]],Master_Packing_Database[[#This Row],[Batch '#]])</f>
        <v/>
      </c>
      <c r="I603" t="s">
        <v>2875</v>
      </c>
      <c r="J603" t="s">
        <v>366</v>
      </c>
      <c r="AI603" t="s">
        <v>2748</v>
      </c>
      <c r="AN603">
        <v>0</v>
      </c>
      <c r="AO603" t="s">
        <v>1834</v>
      </c>
      <c r="AP603" t="s">
        <v>1834</v>
      </c>
      <c r="AQ603">
        <v>0</v>
      </c>
      <c r="AR603" t="s">
        <v>1835</v>
      </c>
    </row>
    <row r="604" spans="1:44" x14ac:dyDescent="0.25">
      <c r="A604" t="s">
        <v>1828</v>
      </c>
      <c r="B604" t="s">
        <v>2746</v>
      </c>
      <c r="D604" t="s">
        <v>2785</v>
      </c>
      <c r="G604" t="str">
        <f>CONCATENATE(Master_Packing_Database[[#This Row],[Exp '#]],Master_Packing_Database[[#This Row],[Batch '#]])</f>
        <v/>
      </c>
      <c r="I604" t="s">
        <v>2876</v>
      </c>
      <c r="J604" t="s">
        <v>117</v>
      </c>
      <c r="AI604" t="s">
        <v>2748</v>
      </c>
      <c r="AN604">
        <v>0</v>
      </c>
      <c r="AO604" t="s">
        <v>1834</v>
      </c>
      <c r="AP604" t="s">
        <v>1834</v>
      </c>
      <c r="AQ604">
        <v>0</v>
      </c>
      <c r="AR604" t="s">
        <v>1835</v>
      </c>
    </row>
    <row r="605" spans="1:44" x14ac:dyDescent="0.25">
      <c r="A605" t="s">
        <v>1828</v>
      </c>
      <c r="B605" t="s">
        <v>2746</v>
      </c>
      <c r="D605" t="s">
        <v>2808</v>
      </c>
      <c r="G605" t="str">
        <f>CONCATENATE(Master_Packing_Database[[#This Row],[Exp '#]],Master_Packing_Database[[#This Row],[Batch '#]])</f>
        <v/>
      </c>
      <c r="I605" t="s">
        <v>1227</v>
      </c>
      <c r="J605" t="s">
        <v>366</v>
      </c>
      <c r="AI605" t="s">
        <v>2748</v>
      </c>
      <c r="AN605">
        <v>0</v>
      </c>
      <c r="AO605" t="s">
        <v>1834</v>
      </c>
      <c r="AP605" t="s">
        <v>1834</v>
      </c>
      <c r="AQ605">
        <v>0</v>
      </c>
      <c r="AR605" t="s">
        <v>1835</v>
      </c>
    </row>
    <row r="606" spans="1:44" x14ac:dyDescent="0.25">
      <c r="A606" t="s">
        <v>1828</v>
      </c>
      <c r="B606" t="s">
        <v>2746</v>
      </c>
      <c r="D606" t="s">
        <v>2808</v>
      </c>
      <c r="G606" t="str">
        <f>CONCATENATE(Master_Packing_Database[[#This Row],[Exp '#]],Master_Packing_Database[[#This Row],[Batch '#]])</f>
        <v/>
      </c>
      <c r="I606" t="s">
        <v>1227</v>
      </c>
      <c r="J606" t="s">
        <v>366</v>
      </c>
      <c r="AI606" t="s">
        <v>2748</v>
      </c>
      <c r="AN606">
        <v>0</v>
      </c>
      <c r="AO606" t="s">
        <v>1834</v>
      </c>
      <c r="AP606" t="s">
        <v>1834</v>
      </c>
      <c r="AQ606">
        <v>0</v>
      </c>
      <c r="AR606" t="s">
        <v>1835</v>
      </c>
    </row>
    <row r="607" spans="1:44" x14ac:dyDescent="0.25">
      <c r="A607" t="s">
        <v>1828</v>
      </c>
      <c r="B607" t="s">
        <v>2746</v>
      </c>
      <c r="D607" t="s">
        <v>2849</v>
      </c>
      <c r="G607" t="str">
        <f>CONCATENATE(Master_Packing_Database[[#This Row],[Exp '#]],Master_Packing_Database[[#This Row],[Batch '#]])</f>
        <v/>
      </c>
      <c r="I607" t="s">
        <v>2877</v>
      </c>
      <c r="J607" t="s">
        <v>1371</v>
      </c>
      <c r="AI607" t="s">
        <v>2748</v>
      </c>
      <c r="AN607">
        <v>0</v>
      </c>
      <c r="AO607" t="s">
        <v>1834</v>
      </c>
      <c r="AP607" t="s">
        <v>1834</v>
      </c>
      <c r="AQ607">
        <v>0</v>
      </c>
      <c r="AR607" t="s">
        <v>1835</v>
      </c>
    </row>
    <row r="608" spans="1:44" x14ac:dyDescent="0.25">
      <c r="A608" t="s">
        <v>1828</v>
      </c>
      <c r="B608" t="s">
        <v>2746</v>
      </c>
      <c r="D608" t="s">
        <v>2849</v>
      </c>
      <c r="G608" t="str">
        <f>CONCATENATE(Master_Packing_Database[[#This Row],[Exp '#]],Master_Packing_Database[[#This Row],[Batch '#]])</f>
        <v/>
      </c>
      <c r="I608" t="s">
        <v>2878</v>
      </c>
      <c r="J608" t="s">
        <v>366</v>
      </c>
      <c r="AI608" t="s">
        <v>2748</v>
      </c>
      <c r="AN608">
        <v>0</v>
      </c>
      <c r="AO608" t="s">
        <v>1834</v>
      </c>
      <c r="AP608" t="s">
        <v>1834</v>
      </c>
      <c r="AQ608">
        <v>0</v>
      </c>
      <c r="AR608" t="s">
        <v>1835</v>
      </c>
    </row>
    <row r="609" spans="1:44" x14ac:dyDescent="0.25">
      <c r="A609" t="s">
        <v>1828</v>
      </c>
      <c r="B609" t="s">
        <v>2746</v>
      </c>
      <c r="D609" t="s">
        <v>2849</v>
      </c>
      <c r="G609" t="str">
        <f>CONCATENATE(Master_Packing_Database[[#This Row],[Exp '#]],Master_Packing_Database[[#This Row],[Batch '#]])</f>
        <v/>
      </c>
      <c r="I609" t="s">
        <v>2879</v>
      </c>
      <c r="J609" t="s">
        <v>366</v>
      </c>
      <c r="AI609" t="s">
        <v>2748</v>
      </c>
      <c r="AN609">
        <v>0</v>
      </c>
      <c r="AO609" t="s">
        <v>1834</v>
      </c>
      <c r="AP609" t="s">
        <v>1834</v>
      </c>
      <c r="AQ609">
        <v>0</v>
      </c>
      <c r="AR609" t="s">
        <v>1835</v>
      </c>
    </row>
    <row r="610" spans="1:44" x14ac:dyDescent="0.25">
      <c r="A610" t="s">
        <v>1828</v>
      </c>
      <c r="B610" t="s">
        <v>2746</v>
      </c>
      <c r="D610" t="s">
        <v>2798</v>
      </c>
      <c r="G610" t="str">
        <f>CONCATENATE(Master_Packing_Database[[#This Row],[Exp '#]],Master_Packing_Database[[#This Row],[Batch '#]])</f>
        <v/>
      </c>
      <c r="I610" t="s">
        <v>2880</v>
      </c>
      <c r="J610" t="s">
        <v>1371</v>
      </c>
      <c r="AI610" t="s">
        <v>2748</v>
      </c>
      <c r="AN610">
        <v>0</v>
      </c>
      <c r="AO610" t="s">
        <v>1834</v>
      </c>
      <c r="AP610" t="s">
        <v>1834</v>
      </c>
      <c r="AQ610">
        <v>0</v>
      </c>
      <c r="AR610" t="s">
        <v>1835</v>
      </c>
    </row>
    <row r="611" spans="1:44" x14ac:dyDescent="0.25">
      <c r="A611" t="s">
        <v>1828</v>
      </c>
      <c r="B611" t="s">
        <v>2746</v>
      </c>
      <c r="D611" t="s">
        <v>2798</v>
      </c>
      <c r="G611" t="str">
        <f>CONCATENATE(Master_Packing_Database[[#This Row],[Exp '#]],Master_Packing_Database[[#This Row],[Batch '#]])</f>
        <v/>
      </c>
      <c r="I611" t="s">
        <v>2881</v>
      </c>
      <c r="J611" t="s">
        <v>366</v>
      </c>
      <c r="AI611" t="s">
        <v>2748</v>
      </c>
      <c r="AN611">
        <v>0</v>
      </c>
      <c r="AO611" t="s">
        <v>1834</v>
      </c>
      <c r="AP611" t="s">
        <v>1834</v>
      </c>
      <c r="AQ611">
        <v>0</v>
      </c>
      <c r="AR611" t="s">
        <v>1835</v>
      </c>
    </row>
    <row r="612" spans="1:44" x14ac:dyDescent="0.25">
      <c r="A612" t="s">
        <v>1828</v>
      </c>
      <c r="B612" t="s">
        <v>2746</v>
      </c>
      <c r="D612" t="s">
        <v>2798</v>
      </c>
      <c r="G612" t="str">
        <f>CONCATENATE(Master_Packing_Database[[#This Row],[Exp '#]],Master_Packing_Database[[#This Row],[Batch '#]])</f>
        <v/>
      </c>
      <c r="I612" t="s">
        <v>2882</v>
      </c>
      <c r="J612" t="s">
        <v>366</v>
      </c>
      <c r="AI612" t="s">
        <v>2748</v>
      </c>
      <c r="AN612">
        <v>0</v>
      </c>
      <c r="AO612" t="s">
        <v>1834</v>
      </c>
      <c r="AP612" t="s">
        <v>1834</v>
      </c>
      <c r="AQ612">
        <v>0</v>
      </c>
      <c r="AR612" t="s">
        <v>1835</v>
      </c>
    </row>
    <row r="613" spans="1:44" x14ac:dyDescent="0.25">
      <c r="A613" t="s">
        <v>1828</v>
      </c>
      <c r="B613" t="s">
        <v>2746</v>
      </c>
      <c r="D613" t="s">
        <v>2770</v>
      </c>
      <c r="G613" t="str">
        <f>CONCATENATE(Master_Packing_Database[[#This Row],[Exp '#]],Master_Packing_Database[[#This Row],[Batch '#]])</f>
        <v/>
      </c>
      <c r="I613" t="s">
        <v>2883</v>
      </c>
      <c r="J613" t="s">
        <v>117</v>
      </c>
      <c r="AI613" t="s">
        <v>2823</v>
      </c>
      <c r="AN613">
        <v>0</v>
      </c>
      <c r="AO613" t="s">
        <v>1834</v>
      </c>
      <c r="AP613" t="s">
        <v>1834</v>
      </c>
      <c r="AQ613">
        <v>0</v>
      </c>
      <c r="AR613" t="s">
        <v>1835</v>
      </c>
    </row>
    <row r="614" spans="1:44" x14ac:dyDescent="0.25">
      <c r="A614" t="s">
        <v>1828</v>
      </c>
      <c r="B614" t="s">
        <v>2746</v>
      </c>
      <c r="D614" t="s">
        <v>2796</v>
      </c>
      <c r="G614" t="str">
        <f>CONCATENATE(Master_Packing_Database[[#This Row],[Exp '#]],Master_Packing_Database[[#This Row],[Batch '#]])</f>
        <v/>
      </c>
      <c r="I614" t="s">
        <v>1227</v>
      </c>
      <c r="J614" t="s">
        <v>366</v>
      </c>
      <c r="AI614" t="s">
        <v>2748</v>
      </c>
      <c r="AN614">
        <v>0</v>
      </c>
      <c r="AO614" t="s">
        <v>1834</v>
      </c>
      <c r="AP614" t="s">
        <v>1834</v>
      </c>
      <c r="AQ614">
        <v>0</v>
      </c>
      <c r="AR614" t="s">
        <v>1835</v>
      </c>
    </row>
    <row r="615" spans="1:44" x14ac:dyDescent="0.25">
      <c r="A615" t="s">
        <v>1828</v>
      </c>
      <c r="B615" t="s">
        <v>2746</v>
      </c>
      <c r="D615" t="s">
        <v>2796</v>
      </c>
      <c r="G615" t="str">
        <f>CONCATENATE(Master_Packing_Database[[#This Row],[Exp '#]],Master_Packing_Database[[#This Row],[Batch '#]])</f>
        <v/>
      </c>
      <c r="I615" t="s">
        <v>1227</v>
      </c>
      <c r="J615" t="s">
        <v>366</v>
      </c>
      <c r="AI615" t="s">
        <v>2748</v>
      </c>
      <c r="AN615">
        <v>0</v>
      </c>
      <c r="AO615" t="s">
        <v>1834</v>
      </c>
      <c r="AP615" t="s">
        <v>1834</v>
      </c>
      <c r="AQ615">
        <v>0</v>
      </c>
      <c r="AR615" t="s">
        <v>1835</v>
      </c>
    </row>
    <row r="616" spans="1:44" x14ac:dyDescent="0.25">
      <c r="A616" t="s">
        <v>1828</v>
      </c>
      <c r="B616" t="s">
        <v>2746</v>
      </c>
      <c r="D616" t="s">
        <v>2866</v>
      </c>
      <c r="G616" t="str">
        <f>CONCATENATE(Master_Packing_Database[[#This Row],[Exp '#]],Master_Packing_Database[[#This Row],[Batch '#]])</f>
        <v/>
      </c>
      <c r="I616" t="s">
        <v>2884</v>
      </c>
      <c r="J616" t="s">
        <v>117</v>
      </c>
      <c r="AI616" t="s">
        <v>2748</v>
      </c>
      <c r="AN616">
        <v>0</v>
      </c>
      <c r="AO616" t="s">
        <v>1834</v>
      </c>
      <c r="AP616" t="s">
        <v>1834</v>
      </c>
      <c r="AQ616">
        <v>0</v>
      </c>
      <c r="AR616" t="s">
        <v>1835</v>
      </c>
    </row>
    <row r="617" spans="1:44" x14ac:dyDescent="0.25">
      <c r="A617" t="s">
        <v>1828</v>
      </c>
      <c r="B617" t="s">
        <v>2746</v>
      </c>
      <c r="D617" t="s">
        <v>2866</v>
      </c>
      <c r="G617" t="str">
        <f>CONCATENATE(Master_Packing_Database[[#This Row],[Exp '#]],Master_Packing_Database[[#This Row],[Batch '#]])</f>
        <v/>
      </c>
      <c r="I617" t="s">
        <v>2884</v>
      </c>
      <c r="J617" t="s">
        <v>117</v>
      </c>
      <c r="AI617" t="s">
        <v>2748</v>
      </c>
      <c r="AN617">
        <v>0</v>
      </c>
      <c r="AO617" t="s">
        <v>1834</v>
      </c>
      <c r="AP617" t="s">
        <v>1834</v>
      </c>
      <c r="AQ617">
        <v>0</v>
      </c>
      <c r="AR617" t="s">
        <v>1835</v>
      </c>
    </row>
    <row r="618" spans="1:44" x14ac:dyDescent="0.25">
      <c r="A618" t="s">
        <v>1828</v>
      </c>
      <c r="B618" t="s">
        <v>2746</v>
      </c>
      <c r="D618" t="s">
        <v>2768</v>
      </c>
      <c r="G618" t="str">
        <f>CONCATENATE(Master_Packing_Database[[#This Row],[Exp '#]],Master_Packing_Database[[#This Row],[Batch '#]])</f>
        <v/>
      </c>
      <c r="I618" t="s">
        <v>2885</v>
      </c>
      <c r="J618" t="s">
        <v>117</v>
      </c>
      <c r="AI618" t="s">
        <v>2748</v>
      </c>
      <c r="AN618">
        <v>0</v>
      </c>
      <c r="AO618" t="s">
        <v>1834</v>
      </c>
      <c r="AP618" t="s">
        <v>1834</v>
      </c>
      <c r="AQ618">
        <v>0</v>
      </c>
      <c r="AR618" t="s">
        <v>1835</v>
      </c>
    </row>
    <row r="619" spans="1:44" x14ac:dyDescent="0.25">
      <c r="A619" t="s">
        <v>1828</v>
      </c>
      <c r="B619" t="s">
        <v>2746</v>
      </c>
      <c r="D619" t="s">
        <v>2886</v>
      </c>
      <c r="G619" t="str">
        <f>CONCATENATE(Master_Packing_Database[[#This Row],[Exp '#]],Master_Packing_Database[[#This Row],[Batch '#]])</f>
        <v/>
      </c>
      <c r="I619" t="s">
        <v>1227</v>
      </c>
      <c r="J619" t="s">
        <v>366</v>
      </c>
      <c r="AI619" t="s">
        <v>2748</v>
      </c>
      <c r="AN619">
        <v>0</v>
      </c>
      <c r="AO619" t="s">
        <v>1834</v>
      </c>
      <c r="AP619" t="s">
        <v>1834</v>
      </c>
      <c r="AQ619">
        <v>0</v>
      </c>
      <c r="AR619" t="s">
        <v>1835</v>
      </c>
    </row>
    <row r="620" spans="1:44" x14ac:dyDescent="0.25">
      <c r="A620" t="s">
        <v>1828</v>
      </c>
      <c r="B620" t="s">
        <v>2746</v>
      </c>
      <c r="D620" t="s">
        <v>2770</v>
      </c>
      <c r="G620" t="str">
        <f>CONCATENATE(Master_Packing_Database[[#This Row],[Exp '#]],Master_Packing_Database[[#This Row],[Batch '#]])</f>
        <v/>
      </c>
      <c r="I620" t="s">
        <v>2750</v>
      </c>
      <c r="J620" t="s">
        <v>366</v>
      </c>
      <c r="AI620" t="s">
        <v>2748</v>
      </c>
      <c r="AN620">
        <v>0</v>
      </c>
      <c r="AO620" t="s">
        <v>1834</v>
      </c>
      <c r="AP620" t="s">
        <v>1834</v>
      </c>
      <c r="AQ620">
        <v>0</v>
      </c>
      <c r="AR620" t="s">
        <v>1835</v>
      </c>
    </row>
    <row r="621" spans="1:44" x14ac:dyDescent="0.25">
      <c r="A621" t="s">
        <v>1828</v>
      </c>
      <c r="B621" t="s">
        <v>2746</v>
      </c>
      <c r="D621" t="s">
        <v>2887</v>
      </c>
      <c r="G621" t="str">
        <f>CONCATENATE(Master_Packing_Database[[#This Row],[Exp '#]],Master_Packing_Database[[#This Row],[Batch '#]])</f>
        <v/>
      </c>
      <c r="I621" t="s">
        <v>2888</v>
      </c>
      <c r="J621" t="s">
        <v>366</v>
      </c>
      <c r="AI621" t="s">
        <v>2748</v>
      </c>
      <c r="AN621">
        <v>0</v>
      </c>
      <c r="AO621" t="s">
        <v>1834</v>
      </c>
      <c r="AP621" t="s">
        <v>1834</v>
      </c>
      <c r="AQ621">
        <v>0</v>
      </c>
      <c r="AR621" t="s">
        <v>1835</v>
      </c>
    </row>
    <row r="622" spans="1:44" x14ac:dyDescent="0.25">
      <c r="A622" t="s">
        <v>1828</v>
      </c>
      <c r="B622" t="s">
        <v>2746</v>
      </c>
      <c r="D622" t="s">
        <v>2887</v>
      </c>
      <c r="G622" t="str">
        <f>CONCATENATE(Master_Packing_Database[[#This Row],[Exp '#]],Master_Packing_Database[[#This Row],[Batch '#]])</f>
        <v/>
      </c>
      <c r="I622" t="s">
        <v>2889</v>
      </c>
      <c r="J622" t="s">
        <v>366</v>
      </c>
      <c r="AI622" t="s">
        <v>2748</v>
      </c>
      <c r="AN622">
        <v>0</v>
      </c>
      <c r="AO622" t="s">
        <v>1834</v>
      </c>
      <c r="AP622" t="s">
        <v>1834</v>
      </c>
      <c r="AQ622">
        <v>0</v>
      </c>
      <c r="AR622" t="s">
        <v>1835</v>
      </c>
    </row>
    <row r="623" spans="1:44" x14ac:dyDescent="0.25">
      <c r="A623" t="s">
        <v>1828</v>
      </c>
      <c r="B623" t="s">
        <v>2746</v>
      </c>
      <c r="D623" t="s">
        <v>2887</v>
      </c>
      <c r="G623" t="str">
        <f>CONCATENATE(Master_Packing_Database[[#This Row],[Exp '#]],Master_Packing_Database[[#This Row],[Batch '#]])</f>
        <v/>
      </c>
      <c r="I623" t="s">
        <v>2890</v>
      </c>
      <c r="J623" t="s">
        <v>366</v>
      </c>
      <c r="AI623" t="s">
        <v>2748</v>
      </c>
      <c r="AN623">
        <v>0</v>
      </c>
      <c r="AO623" t="s">
        <v>1834</v>
      </c>
      <c r="AP623" t="s">
        <v>1834</v>
      </c>
      <c r="AQ623">
        <v>0</v>
      </c>
      <c r="AR623" t="s">
        <v>1835</v>
      </c>
    </row>
    <row r="624" spans="1:44" x14ac:dyDescent="0.25">
      <c r="A624" t="s">
        <v>1828</v>
      </c>
      <c r="B624" t="s">
        <v>2746</v>
      </c>
      <c r="D624" t="s">
        <v>2887</v>
      </c>
      <c r="G624" t="str">
        <f>CONCATENATE(Master_Packing_Database[[#This Row],[Exp '#]],Master_Packing_Database[[#This Row],[Batch '#]])</f>
        <v/>
      </c>
      <c r="I624" t="s">
        <v>2891</v>
      </c>
      <c r="J624" t="s">
        <v>366</v>
      </c>
      <c r="AI624" t="s">
        <v>2748</v>
      </c>
      <c r="AN624">
        <v>0</v>
      </c>
      <c r="AO624" t="s">
        <v>1834</v>
      </c>
      <c r="AP624" t="s">
        <v>1834</v>
      </c>
      <c r="AQ624">
        <v>0</v>
      </c>
      <c r="AR624" t="s">
        <v>1835</v>
      </c>
    </row>
    <row r="625" spans="1:44" x14ac:dyDescent="0.25">
      <c r="A625" t="s">
        <v>1828</v>
      </c>
      <c r="B625" t="s">
        <v>2746</v>
      </c>
      <c r="D625" t="s">
        <v>2887</v>
      </c>
      <c r="G625" t="str">
        <f>CONCATENATE(Master_Packing_Database[[#This Row],[Exp '#]],Master_Packing_Database[[#This Row],[Batch '#]])</f>
        <v/>
      </c>
      <c r="I625" t="s">
        <v>2892</v>
      </c>
      <c r="J625" t="s">
        <v>366</v>
      </c>
      <c r="AI625" t="s">
        <v>2748</v>
      </c>
      <c r="AN625">
        <v>0</v>
      </c>
      <c r="AO625" t="s">
        <v>1834</v>
      </c>
      <c r="AP625" t="s">
        <v>1834</v>
      </c>
      <c r="AQ625">
        <v>0</v>
      </c>
      <c r="AR625" t="s">
        <v>1835</v>
      </c>
    </row>
    <row r="626" spans="1:44" x14ac:dyDescent="0.25">
      <c r="A626" t="s">
        <v>1828</v>
      </c>
      <c r="B626" t="s">
        <v>2746</v>
      </c>
      <c r="D626" t="s">
        <v>2887</v>
      </c>
      <c r="G626" t="str">
        <f>CONCATENATE(Master_Packing_Database[[#This Row],[Exp '#]],Master_Packing_Database[[#This Row],[Batch '#]])</f>
        <v/>
      </c>
      <c r="I626" t="s">
        <v>2893</v>
      </c>
      <c r="J626" t="s">
        <v>366</v>
      </c>
      <c r="AI626" t="s">
        <v>2748</v>
      </c>
      <c r="AN626">
        <v>0</v>
      </c>
      <c r="AO626" t="s">
        <v>1834</v>
      </c>
      <c r="AP626" t="s">
        <v>1834</v>
      </c>
      <c r="AQ626">
        <v>0</v>
      </c>
      <c r="AR626" t="s">
        <v>1835</v>
      </c>
    </row>
    <row r="627" spans="1:44" x14ac:dyDescent="0.25">
      <c r="A627" t="s">
        <v>1828</v>
      </c>
      <c r="B627" t="s">
        <v>2746</v>
      </c>
      <c r="D627" t="s">
        <v>2894</v>
      </c>
      <c r="G627" t="str">
        <f>CONCATENATE(Master_Packing_Database[[#This Row],[Exp '#]],Master_Packing_Database[[#This Row],[Batch '#]])</f>
        <v/>
      </c>
      <c r="I627" t="s">
        <v>2895</v>
      </c>
      <c r="J627" t="s">
        <v>117</v>
      </c>
      <c r="AI627" t="s">
        <v>2748</v>
      </c>
      <c r="AN627">
        <v>0</v>
      </c>
      <c r="AO627" t="s">
        <v>1834</v>
      </c>
      <c r="AP627" t="s">
        <v>1834</v>
      </c>
      <c r="AQ627">
        <v>0</v>
      </c>
      <c r="AR627" t="s">
        <v>1835</v>
      </c>
    </row>
    <row r="628" spans="1:44" x14ac:dyDescent="0.25">
      <c r="A628" t="s">
        <v>1828</v>
      </c>
      <c r="B628" t="s">
        <v>2746</v>
      </c>
      <c r="D628" t="s">
        <v>2894</v>
      </c>
      <c r="G628" t="str">
        <f>CONCATENATE(Master_Packing_Database[[#This Row],[Exp '#]],Master_Packing_Database[[#This Row],[Batch '#]])</f>
        <v/>
      </c>
      <c r="I628" t="s">
        <v>2895</v>
      </c>
      <c r="J628" t="s">
        <v>117</v>
      </c>
      <c r="AI628" t="s">
        <v>2748</v>
      </c>
      <c r="AN628">
        <v>0</v>
      </c>
      <c r="AO628" t="s">
        <v>1834</v>
      </c>
      <c r="AP628" t="s">
        <v>1834</v>
      </c>
      <c r="AQ628">
        <v>0</v>
      </c>
      <c r="AR628" t="s">
        <v>1835</v>
      </c>
    </row>
    <row r="629" spans="1:44" x14ac:dyDescent="0.25">
      <c r="A629" t="s">
        <v>1828</v>
      </c>
      <c r="B629" t="s">
        <v>2746</v>
      </c>
      <c r="D629" t="s">
        <v>2894</v>
      </c>
      <c r="G629" t="str">
        <f>CONCATENATE(Master_Packing_Database[[#This Row],[Exp '#]],Master_Packing_Database[[#This Row],[Batch '#]])</f>
        <v/>
      </c>
      <c r="I629" t="s">
        <v>2895</v>
      </c>
      <c r="J629" t="s">
        <v>117</v>
      </c>
      <c r="AI629" t="s">
        <v>2748</v>
      </c>
      <c r="AN629">
        <v>0</v>
      </c>
      <c r="AO629" t="s">
        <v>1834</v>
      </c>
      <c r="AP629" t="s">
        <v>1834</v>
      </c>
      <c r="AQ629">
        <v>0</v>
      </c>
      <c r="AR629" t="s">
        <v>1835</v>
      </c>
    </row>
    <row r="630" spans="1:44" x14ac:dyDescent="0.25">
      <c r="A630" t="s">
        <v>1828</v>
      </c>
      <c r="B630" t="s">
        <v>2746</v>
      </c>
      <c r="D630" t="s">
        <v>2896</v>
      </c>
      <c r="G630" t="str">
        <f>CONCATENATE(Master_Packing_Database[[#This Row],[Exp '#]],Master_Packing_Database[[#This Row],[Batch '#]])</f>
        <v/>
      </c>
      <c r="I630" t="s">
        <v>2897</v>
      </c>
      <c r="J630" t="s">
        <v>117</v>
      </c>
      <c r="AI630" t="s">
        <v>2748</v>
      </c>
      <c r="AN630">
        <v>0</v>
      </c>
      <c r="AO630" t="s">
        <v>1834</v>
      </c>
      <c r="AP630" t="s">
        <v>1834</v>
      </c>
      <c r="AQ630">
        <v>0</v>
      </c>
      <c r="AR630" t="s">
        <v>1835</v>
      </c>
    </row>
    <row r="631" spans="1:44" x14ac:dyDescent="0.25">
      <c r="A631" t="s">
        <v>1828</v>
      </c>
      <c r="B631" t="s">
        <v>2746</v>
      </c>
      <c r="D631" t="s">
        <v>2896</v>
      </c>
      <c r="G631" t="str">
        <f>CONCATENATE(Master_Packing_Database[[#This Row],[Exp '#]],Master_Packing_Database[[#This Row],[Batch '#]])</f>
        <v/>
      </c>
      <c r="I631" t="s">
        <v>2898</v>
      </c>
      <c r="J631" t="s">
        <v>117</v>
      </c>
      <c r="AI631" t="s">
        <v>2748</v>
      </c>
      <c r="AN631">
        <v>0</v>
      </c>
      <c r="AO631" t="s">
        <v>1834</v>
      </c>
      <c r="AP631" t="s">
        <v>1834</v>
      </c>
      <c r="AQ631">
        <v>0</v>
      </c>
      <c r="AR631" t="s">
        <v>1835</v>
      </c>
    </row>
    <row r="632" spans="1:44" x14ac:dyDescent="0.25">
      <c r="A632" t="s">
        <v>1828</v>
      </c>
      <c r="B632" t="s">
        <v>2746</v>
      </c>
      <c r="D632" t="s">
        <v>2896</v>
      </c>
      <c r="G632" t="str">
        <f>CONCATENATE(Master_Packing_Database[[#This Row],[Exp '#]],Master_Packing_Database[[#This Row],[Batch '#]])</f>
        <v/>
      </c>
      <c r="I632" t="s">
        <v>2898</v>
      </c>
      <c r="J632" t="s">
        <v>117</v>
      </c>
      <c r="AI632" t="s">
        <v>2748</v>
      </c>
      <c r="AN632">
        <v>0</v>
      </c>
      <c r="AO632" t="s">
        <v>1834</v>
      </c>
      <c r="AP632" t="s">
        <v>1834</v>
      </c>
      <c r="AQ632">
        <v>0</v>
      </c>
      <c r="AR632" t="s">
        <v>1835</v>
      </c>
    </row>
    <row r="633" spans="1:44" x14ac:dyDescent="0.25">
      <c r="A633" t="s">
        <v>1828</v>
      </c>
      <c r="B633" t="s">
        <v>2746</v>
      </c>
      <c r="D633" t="s">
        <v>2896</v>
      </c>
      <c r="G633" t="str">
        <f>CONCATENATE(Master_Packing_Database[[#This Row],[Exp '#]],Master_Packing_Database[[#This Row],[Batch '#]])</f>
        <v/>
      </c>
      <c r="I633" t="s">
        <v>2898</v>
      </c>
      <c r="J633" t="s">
        <v>117</v>
      </c>
      <c r="AI633" t="s">
        <v>2748</v>
      </c>
      <c r="AN633">
        <v>0</v>
      </c>
      <c r="AO633" t="s">
        <v>1834</v>
      </c>
      <c r="AP633" t="s">
        <v>1834</v>
      </c>
      <c r="AQ633">
        <v>0</v>
      </c>
      <c r="AR633" t="s">
        <v>1835</v>
      </c>
    </row>
    <row r="634" spans="1:44" x14ac:dyDescent="0.25">
      <c r="A634" t="s">
        <v>1828</v>
      </c>
      <c r="B634" t="s">
        <v>2746</v>
      </c>
      <c r="D634" t="s">
        <v>2896</v>
      </c>
      <c r="G634" t="str">
        <f>CONCATENATE(Master_Packing_Database[[#This Row],[Exp '#]],Master_Packing_Database[[#This Row],[Batch '#]])</f>
        <v/>
      </c>
      <c r="I634" t="s">
        <v>2899</v>
      </c>
      <c r="J634" t="s">
        <v>366</v>
      </c>
      <c r="AI634" t="s">
        <v>2748</v>
      </c>
      <c r="AN634">
        <v>0</v>
      </c>
      <c r="AO634" t="s">
        <v>1834</v>
      </c>
      <c r="AP634" t="s">
        <v>1834</v>
      </c>
      <c r="AQ634">
        <v>0</v>
      </c>
      <c r="AR634" t="s">
        <v>1835</v>
      </c>
    </row>
    <row r="635" spans="1:44" x14ac:dyDescent="0.25">
      <c r="A635" t="s">
        <v>1828</v>
      </c>
      <c r="B635" t="s">
        <v>2746</v>
      </c>
      <c r="D635" t="s">
        <v>2900</v>
      </c>
      <c r="G635" t="str">
        <f>CONCATENATE(Master_Packing_Database[[#This Row],[Exp '#]],Master_Packing_Database[[#This Row],[Batch '#]])</f>
        <v/>
      </c>
      <c r="I635" t="s">
        <v>2841</v>
      </c>
      <c r="J635" t="s">
        <v>1371</v>
      </c>
      <c r="AI635" t="s">
        <v>2748</v>
      </c>
      <c r="AN635">
        <v>0</v>
      </c>
      <c r="AO635" t="s">
        <v>1834</v>
      </c>
      <c r="AP635" t="s">
        <v>1834</v>
      </c>
      <c r="AQ635">
        <v>0</v>
      </c>
      <c r="AR635" t="s">
        <v>1835</v>
      </c>
    </row>
    <row r="636" spans="1:44" x14ac:dyDescent="0.25">
      <c r="A636" t="s">
        <v>1828</v>
      </c>
      <c r="B636" t="s">
        <v>2746</v>
      </c>
      <c r="D636" t="s">
        <v>2900</v>
      </c>
      <c r="G636" t="str">
        <f>CONCATENATE(Master_Packing_Database[[#This Row],[Exp '#]],Master_Packing_Database[[#This Row],[Batch '#]])</f>
        <v/>
      </c>
      <c r="I636" t="s">
        <v>2841</v>
      </c>
      <c r="J636" t="s">
        <v>1371</v>
      </c>
      <c r="AI636" t="s">
        <v>2748</v>
      </c>
      <c r="AN636">
        <v>0</v>
      </c>
      <c r="AO636" t="s">
        <v>1834</v>
      </c>
      <c r="AP636" t="s">
        <v>1834</v>
      </c>
      <c r="AQ636">
        <v>0</v>
      </c>
      <c r="AR636" t="s">
        <v>1835</v>
      </c>
    </row>
    <row r="637" spans="1:44" x14ac:dyDescent="0.25">
      <c r="A637" t="s">
        <v>1828</v>
      </c>
      <c r="B637" t="s">
        <v>2746</v>
      </c>
      <c r="D637" t="s">
        <v>2900</v>
      </c>
      <c r="G637" t="str">
        <f>CONCATENATE(Master_Packing_Database[[#This Row],[Exp '#]],Master_Packing_Database[[#This Row],[Batch '#]])</f>
        <v/>
      </c>
      <c r="I637" t="s">
        <v>2841</v>
      </c>
      <c r="J637" t="s">
        <v>1371</v>
      </c>
      <c r="AI637" t="s">
        <v>2748</v>
      </c>
      <c r="AN637">
        <v>0</v>
      </c>
      <c r="AO637" t="s">
        <v>1834</v>
      </c>
      <c r="AP637" t="s">
        <v>1834</v>
      </c>
      <c r="AQ637">
        <v>0</v>
      </c>
      <c r="AR637" t="s">
        <v>1835</v>
      </c>
    </row>
    <row r="638" spans="1:44" x14ac:dyDescent="0.25">
      <c r="A638" t="s">
        <v>1828</v>
      </c>
      <c r="B638" t="s">
        <v>2746</v>
      </c>
      <c r="D638" t="s">
        <v>2900</v>
      </c>
      <c r="G638" t="str">
        <f>CONCATENATE(Master_Packing_Database[[#This Row],[Exp '#]],Master_Packing_Database[[#This Row],[Batch '#]])</f>
        <v/>
      </c>
      <c r="I638" t="s">
        <v>2901</v>
      </c>
      <c r="J638" t="s">
        <v>1371</v>
      </c>
      <c r="AI638" t="s">
        <v>2748</v>
      </c>
      <c r="AN638">
        <v>0</v>
      </c>
      <c r="AO638" t="s">
        <v>1834</v>
      </c>
      <c r="AP638" t="s">
        <v>1834</v>
      </c>
      <c r="AQ638">
        <v>0</v>
      </c>
      <c r="AR638" t="s">
        <v>1835</v>
      </c>
    </row>
    <row r="639" spans="1:44" x14ac:dyDescent="0.25">
      <c r="A639" t="s">
        <v>1828</v>
      </c>
      <c r="B639" t="s">
        <v>2746</v>
      </c>
      <c r="D639" t="s">
        <v>2900</v>
      </c>
      <c r="G639" t="str">
        <f>CONCATENATE(Master_Packing_Database[[#This Row],[Exp '#]],Master_Packing_Database[[#This Row],[Batch '#]])</f>
        <v/>
      </c>
      <c r="I639" t="s">
        <v>2843</v>
      </c>
      <c r="J639" t="s">
        <v>1371</v>
      </c>
      <c r="AI639" t="s">
        <v>2748</v>
      </c>
      <c r="AN639">
        <v>0</v>
      </c>
      <c r="AO639" t="s">
        <v>1834</v>
      </c>
      <c r="AP639" t="s">
        <v>1834</v>
      </c>
      <c r="AQ639">
        <v>0</v>
      </c>
      <c r="AR639" t="s">
        <v>1835</v>
      </c>
    </row>
    <row r="640" spans="1:44" x14ac:dyDescent="0.25">
      <c r="A640" t="s">
        <v>1828</v>
      </c>
      <c r="B640" t="s">
        <v>2746</v>
      </c>
      <c r="D640" t="s">
        <v>2900</v>
      </c>
      <c r="G640" t="str">
        <f>CONCATENATE(Master_Packing_Database[[#This Row],[Exp '#]],Master_Packing_Database[[#This Row],[Batch '#]])</f>
        <v/>
      </c>
      <c r="I640" t="s">
        <v>2902</v>
      </c>
      <c r="J640" t="s">
        <v>1371</v>
      </c>
      <c r="AI640" t="s">
        <v>2748</v>
      </c>
      <c r="AN640">
        <v>0</v>
      </c>
      <c r="AO640" t="s">
        <v>1834</v>
      </c>
      <c r="AP640" t="s">
        <v>1834</v>
      </c>
      <c r="AQ640">
        <v>0</v>
      </c>
      <c r="AR640" t="s">
        <v>1835</v>
      </c>
    </row>
    <row r="641" spans="1:44" x14ac:dyDescent="0.25">
      <c r="A641" t="s">
        <v>1828</v>
      </c>
      <c r="B641" t="s">
        <v>2746</v>
      </c>
      <c r="D641" t="s">
        <v>2900</v>
      </c>
      <c r="G641" t="str">
        <f>CONCATENATE(Master_Packing_Database[[#This Row],[Exp '#]],Master_Packing_Database[[#This Row],[Batch '#]])</f>
        <v/>
      </c>
      <c r="I641" t="s">
        <v>2903</v>
      </c>
      <c r="J641" t="s">
        <v>1371</v>
      </c>
      <c r="AI641" t="s">
        <v>2748</v>
      </c>
      <c r="AN641">
        <v>0</v>
      </c>
      <c r="AO641" t="s">
        <v>1834</v>
      </c>
      <c r="AP641" t="s">
        <v>1834</v>
      </c>
      <c r="AQ641">
        <v>0</v>
      </c>
      <c r="AR641" t="s">
        <v>1835</v>
      </c>
    </row>
    <row r="642" spans="1:44" x14ac:dyDescent="0.25">
      <c r="A642" t="s">
        <v>1828</v>
      </c>
      <c r="B642" t="s">
        <v>2746</v>
      </c>
      <c r="D642" t="s">
        <v>2904</v>
      </c>
      <c r="G642" t="str">
        <f>CONCATENATE(Master_Packing_Database[[#This Row],[Exp '#]],Master_Packing_Database[[#This Row],[Batch '#]])</f>
        <v/>
      </c>
      <c r="I642" t="s">
        <v>2905</v>
      </c>
      <c r="J642" t="s">
        <v>1371</v>
      </c>
      <c r="AI642" t="s">
        <v>2748</v>
      </c>
      <c r="AN642">
        <v>0</v>
      </c>
      <c r="AO642" t="s">
        <v>1834</v>
      </c>
      <c r="AP642" t="s">
        <v>1834</v>
      </c>
      <c r="AQ642">
        <v>0</v>
      </c>
      <c r="AR642" t="s">
        <v>1835</v>
      </c>
    </row>
    <row r="643" spans="1:44" x14ac:dyDescent="0.25">
      <c r="A643" t="s">
        <v>1828</v>
      </c>
      <c r="B643" t="s">
        <v>2746</v>
      </c>
      <c r="D643" t="s">
        <v>2904</v>
      </c>
      <c r="G643" t="str">
        <f>CONCATENATE(Master_Packing_Database[[#This Row],[Exp '#]],Master_Packing_Database[[#This Row],[Batch '#]])</f>
        <v/>
      </c>
      <c r="I643" t="s">
        <v>2906</v>
      </c>
      <c r="J643" t="s">
        <v>1371</v>
      </c>
      <c r="AI643" t="s">
        <v>2748</v>
      </c>
      <c r="AN643">
        <v>0</v>
      </c>
      <c r="AO643" t="s">
        <v>1834</v>
      </c>
      <c r="AP643" t="s">
        <v>1834</v>
      </c>
      <c r="AQ643">
        <v>0</v>
      </c>
      <c r="AR643" t="s">
        <v>1835</v>
      </c>
    </row>
    <row r="644" spans="1:44" x14ac:dyDescent="0.25">
      <c r="A644" t="s">
        <v>1828</v>
      </c>
      <c r="B644" t="s">
        <v>2746</v>
      </c>
      <c r="D644" t="s">
        <v>2907</v>
      </c>
      <c r="G644" t="str">
        <f>CONCATENATE(Master_Packing_Database[[#This Row],[Exp '#]],Master_Packing_Database[[#This Row],[Batch '#]])</f>
        <v/>
      </c>
      <c r="I644" t="s">
        <v>2908</v>
      </c>
      <c r="J644" t="s">
        <v>117</v>
      </c>
      <c r="AI644" t="s">
        <v>2748</v>
      </c>
      <c r="AN644">
        <v>0</v>
      </c>
      <c r="AO644" t="s">
        <v>1834</v>
      </c>
      <c r="AP644" t="s">
        <v>1834</v>
      </c>
      <c r="AQ644">
        <v>0</v>
      </c>
      <c r="AR644" t="s">
        <v>1835</v>
      </c>
    </row>
    <row r="645" spans="1:44" x14ac:dyDescent="0.25">
      <c r="A645" t="s">
        <v>1828</v>
      </c>
      <c r="B645" t="s">
        <v>2746</v>
      </c>
      <c r="D645" t="s">
        <v>2909</v>
      </c>
      <c r="G645" t="str">
        <f>CONCATENATE(Master_Packing_Database[[#This Row],[Exp '#]],Master_Packing_Database[[#This Row],[Batch '#]])</f>
        <v/>
      </c>
      <c r="I645" t="s">
        <v>2910</v>
      </c>
      <c r="J645" t="s">
        <v>1371</v>
      </c>
      <c r="AI645" t="s">
        <v>2748</v>
      </c>
      <c r="AN645">
        <v>0</v>
      </c>
      <c r="AO645" t="s">
        <v>1834</v>
      </c>
      <c r="AP645" t="s">
        <v>1834</v>
      </c>
      <c r="AQ645">
        <v>0</v>
      </c>
      <c r="AR645" t="s">
        <v>1835</v>
      </c>
    </row>
    <row r="646" spans="1:44" x14ac:dyDescent="0.25">
      <c r="A646" t="s">
        <v>1828</v>
      </c>
      <c r="B646" t="s">
        <v>2746</v>
      </c>
      <c r="D646" t="s">
        <v>2785</v>
      </c>
      <c r="G646" t="str">
        <f>CONCATENATE(Master_Packing_Database[[#This Row],[Exp '#]],Master_Packing_Database[[#This Row],[Batch '#]])</f>
        <v/>
      </c>
      <c r="I646" t="s">
        <v>2911</v>
      </c>
      <c r="J646" t="s">
        <v>117</v>
      </c>
      <c r="AI646" t="s">
        <v>2748</v>
      </c>
      <c r="AN646">
        <v>0</v>
      </c>
      <c r="AO646" t="s">
        <v>1834</v>
      </c>
      <c r="AP646" t="s">
        <v>1834</v>
      </c>
      <c r="AQ646">
        <v>0</v>
      </c>
      <c r="AR646" t="s">
        <v>1835</v>
      </c>
    </row>
    <row r="647" spans="1:44" x14ac:dyDescent="0.25">
      <c r="A647" t="s">
        <v>1828</v>
      </c>
      <c r="B647" t="s">
        <v>2746</v>
      </c>
      <c r="D647" t="s">
        <v>2912</v>
      </c>
      <c r="G647" t="str">
        <f>CONCATENATE(Master_Packing_Database[[#This Row],[Exp '#]],Master_Packing_Database[[#This Row],[Batch '#]])</f>
        <v/>
      </c>
      <c r="I647" t="s">
        <v>2913</v>
      </c>
      <c r="J647" t="s">
        <v>117</v>
      </c>
      <c r="AI647" t="s">
        <v>2748</v>
      </c>
      <c r="AN647">
        <v>0</v>
      </c>
      <c r="AO647" t="s">
        <v>1834</v>
      </c>
      <c r="AP647" t="s">
        <v>1834</v>
      </c>
      <c r="AQ647">
        <v>0</v>
      </c>
      <c r="AR647" t="s">
        <v>1835</v>
      </c>
    </row>
    <row r="648" spans="1:44" x14ac:dyDescent="0.25">
      <c r="A648" t="s">
        <v>1828</v>
      </c>
      <c r="B648" t="s">
        <v>2746</v>
      </c>
      <c r="D648" t="s">
        <v>2912</v>
      </c>
      <c r="G648" t="str">
        <f>CONCATENATE(Master_Packing_Database[[#This Row],[Exp '#]],Master_Packing_Database[[#This Row],[Batch '#]])</f>
        <v/>
      </c>
      <c r="I648" t="s">
        <v>2914</v>
      </c>
      <c r="J648" t="s">
        <v>117</v>
      </c>
      <c r="AI648" t="s">
        <v>2748</v>
      </c>
      <c r="AN648">
        <v>0</v>
      </c>
      <c r="AO648" t="s">
        <v>1834</v>
      </c>
      <c r="AP648" t="s">
        <v>1834</v>
      </c>
      <c r="AQ648">
        <v>0</v>
      </c>
      <c r="AR648" t="s">
        <v>1835</v>
      </c>
    </row>
    <row r="649" spans="1:44" x14ac:dyDescent="0.25">
      <c r="A649" t="s">
        <v>1828</v>
      </c>
      <c r="B649" t="s">
        <v>2746</v>
      </c>
      <c r="D649" t="s">
        <v>2915</v>
      </c>
      <c r="G649" t="str">
        <f>CONCATENATE(Master_Packing_Database[[#This Row],[Exp '#]],Master_Packing_Database[[#This Row],[Batch '#]])</f>
        <v/>
      </c>
      <c r="I649" t="s">
        <v>2916</v>
      </c>
      <c r="J649" t="s">
        <v>1371</v>
      </c>
      <c r="AI649" t="s">
        <v>2823</v>
      </c>
      <c r="AN649">
        <v>0</v>
      </c>
      <c r="AO649" t="s">
        <v>1834</v>
      </c>
      <c r="AP649" t="s">
        <v>1834</v>
      </c>
      <c r="AQ649">
        <v>0</v>
      </c>
      <c r="AR649" t="s">
        <v>1835</v>
      </c>
    </row>
    <row r="650" spans="1:44" x14ac:dyDescent="0.25">
      <c r="A650" t="s">
        <v>1828</v>
      </c>
      <c r="B650" t="s">
        <v>2746</v>
      </c>
      <c r="D650" t="s">
        <v>2770</v>
      </c>
      <c r="G650" t="str">
        <f>CONCATENATE(Master_Packing_Database[[#This Row],[Exp '#]],Master_Packing_Database[[#This Row],[Batch '#]])</f>
        <v/>
      </c>
      <c r="I650" t="s">
        <v>2832</v>
      </c>
      <c r="J650" t="s">
        <v>1371</v>
      </c>
      <c r="AI650" t="s">
        <v>2748</v>
      </c>
      <c r="AN650">
        <v>0</v>
      </c>
      <c r="AO650" t="s">
        <v>1834</v>
      </c>
      <c r="AP650" t="s">
        <v>1834</v>
      </c>
      <c r="AQ650">
        <v>0</v>
      </c>
      <c r="AR650" t="s">
        <v>1835</v>
      </c>
    </row>
    <row r="651" spans="1:44" x14ac:dyDescent="0.25">
      <c r="A651" t="s">
        <v>1828</v>
      </c>
      <c r="B651" t="s">
        <v>2746</v>
      </c>
      <c r="D651" t="s">
        <v>2770</v>
      </c>
      <c r="G651" t="str">
        <f>CONCATENATE(Master_Packing_Database[[#This Row],[Exp '#]],Master_Packing_Database[[#This Row],[Batch '#]])</f>
        <v/>
      </c>
      <c r="I651" t="s">
        <v>2917</v>
      </c>
      <c r="J651" t="s">
        <v>1371</v>
      </c>
      <c r="AI651" t="s">
        <v>2748</v>
      </c>
      <c r="AN651">
        <v>0</v>
      </c>
      <c r="AO651" t="s">
        <v>1834</v>
      </c>
      <c r="AP651" t="s">
        <v>1834</v>
      </c>
      <c r="AQ651">
        <v>0</v>
      </c>
      <c r="AR651" t="s">
        <v>1835</v>
      </c>
    </row>
    <row r="652" spans="1:44" x14ac:dyDescent="0.25">
      <c r="A652" t="s">
        <v>1828</v>
      </c>
      <c r="B652" t="s">
        <v>2746</v>
      </c>
      <c r="D652" t="s">
        <v>2770</v>
      </c>
      <c r="G652" t="str">
        <f>CONCATENATE(Master_Packing_Database[[#This Row],[Exp '#]],Master_Packing_Database[[#This Row],[Batch '#]])</f>
        <v/>
      </c>
      <c r="I652" t="s">
        <v>2918</v>
      </c>
      <c r="J652" t="s">
        <v>1371</v>
      </c>
      <c r="AI652" t="s">
        <v>2748</v>
      </c>
      <c r="AN652">
        <v>0</v>
      </c>
      <c r="AO652" t="s">
        <v>1834</v>
      </c>
      <c r="AP652" t="s">
        <v>1834</v>
      </c>
      <c r="AQ652">
        <v>0</v>
      </c>
      <c r="AR652" t="s">
        <v>1835</v>
      </c>
    </row>
    <row r="653" spans="1:44" x14ac:dyDescent="0.25">
      <c r="A653" t="s">
        <v>1828</v>
      </c>
      <c r="B653" t="s">
        <v>2746</v>
      </c>
      <c r="D653" t="s">
        <v>2919</v>
      </c>
      <c r="G653" t="str">
        <f>CONCATENATE(Master_Packing_Database[[#This Row],[Exp '#]],Master_Packing_Database[[#This Row],[Batch '#]])</f>
        <v/>
      </c>
      <c r="I653" t="s">
        <v>2920</v>
      </c>
      <c r="J653" t="s">
        <v>366</v>
      </c>
      <c r="AI653" t="s">
        <v>2748</v>
      </c>
      <c r="AN653">
        <v>0</v>
      </c>
      <c r="AO653" t="s">
        <v>1834</v>
      </c>
      <c r="AP653" t="s">
        <v>1834</v>
      </c>
      <c r="AQ653">
        <v>0</v>
      </c>
      <c r="AR653" t="s">
        <v>1835</v>
      </c>
    </row>
    <row r="654" spans="1:44" x14ac:dyDescent="0.25">
      <c r="A654" t="s">
        <v>1828</v>
      </c>
      <c r="B654" t="s">
        <v>2746</v>
      </c>
      <c r="D654" t="s">
        <v>2921</v>
      </c>
      <c r="G654" t="str">
        <f>CONCATENATE(Master_Packing_Database[[#This Row],[Exp '#]],Master_Packing_Database[[#This Row],[Batch '#]])</f>
        <v/>
      </c>
      <c r="I654" t="s">
        <v>2922</v>
      </c>
      <c r="J654" t="s">
        <v>117</v>
      </c>
      <c r="AI654" t="s">
        <v>2748</v>
      </c>
      <c r="AN654">
        <v>0</v>
      </c>
      <c r="AO654" t="s">
        <v>1834</v>
      </c>
      <c r="AP654" t="s">
        <v>1834</v>
      </c>
      <c r="AQ654">
        <v>0</v>
      </c>
      <c r="AR654" t="s">
        <v>1835</v>
      </c>
    </row>
    <row r="655" spans="1:44" x14ac:dyDescent="0.25">
      <c r="A655" t="s">
        <v>1828</v>
      </c>
      <c r="B655" t="s">
        <v>2746</v>
      </c>
      <c r="D655" t="s">
        <v>2921</v>
      </c>
      <c r="G655" t="str">
        <f>CONCATENATE(Master_Packing_Database[[#This Row],[Exp '#]],Master_Packing_Database[[#This Row],[Batch '#]])</f>
        <v/>
      </c>
      <c r="I655" t="s">
        <v>2923</v>
      </c>
      <c r="J655" t="s">
        <v>117</v>
      </c>
      <c r="AI655" t="s">
        <v>2748</v>
      </c>
      <c r="AN655">
        <v>0</v>
      </c>
      <c r="AO655" t="s">
        <v>1834</v>
      </c>
      <c r="AP655" t="s">
        <v>1834</v>
      </c>
      <c r="AQ655">
        <v>0</v>
      </c>
      <c r="AR655" t="s">
        <v>1835</v>
      </c>
    </row>
    <row r="656" spans="1:44" x14ac:dyDescent="0.25">
      <c r="A656" t="s">
        <v>1828</v>
      </c>
      <c r="B656" t="s">
        <v>2746</v>
      </c>
      <c r="D656" t="s">
        <v>2924</v>
      </c>
      <c r="G656" t="str">
        <f>CONCATENATE(Master_Packing_Database[[#This Row],[Exp '#]],Master_Packing_Database[[#This Row],[Batch '#]])</f>
        <v/>
      </c>
      <c r="I656" t="s">
        <v>2925</v>
      </c>
      <c r="J656" t="s">
        <v>1371</v>
      </c>
      <c r="AI656" t="s">
        <v>2748</v>
      </c>
      <c r="AN656">
        <v>0</v>
      </c>
      <c r="AO656" t="s">
        <v>1834</v>
      </c>
      <c r="AP656" t="s">
        <v>1834</v>
      </c>
      <c r="AQ656">
        <v>0</v>
      </c>
      <c r="AR656" t="s">
        <v>1835</v>
      </c>
    </row>
    <row r="657" spans="1:44" x14ac:dyDescent="0.25">
      <c r="A657" t="s">
        <v>1828</v>
      </c>
      <c r="B657" t="s">
        <v>2746</v>
      </c>
      <c r="D657" t="s">
        <v>2924</v>
      </c>
      <c r="G657" t="str">
        <f>CONCATENATE(Master_Packing_Database[[#This Row],[Exp '#]],Master_Packing_Database[[#This Row],[Batch '#]])</f>
        <v/>
      </c>
      <c r="I657" t="s">
        <v>2926</v>
      </c>
      <c r="J657" t="s">
        <v>1371</v>
      </c>
      <c r="AI657" t="s">
        <v>2748</v>
      </c>
      <c r="AN657">
        <v>0</v>
      </c>
      <c r="AO657" t="s">
        <v>1834</v>
      </c>
      <c r="AP657" t="s">
        <v>1834</v>
      </c>
      <c r="AQ657">
        <v>0</v>
      </c>
      <c r="AR657" t="s">
        <v>1835</v>
      </c>
    </row>
    <row r="658" spans="1:44" x14ac:dyDescent="0.25">
      <c r="A658" t="s">
        <v>1828</v>
      </c>
      <c r="B658" t="s">
        <v>2746</v>
      </c>
      <c r="D658" t="s">
        <v>2924</v>
      </c>
      <c r="G658" t="str">
        <f>CONCATENATE(Master_Packing_Database[[#This Row],[Exp '#]],Master_Packing_Database[[#This Row],[Batch '#]])</f>
        <v/>
      </c>
      <c r="I658" t="s">
        <v>2927</v>
      </c>
      <c r="J658" t="s">
        <v>1371</v>
      </c>
      <c r="AI658" t="s">
        <v>2748</v>
      </c>
      <c r="AN658">
        <v>0</v>
      </c>
      <c r="AO658" t="s">
        <v>1834</v>
      </c>
      <c r="AP658" t="s">
        <v>1834</v>
      </c>
      <c r="AQ658">
        <v>0</v>
      </c>
      <c r="AR658" t="s">
        <v>1835</v>
      </c>
    </row>
    <row r="659" spans="1:44" x14ac:dyDescent="0.25">
      <c r="A659" t="s">
        <v>1828</v>
      </c>
      <c r="B659" t="s">
        <v>2746</v>
      </c>
      <c r="D659" t="s">
        <v>2924</v>
      </c>
      <c r="G659" t="str">
        <f>CONCATENATE(Master_Packing_Database[[#This Row],[Exp '#]],Master_Packing_Database[[#This Row],[Batch '#]])</f>
        <v/>
      </c>
      <c r="I659" t="s">
        <v>2928</v>
      </c>
      <c r="J659" t="s">
        <v>1371</v>
      </c>
      <c r="AI659" t="s">
        <v>2748</v>
      </c>
      <c r="AN659">
        <v>0</v>
      </c>
      <c r="AO659" t="s">
        <v>1834</v>
      </c>
      <c r="AP659" t="s">
        <v>1834</v>
      </c>
      <c r="AQ659">
        <v>0</v>
      </c>
      <c r="AR659" t="s">
        <v>1835</v>
      </c>
    </row>
    <row r="660" spans="1:44" x14ac:dyDescent="0.25">
      <c r="A660" t="s">
        <v>1828</v>
      </c>
      <c r="B660" t="s">
        <v>2746</v>
      </c>
      <c r="D660" t="s">
        <v>2924</v>
      </c>
      <c r="G660" t="str">
        <f>CONCATENATE(Master_Packing_Database[[#This Row],[Exp '#]],Master_Packing_Database[[#This Row],[Batch '#]])</f>
        <v/>
      </c>
      <c r="I660" t="s">
        <v>2929</v>
      </c>
      <c r="J660" t="s">
        <v>1371</v>
      </c>
      <c r="AI660" t="s">
        <v>2748</v>
      </c>
      <c r="AN660">
        <v>0</v>
      </c>
      <c r="AO660" t="s">
        <v>1834</v>
      </c>
      <c r="AP660" t="s">
        <v>1834</v>
      </c>
      <c r="AQ660">
        <v>0</v>
      </c>
      <c r="AR660" t="s">
        <v>1835</v>
      </c>
    </row>
    <row r="661" spans="1:44" x14ac:dyDescent="0.25">
      <c r="A661" t="s">
        <v>1828</v>
      </c>
      <c r="B661" t="s">
        <v>2746</v>
      </c>
      <c r="D661" t="s">
        <v>2924</v>
      </c>
      <c r="G661" t="str">
        <f>CONCATENATE(Master_Packing_Database[[#This Row],[Exp '#]],Master_Packing_Database[[#This Row],[Batch '#]])</f>
        <v/>
      </c>
      <c r="I661" t="s">
        <v>2930</v>
      </c>
      <c r="J661" t="s">
        <v>1371</v>
      </c>
      <c r="AI661" t="s">
        <v>2748</v>
      </c>
      <c r="AN661">
        <v>0</v>
      </c>
      <c r="AO661" t="s">
        <v>1834</v>
      </c>
      <c r="AP661" t="s">
        <v>1834</v>
      </c>
      <c r="AQ661">
        <v>0</v>
      </c>
      <c r="AR661" t="s">
        <v>1835</v>
      </c>
    </row>
    <row r="662" spans="1:44" x14ac:dyDescent="0.25">
      <c r="A662" t="s">
        <v>1828</v>
      </c>
      <c r="B662" t="s">
        <v>2746</v>
      </c>
      <c r="D662" t="s">
        <v>2924</v>
      </c>
      <c r="G662" t="str">
        <f>CONCATENATE(Master_Packing_Database[[#This Row],[Exp '#]],Master_Packing_Database[[#This Row],[Batch '#]])</f>
        <v/>
      </c>
      <c r="I662" t="s">
        <v>2931</v>
      </c>
      <c r="J662" t="s">
        <v>1371</v>
      </c>
      <c r="AI662" t="s">
        <v>2748</v>
      </c>
      <c r="AN662">
        <v>0</v>
      </c>
      <c r="AO662" t="s">
        <v>1834</v>
      </c>
      <c r="AP662" t="s">
        <v>1834</v>
      </c>
      <c r="AQ662">
        <v>0</v>
      </c>
      <c r="AR662" t="s">
        <v>1835</v>
      </c>
    </row>
    <row r="663" spans="1:44" x14ac:dyDescent="0.25">
      <c r="A663" t="s">
        <v>1828</v>
      </c>
      <c r="B663" t="s">
        <v>2746</v>
      </c>
      <c r="D663" t="s">
        <v>2912</v>
      </c>
      <c r="G663" t="str">
        <f>CONCATENATE(Master_Packing_Database[[#This Row],[Exp '#]],Master_Packing_Database[[#This Row],[Batch '#]])</f>
        <v/>
      </c>
      <c r="I663" t="s">
        <v>2932</v>
      </c>
      <c r="J663" t="s">
        <v>366</v>
      </c>
      <c r="AI663" t="s">
        <v>2748</v>
      </c>
      <c r="AN663">
        <v>0</v>
      </c>
      <c r="AO663" t="s">
        <v>1834</v>
      </c>
      <c r="AP663" t="s">
        <v>1834</v>
      </c>
      <c r="AQ663">
        <v>0</v>
      </c>
      <c r="AR663" t="s">
        <v>1835</v>
      </c>
    </row>
    <row r="664" spans="1:44" x14ac:dyDescent="0.25">
      <c r="A664" t="s">
        <v>1828</v>
      </c>
      <c r="B664" t="s">
        <v>2746</v>
      </c>
      <c r="D664" t="s">
        <v>2912</v>
      </c>
      <c r="G664" t="str">
        <f>CONCATENATE(Master_Packing_Database[[#This Row],[Exp '#]],Master_Packing_Database[[#This Row],[Batch '#]])</f>
        <v/>
      </c>
      <c r="I664" t="s">
        <v>2933</v>
      </c>
      <c r="J664" t="s">
        <v>366</v>
      </c>
      <c r="AI664" t="s">
        <v>2748</v>
      </c>
      <c r="AN664">
        <v>0</v>
      </c>
      <c r="AO664" t="s">
        <v>1834</v>
      </c>
      <c r="AP664" t="s">
        <v>1834</v>
      </c>
      <c r="AQ664">
        <v>0</v>
      </c>
      <c r="AR664" t="s">
        <v>1835</v>
      </c>
    </row>
    <row r="665" spans="1:44" x14ac:dyDescent="0.25">
      <c r="A665" t="s">
        <v>1828</v>
      </c>
      <c r="B665" t="s">
        <v>2746</v>
      </c>
      <c r="D665" t="s">
        <v>2912</v>
      </c>
      <c r="G665" t="str">
        <f>CONCATENATE(Master_Packing_Database[[#This Row],[Exp '#]],Master_Packing_Database[[#This Row],[Batch '#]])</f>
        <v/>
      </c>
      <c r="I665" t="s">
        <v>2934</v>
      </c>
      <c r="J665" t="s">
        <v>366</v>
      </c>
      <c r="AI665" t="s">
        <v>2748</v>
      </c>
      <c r="AN665">
        <v>0</v>
      </c>
      <c r="AO665" t="s">
        <v>1834</v>
      </c>
      <c r="AP665" t="s">
        <v>1834</v>
      </c>
      <c r="AQ665">
        <v>0</v>
      </c>
      <c r="AR665" t="s">
        <v>1835</v>
      </c>
    </row>
    <row r="666" spans="1:44" x14ac:dyDescent="0.25">
      <c r="A666" t="s">
        <v>1828</v>
      </c>
      <c r="B666" t="s">
        <v>2746</v>
      </c>
      <c r="D666" t="s">
        <v>2912</v>
      </c>
      <c r="G666" t="str">
        <f>CONCATENATE(Master_Packing_Database[[#This Row],[Exp '#]],Master_Packing_Database[[#This Row],[Batch '#]])</f>
        <v/>
      </c>
      <c r="I666" t="s">
        <v>2935</v>
      </c>
      <c r="J666" t="s">
        <v>1371</v>
      </c>
      <c r="AI666" t="s">
        <v>2748</v>
      </c>
      <c r="AN666">
        <v>0</v>
      </c>
      <c r="AO666" t="s">
        <v>1834</v>
      </c>
      <c r="AP666" t="s">
        <v>1834</v>
      </c>
      <c r="AQ666">
        <v>0</v>
      </c>
      <c r="AR666" t="s">
        <v>1835</v>
      </c>
    </row>
    <row r="667" spans="1:44" x14ac:dyDescent="0.25">
      <c r="A667" t="s">
        <v>1828</v>
      </c>
      <c r="B667" t="s">
        <v>2746</v>
      </c>
      <c r="D667" t="s">
        <v>2912</v>
      </c>
      <c r="G667" t="str">
        <f>CONCATENATE(Master_Packing_Database[[#This Row],[Exp '#]],Master_Packing_Database[[#This Row],[Batch '#]])</f>
        <v/>
      </c>
      <c r="I667" t="s">
        <v>2936</v>
      </c>
      <c r="J667" t="s">
        <v>1371</v>
      </c>
      <c r="AI667" t="s">
        <v>2748</v>
      </c>
      <c r="AN667">
        <v>0</v>
      </c>
      <c r="AO667" t="s">
        <v>1834</v>
      </c>
      <c r="AP667" t="s">
        <v>1834</v>
      </c>
      <c r="AQ667">
        <v>0</v>
      </c>
      <c r="AR667" t="s">
        <v>1835</v>
      </c>
    </row>
    <row r="668" spans="1:44" x14ac:dyDescent="0.25">
      <c r="A668" t="s">
        <v>1828</v>
      </c>
      <c r="B668" t="s">
        <v>2746</v>
      </c>
      <c r="D668" t="s">
        <v>2912</v>
      </c>
      <c r="G668" t="str">
        <f>CONCATENATE(Master_Packing_Database[[#This Row],[Exp '#]],Master_Packing_Database[[#This Row],[Batch '#]])</f>
        <v/>
      </c>
      <c r="I668" t="s">
        <v>2936</v>
      </c>
      <c r="J668" t="s">
        <v>1371</v>
      </c>
      <c r="AI668" t="s">
        <v>2748</v>
      </c>
      <c r="AN668">
        <v>0</v>
      </c>
      <c r="AO668" t="s">
        <v>1834</v>
      </c>
      <c r="AP668" t="s">
        <v>1834</v>
      </c>
      <c r="AQ668">
        <v>0</v>
      </c>
      <c r="AR668" t="s">
        <v>1835</v>
      </c>
    </row>
    <row r="669" spans="1:44" x14ac:dyDescent="0.25">
      <c r="A669" t="s">
        <v>1828</v>
      </c>
      <c r="B669" t="s">
        <v>2746</v>
      </c>
      <c r="D669" t="s">
        <v>2937</v>
      </c>
      <c r="G669" t="str">
        <f>CONCATENATE(Master_Packing_Database[[#This Row],[Exp '#]],Master_Packing_Database[[#This Row],[Batch '#]])</f>
        <v/>
      </c>
      <c r="I669" t="s">
        <v>2814</v>
      </c>
      <c r="J669" t="s">
        <v>1371</v>
      </c>
      <c r="AI669" t="s">
        <v>2748</v>
      </c>
      <c r="AN669">
        <v>0</v>
      </c>
      <c r="AO669" t="s">
        <v>1834</v>
      </c>
      <c r="AP669" t="s">
        <v>1834</v>
      </c>
      <c r="AQ669">
        <v>0</v>
      </c>
      <c r="AR669" t="s">
        <v>1835</v>
      </c>
    </row>
    <row r="670" spans="1:44" x14ac:dyDescent="0.25">
      <c r="A670" t="s">
        <v>1828</v>
      </c>
      <c r="B670" t="s">
        <v>2746</v>
      </c>
      <c r="D670" t="s">
        <v>2770</v>
      </c>
      <c r="G670" t="str">
        <f>CONCATENATE(Master_Packing_Database[[#This Row],[Exp '#]],Master_Packing_Database[[#This Row],[Batch '#]])</f>
        <v/>
      </c>
      <c r="I670" t="s">
        <v>2938</v>
      </c>
      <c r="J670" t="s">
        <v>1371</v>
      </c>
      <c r="AI670" t="s">
        <v>2748</v>
      </c>
      <c r="AN670">
        <v>0</v>
      </c>
      <c r="AO670" t="s">
        <v>1834</v>
      </c>
      <c r="AP670" t="s">
        <v>1834</v>
      </c>
      <c r="AQ670">
        <v>0</v>
      </c>
      <c r="AR670" t="s">
        <v>1835</v>
      </c>
    </row>
    <row r="671" spans="1:44" x14ac:dyDescent="0.25">
      <c r="A671" t="s">
        <v>1828</v>
      </c>
      <c r="B671" t="s">
        <v>2746</v>
      </c>
      <c r="D671" t="s">
        <v>2770</v>
      </c>
      <c r="G671" t="str">
        <f>CONCATENATE(Master_Packing_Database[[#This Row],[Exp '#]],Master_Packing_Database[[#This Row],[Batch '#]])</f>
        <v/>
      </c>
      <c r="I671" t="s">
        <v>2939</v>
      </c>
      <c r="J671" t="s">
        <v>366</v>
      </c>
      <c r="AI671" t="s">
        <v>2748</v>
      </c>
      <c r="AN671">
        <v>0</v>
      </c>
      <c r="AO671" t="s">
        <v>1834</v>
      </c>
      <c r="AP671" t="s">
        <v>1834</v>
      </c>
      <c r="AQ671">
        <v>0</v>
      </c>
      <c r="AR671" t="s">
        <v>1835</v>
      </c>
    </row>
    <row r="672" spans="1:44" x14ac:dyDescent="0.25">
      <c r="A672" t="s">
        <v>1828</v>
      </c>
      <c r="B672" t="s">
        <v>2746</v>
      </c>
      <c r="D672" t="s">
        <v>2770</v>
      </c>
      <c r="G672" t="str">
        <f>CONCATENATE(Master_Packing_Database[[#This Row],[Exp '#]],Master_Packing_Database[[#This Row],[Batch '#]])</f>
        <v/>
      </c>
      <c r="I672" t="s">
        <v>2940</v>
      </c>
      <c r="J672" t="s">
        <v>366</v>
      </c>
      <c r="AI672" t="s">
        <v>2748</v>
      </c>
      <c r="AN672">
        <v>0</v>
      </c>
      <c r="AO672" t="s">
        <v>1834</v>
      </c>
      <c r="AP672" t="s">
        <v>1834</v>
      </c>
      <c r="AQ672">
        <v>0</v>
      </c>
      <c r="AR672" t="s">
        <v>1835</v>
      </c>
    </row>
    <row r="673" spans="1:44" x14ac:dyDescent="0.25">
      <c r="A673" t="s">
        <v>1828</v>
      </c>
      <c r="B673" t="s">
        <v>2746</v>
      </c>
      <c r="D673" t="s">
        <v>2915</v>
      </c>
      <c r="G673" t="str">
        <f>CONCATENATE(Master_Packing_Database[[#This Row],[Exp '#]],Master_Packing_Database[[#This Row],[Batch '#]])</f>
        <v/>
      </c>
      <c r="I673" t="s">
        <v>2835</v>
      </c>
      <c r="J673" t="s">
        <v>366</v>
      </c>
      <c r="AI673" t="s">
        <v>2748</v>
      </c>
      <c r="AN673">
        <v>0</v>
      </c>
      <c r="AO673" t="s">
        <v>1834</v>
      </c>
      <c r="AP673" t="s">
        <v>1834</v>
      </c>
      <c r="AQ673">
        <v>0</v>
      </c>
      <c r="AR673" t="s">
        <v>1835</v>
      </c>
    </row>
    <row r="674" spans="1:44" x14ac:dyDescent="0.25">
      <c r="A674" t="s">
        <v>1828</v>
      </c>
      <c r="B674" t="s">
        <v>2746</v>
      </c>
      <c r="D674" t="s">
        <v>2941</v>
      </c>
      <c r="G674" t="str">
        <f>CONCATENATE(Master_Packing_Database[[#This Row],[Exp '#]],Master_Packing_Database[[#This Row],[Batch '#]])</f>
        <v/>
      </c>
      <c r="I674" t="s">
        <v>2942</v>
      </c>
      <c r="J674" t="s">
        <v>117</v>
      </c>
      <c r="AI674" t="s">
        <v>2748</v>
      </c>
      <c r="AN674">
        <v>0</v>
      </c>
      <c r="AO674" t="s">
        <v>1834</v>
      </c>
      <c r="AP674" t="s">
        <v>1834</v>
      </c>
      <c r="AQ674">
        <v>0</v>
      </c>
      <c r="AR674" t="s">
        <v>1835</v>
      </c>
    </row>
    <row r="675" spans="1:44" x14ac:dyDescent="0.25">
      <c r="A675" t="s">
        <v>1828</v>
      </c>
      <c r="B675" t="s">
        <v>2746</v>
      </c>
      <c r="D675" t="s">
        <v>2941</v>
      </c>
      <c r="G675" t="str">
        <f>CONCATENATE(Master_Packing_Database[[#This Row],[Exp '#]],Master_Packing_Database[[#This Row],[Batch '#]])</f>
        <v/>
      </c>
      <c r="I675" t="s">
        <v>2943</v>
      </c>
      <c r="J675" t="s">
        <v>366</v>
      </c>
      <c r="AI675" t="s">
        <v>2748</v>
      </c>
      <c r="AN675">
        <v>0</v>
      </c>
      <c r="AO675" t="s">
        <v>1834</v>
      </c>
      <c r="AP675" t="s">
        <v>1834</v>
      </c>
      <c r="AQ675">
        <v>0</v>
      </c>
      <c r="AR675" t="s">
        <v>1835</v>
      </c>
    </row>
    <row r="676" spans="1:44" x14ac:dyDescent="0.25">
      <c r="A676" t="s">
        <v>1828</v>
      </c>
      <c r="B676" t="s">
        <v>2746</v>
      </c>
      <c r="D676" t="s">
        <v>2900</v>
      </c>
      <c r="G676" t="str">
        <f>CONCATENATE(Master_Packing_Database[[#This Row],[Exp '#]],Master_Packing_Database[[#This Row],[Batch '#]])</f>
        <v/>
      </c>
      <c r="I676" t="s">
        <v>2944</v>
      </c>
      <c r="J676" t="s">
        <v>1371</v>
      </c>
      <c r="AI676" t="s">
        <v>2748</v>
      </c>
      <c r="AN676">
        <v>0</v>
      </c>
      <c r="AO676" t="s">
        <v>1834</v>
      </c>
      <c r="AP676" t="s">
        <v>1834</v>
      </c>
      <c r="AQ676">
        <v>0</v>
      </c>
      <c r="AR676" t="s">
        <v>1835</v>
      </c>
    </row>
    <row r="677" spans="1:44" x14ac:dyDescent="0.25">
      <c r="A677" t="s">
        <v>1828</v>
      </c>
      <c r="B677" t="s">
        <v>2746</v>
      </c>
      <c r="D677" t="s">
        <v>2945</v>
      </c>
      <c r="G677" t="str">
        <f>CONCATENATE(Master_Packing_Database[[#This Row],[Exp '#]],Master_Packing_Database[[#This Row],[Batch '#]])</f>
        <v/>
      </c>
      <c r="I677" t="s">
        <v>2946</v>
      </c>
      <c r="J677" t="s">
        <v>1371</v>
      </c>
      <c r="AI677" t="s">
        <v>2748</v>
      </c>
      <c r="AN677">
        <v>0</v>
      </c>
      <c r="AO677" t="s">
        <v>1834</v>
      </c>
      <c r="AP677" t="s">
        <v>1834</v>
      </c>
      <c r="AQ677">
        <v>0</v>
      </c>
      <c r="AR677" t="s">
        <v>1835</v>
      </c>
    </row>
    <row r="678" spans="1:44" x14ac:dyDescent="0.25">
      <c r="A678" t="s">
        <v>1828</v>
      </c>
      <c r="B678" t="s">
        <v>2746</v>
      </c>
      <c r="D678" t="s">
        <v>2945</v>
      </c>
      <c r="G678" t="str">
        <f>CONCATENATE(Master_Packing_Database[[#This Row],[Exp '#]],Master_Packing_Database[[#This Row],[Batch '#]])</f>
        <v/>
      </c>
      <c r="I678" t="s">
        <v>2947</v>
      </c>
      <c r="J678" t="s">
        <v>1371</v>
      </c>
      <c r="AI678" t="s">
        <v>2748</v>
      </c>
      <c r="AN678">
        <v>0</v>
      </c>
      <c r="AO678" t="s">
        <v>1834</v>
      </c>
      <c r="AP678" t="s">
        <v>1834</v>
      </c>
      <c r="AQ678">
        <v>0</v>
      </c>
      <c r="AR678" t="s">
        <v>1835</v>
      </c>
    </row>
    <row r="679" spans="1:44" x14ac:dyDescent="0.25">
      <c r="A679" t="s">
        <v>1828</v>
      </c>
      <c r="B679" t="s">
        <v>2746</v>
      </c>
      <c r="D679" t="s">
        <v>2945</v>
      </c>
      <c r="G679" t="str">
        <f>CONCATENATE(Master_Packing_Database[[#This Row],[Exp '#]],Master_Packing_Database[[#This Row],[Batch '#]])</f>
        <v/>
      </c>
      <c r="I679" t="s">
        <v>2948</v>
      </c>
      <c r="J679" t="s">
        <v>1371</v>
      </c>
      <c r="AI679" t="s">
        <v>2748</v>
      </c>
      <c r="AN679">
        <v>0</v>
      </c>
      <c r="AO679" t="s">
        <v>1834</v>
      </c>
      <c r="AP679" t="s">
        <v>1834</v>
      </c>
      <c r="AQ679">
        <v>0</v>
      </c>
      <c r="AR679" t="s">
        <v>1835</v>
      </c>
    </row>
    <row r="680" spans="1:44" x14ac:dyDescent="0.25">
      <c r="A680" t="s">
        <v>1828</v>
      </c>
      <c r="B680" t="s">
        <v>2746</v>
      </c>
      <c r="D680" t="s">
        <v>2949</v>
      </c>
      <c r="G680" t="str">
        <f>CONCATENATE(Master_Packing_Database[[#This Row],[Exp '#]],Master_Packing_Database[[#This Row],[Batch '#]])</f>
        <v/>
      </c>
      <c r="I680" t="s">
        <v>2950</v>
      </c>
      <c r="J680" t="s">
        <v>366</v>
      </c>
      <c r="AI680" t="s">
        <v>2748</v>
      </c>
      <c r="AN680">
        <v>0</v>
      </c>
      <c r="AO680" t="s">
        <v>1834</v>
      </c>
      <c r="AP680" t="s">
        <v>1834</v>
      </c>
      <c r="AQ680">
        <v>0</v>
      </c>
      <c r="AR680" t="s">
        <v>1835</v>
      </c>
    </row>
    <row r="681" spans="1:44" x14ac:dyDescent="0.25">
      <c r="A681" t="s">
        <v>1828</v>
      </c>
      <c r="B681" t="s">
        <v>2746</v>
      </c>
      <c r="D681" t="s">
        <v>2951</v>
      </c>
      <c r="G681" t="str">
        <f>CONCATENATE(Master_Packing_Database[[#This Row],[Exp '#]],Master_Packing_Database[[#This Row],[Batch '#]])</f>
        <v/>
      </c>
      <c r="I681" t="s">
        <v>2931</v>
      </c>
      <c r="J681" t="s">
        <v>366</v>
      </c>
      <c r="AI681" t="s">
        <v>2748</v>
      </c>
      <c r="AN681">
        <v>0</v>
      </c>
      <c r="AO681" t="s">
        <v>1834</v>
      </c>
      <c r="AP681" t="s">
        <v>1834</v>
      </c>
      <c r="AQ681">
        <v>0</v>
      </c>
      <c r="AR681" t="s">
        <v>1835</v>
      </c>
    </row>
    <row r="682" spans="1:44" x14ac:dyDescent="0.25">
      <c r="A682" t="s">
        <v>1828</v>
      </c>
      <c r="B682" t="s">
        <v>2746</v>
      </c>
      <c r="D682" t="s">
        <v>2952</v>
      </c>
      <c r="G682" t="str">
        <f>CONCATENATE(Master_Packing_Database[[#This Row],[Exp '#]],Master_Packing_Database[[#This Row],[Batch '#]])</f>
        <v/>
      </c>
      <c r="I682" t="s">
        <v>2953</v>
      </c>
      <c r="J682" t="s">
        <v>1371</v>
      </c>
      <c r="AI682" t="s">
        <v>2748</v>
      </c>
      <c r="AN682">
        <v>0</v>
      </c>
      <c r="AO682" t="s">
        <v>1834</v>
      </c>
      <c r="AP682" t="s">
        <v>1834</v>
      </c>
      <c r="AQ682">
        <v>0</v>
      </c>
      <c r="AR682" t="s">
        <v>1835</v>
      </c>
    </row>
    <row r="683" spans="1:44" x14ac:dyDescent="0.25">
      <c r="A683" t="s">
        <v>1828</v>
      </c>
      <c r="B683" t="s">
        <v>2746</v>
      </c>
      <c r="D683" t="s">
        <v>2952</v>
      </c>
      <c r="G683" t="str">
        <f>CONCATENATE(Master_Packing_Database[[#This Row],[Exp '#]],Master_Packing_Database[[#This Row],[Batch '#]])</f>
        <v/>
      </c>
      <c r="I683" t="s">
        <v>2954</v>
      </c>
      <c r="J683" t="s">
        <v>1371</v>
      </c>
      <c r="AI683" t="s">
        <v>2748</v>
      </c>
      <c r="AN683">
        <v>0</v>
      </c>
      <c r="AO683" t="s">
        <v>1834</v>
      </c>
      <c r="AP683" t="s">
        <v>1834</v>
      </c>
      <c r="AQ683">
        <v>0</v>
      </c>
      <c r="AR683" t="s">
        <v>1835</v>
      </c>
    </row>
    <row r="684" spans="1:44" x14ac:dyDescent="0.25">
      <c r="A684" t="s">
        <v>1828</v>
      </c>
      <c r="B684" t="s">
        <v>2746</v>
      </c>
      <c r="D684" t="s">
        <v>2952</v>
      </c>
      <c r="G684" t="str">
        <f>CONCATENATE(Master_Packing_Database[[#This Row],[Exp '#]],Master_Packing_Database[[#This Row],[Batch '#]])</f>
        <v/>
      </c>
      <c r="I684" t="s">
        <v>2955</v>
      </c>
      <c r="J684" t="s">
        <v>1371</v>
      </c>
      <c r="AI684" t="s">
        <v>2748</v>
      </c>
      <c r="AN684">
        <v>0</v>
      </c>
      <c r="AO684" t="s">
        <v>1834</v>
      </c>
      <c r="AP684" t="s">
        <v>1834</v>
      </c>
      <c r="AQ684">
        <v>0</v>
      </c>
      <c r="AR684" t="s">
        <v>1835</v>
      </c>
    </row>
    <row r="685" spans="1:44" x14ac:dyDescent="0.25">
      <c r="A685" t="s">
        <v>1828</v>
      </c>
      <c r="B685" t="s">
        <v>2746</v>
      </c>
      <c r="D685" t="s">
        <v>2956</v>
      </c>
      <c r="G685" t="str">
        <f>CONCATENATE(Master_Packing_Database[[#This Row],[Exp '#]],Master_Packing_Database[[#This Row],[Batch '#]])</f>
        <v/>
      </c>
      <c r="I685" t="s">
        <v>2957</v>
      </c>
      <c r="J685" t="s">
        <v>1371</v>
      </c>
      <c r="AI685" t="s">
        <v>2748</v>
      </c>
      <c r="AN685">
        <v>0</v>
      </c>
      <c r="AO685" t="s">
        <v>1834</v>
      </c>
      <c r="AP685" t="s">
        <v>1834</v>
      </c>
      <c r="AQ685">
        <v>0</v>
      </c>
      <c r="AR685" t="s">
        <v>1835</v>
      </c>
    </row>
    <row r="686" spans="1:44" x14ac:dyDescent="0.25">
      <c r="A686" t="s">
        <v>1828</v>
      </c>
      <c r="B686" t="s">
        <v>2746</v>
      </c>
      <c r="D686" t="s">
        <v>2958</v>
      </c>
      <c r="G686" t="str">
        <f>CONCATENATE(Master_Packing_Database[[#This Row],[Exp '#]],Master_Packing_Database[[#This Row],[Batch '#]])</f>
        <v/>
      </c>
      <c r="I686" t="s">
        <v>2959</v>
      </c>
      <c r="J686" t="s">
        <v>366</v>
      </c>
      <c r="AI686" t="s">
        <v>2748</v>
      </c>
      <c r="AN686">
        <v>0</v>
      </c>
      <c r="AO686" t="s">
        <v>1834</v>
      </c>
      <c r="AP686" t="s">
        <v>1834</v>
      </c>
      <c r="AQ686">
        <v>0</v>
      </c>
      <c r="AR686" t="s">
        <v>1835</v>
      </c>
    </row>
    <row r="687" spans="1:44" x14ac:dyDescent="0.25">
      <c r="A687" t="s">
        <v>1828</v>
      </c>
      <c r="B687" t="s">
        <v>2746</v>
      </c>
      <c r="D687" t="s">
        <v>2864</v>
      </c>
      <c r="G687" t="str">
        <f>CONCATENATE(Master_Packing_Database[[#This Row],[Exp '#]],Master_Packing_Database[[#This Row],[Batch '#]])</f>
        <v/>
      </c>
      <c r="I687" t="s">
        <v>2960</v>
      </c>
      <c r="J687" t="s">
        <v>1371</v>
      </c>
      <c r="AI687" t="s">
        <v>29</v>
      </c>
      <c r="AN687">
        <v>0</v>
      </c>
      <c r="AO687" t="s">
        <v>1834</v>
      </c>
      <c r="AP687" t="s">
        <v>1834</v>
      </c>
      <c r="AQ687">
        <v>0</v>
      </c>
      <c r="AR687" t="s">
        <v>1835</v>
      </c>
    </row>
    <row r="688" spans="1:44" x14ac:dyDescent="0.25">
      <c r="A688" t="s">
        <v>1828</v>
      </c>
      <c r="B688" t="s">
        <v>2746</v>
      </c>
      <c r="D688" t="s">
        <v>2864</v>
      </c>
      <c r="G688" t="str">
        <f>CONCATENATE(Master_Packing_Database[[#This Row],[Exp '#]],Master_Packing_Database[[#This Row],[Batch '#]])</f>
        <v/>
      </c>
      <c r="I688" t="s">
        <v>2961</v>
      </c>
      <c r="J688" t="s">
        <v>1371</v>
      </c>
      <c r="AI688" t="s">
        <v>29</v>
      </c>
      <c r="AN688">
        <v>0</v>
      </c>
      <c r="AO688" t="s">
        <v>1834</v>
      </c>
      <c r="AP688" t="s">
        <v>1834</v>
      </c>
      <c r="AQ688">
        <v>0</v>
      </c>
      <c r="AR688" t="s">
        <v>1835</v>
      </c>
    </row>
    <row r="689" spans="1:44" x14ac:dyDescent="0.25">
      <c r="A689" t="s">
        <v>1828</v>
      </c>
      <c r="B689" t="s">
        <v>2746</v>
      </c>
      <c r="D689" t="s">
        <v>2864</v>
      </c>
      <c r="G689" t="str">
        <f>CONCATENATE(Master_Packing_Database[[#This Row],[Exp '#]],Master_Packing_Database[[#This Row],[Batch '#]])</f>
        <v/>
      </c>
      <c r="I689" t="s">
        <v>2962</v>
      </c>
      <c r="J689" t="s">
        <v>1371</v>
      </c>
      <c r="AI689" t="s">
        <v>29</v>
      </c>
      <c r="AN689">
        <v>0</v>
      </c>
      <c r="AO689" t="s">
        <v>1834</v>
      </c>
      <c r="AP689" t="s">
        <v>1834</v>
      </c>
      <c r="AQ689">
        <v>0</v>
      </c>
      <c r="AR689" t="s">
        <v>1835</v>
      </c>
    </row>
    <row r="690" spans="1:44" x14ac:dyDescent="0.25">
      <c r="A690" t="s">
        <v>1828</v>
      </c>
      <c r="B690" t="s">
        <v>2746</v>
      </c>
      <c r="D690" t="s">
        <v>2864</v>
      </c>
      <c r="G690" t="str">
        <f>CONCATENATE(Master_Packing_Database[[#This Row],[Exp '#]],Master_Packing_Database[[#This Row],[Batch '#]])</f>
        <v/>
      </c>
      <c r="I690" t="s">
        <v>2962</v>
      </c>
      <c r="J690" t="s">
        <v>1371</v>
      </c>
      <c r="AI690" t="s">
        <v>29</v>
      </c>
      <c r="AN690">
        <v>0</v>
      </c>
      <c r="AO690" t="s">
        <v>1834</v>
      </c>
      <c r="AP690" t="s">
        <v>1834</v>
      </c>
      <c r="AQ690">
        <v>0</v>
      </c>
      <c r="AR690" t="s">
        <v>1835</v>
      </c>
    </row>
    <row r="691" spans="1:44" x14ac:dyDescent="0.25">
      <c r="A691" t="s">
        <v>1828</v>
      </c>
      <c r="B691" t="s">
        <v>2746</v>
      </c>
      <c r="D691" t="s">
        <v>2785</v>
      </c>
      <c r="G691" t="str">
        <f>CONCATENATE(Master_Packing_Database[[#This Row],[Exp '#]],Master_Packing_Database[[#This Row],[Batch '#]])</f>
        <v/>
      </c>
      <c r="I691" t="s">
        <v>2963</v>
      </c>
      <c r="J691" t="s">
        <v>1371</v>
      </c>
      <c r="AI691" t="s">
        <v>889</v>
      </c>
      <c r="AN691">
        <v>0</v>
      </c>
      <c r="AO691" t="s">
        <v>1834</v>
      </c>
      <c r="AP691" t="s">
        <v>1834</v>
      </c>
      <c r="AQ691">
        <v>0</v>
      </c>
      <c r="AR691" t="s">
        <v>1835</v>
      </c>
    </row>
    <row r="692" spans="1:44" x14ac:dyDescent="0.25">
      <c r="A692" t="s">
        <v>1828</v>
      </c>
      <c r="B692" t="s">
        <v>2746</v>
      </c>
      <c r="D692" t="s">
        <v>2964</v>
      </c>
      <c r="G692" t="str">
        <f>CONCATENATE(Master_Packing_Database[[#This Row],[Exp '#]],Master_Packing_Database[[#This Row],[Batch '#]])</f>
        <v/>
      </c>
      <c r="I692" t="s">
        <v>2965</v>
      </c>
      <c r="J692" t="s">
        <v>1371</v>
      </c>
      <c r="AI692" t="s">
        <v>889</v>
      </c>
      <c r="AN692">
        <v>0</v>
      </c>
      <c r="AO692" t="s">
        <v>1834</v>
      </c>
      <c r="AP692" t="s">
        <v>1834</v>
      </c>
      <c r="AQ692">
        <v>0</v>
      </c>
      <c r="AR692" t="s">
        <v>1835</v>
      </c>
    </row>
    <row r="693" spans="1:44" x14ac:dyDescent="0.25">
      <c r="A693" t="s">
        <v>1828</v>
      </c>
      <c r="B693" t="s">
        <v>2746</v>
      </c>
      <c r="D693" t="s">
        <v>2770</v>
      </c>
      <c r="G693" t="str">
        <f>CONCATENATE(Master_Packing_Database[[#This Row],[Exp '#]],Master_Packing_Database[[#This Row],[Batch '#]])</f>
        <v/>
      </c>
      <c r="I693" t="s">
        <v>2966</v>
      </c>
      <c r="J693" t="s">
        <v>366</v>
      </c>
      <c r="AI693" t="s">
        <v>889</v>
      </c>
      <c r="AN693">
        <v>0</v>
      </c>
      <c r="AO693" t="s">
        <v>1834</v>
      </c>
      <c r="AP693" t="s">
        <v>1834</v>
      </c>
      <c r="AQ693">
        <v>0</v>
      </c>
      <c r="AR693" t="s">
        <v>1835</v>
      </c>
    </row>
    <row r="694" spans="1:44" x14ac:dyDescent="0.25">
      <c r="A694" t="s">
        <v>1828</v>
      </c>
      <c r="B694" t="s">
        <v>2746</v>
      </c>
      <c r="D694" t="s">
        <v>2919</v>
      </c>
      <c r="G694" t="str">
        <f>CONCATENATE(Master_Packing_Database[[#This Row],[Exp '#]],Master_Packing_Database[[#This Row],[Batch '#]])</f>
        <v/>
      </c>
      <c r="I694" t="s">
        <v>2967</v>
      </c>
      <c r="J694" t="s">
        <v>366</v>
      </c>
      <c r="AI694" t="s">
        <v>2968</v>
      </c>
      <c r="AN694">
        <v>0</v>
      </c>
      <c r="AO694" t="s">
        <v>1834</v>
      </c>
      <c r="AP694" t="s">
        <v>1834</v>
      </c>
      <c r="AQ694">
        <v>0</v>
      </c>
      <c r="AR694" t="s">
        <v>1835</v>
      </c>
    </row>
    <row r="695" spans="1:44" x14ac:dyDescent="0.25">
      <c r="A695" t="s">
        <v>1828</v>
      </c>
      <c r="B695" t="s">
        <v>2746</v>
      </c>
      <c r="D695" t="s">
        <v>2919</v>
      </c>
      <c r="G695" t="str">
        <f>CONCATENATE(Master_Packing_Database[[#This Row],[Exp '#]],Master_Packing_Database[[#This Row],[Batch '#]])</f>
        <v/>
      </c>
      <c r="I695" t="s">
        <v>2969</v>
      </c>
      <c r="J695" t="s">
        <v>366</v>
      </c>
      <c r="AI695" t="s">
        <v>2968</v>
      </c>
      <c r="AN695">
        <v>0</v>
      </c>
      <c r="AO695" t="s">
        <v>1834</v>
      </c>
      <c r="AP695" t="s">
        <v>1834</v>
      </c>
      <c r="AQ695">
        <v>0</v>
      </c>
      <c r="AR695" t="s">
        <v>1835</v>
      </c>
    </row>
    <row r="696" spans="1:44" x14ac:dyDescent="0.25">
      <c r="A696" t="s">
        <v>1828</v>
      </c>
      <c r="B696" t="s">
        <v>2746</v>
      </c>
      <c r="D696" t="s">
        <v>2921</v>
      </c>
      <c r="G696" t="str">
        <f>CONCATENATE(Master_Packing_Database[[#This Row],[Exp '#]],Master_Packing_Database[[#This Row],[Batch '#]])</f>
        <v/>
      </c>
      <c r="I696" t="s">
        <v>2922</v>
      </c>
      <c r="J696" t="s">
        <v>117</v>
      </c>
      <c r="AI696" t="s">
        <v>2968</v>
      </c>
      <c r="AN696">
        <v>0</v>
      </c>
      <c r="AO696" t="s">
        <v>1834</v>
      </c>
      <c r="AP696" t="s">
        <v>1834</v>
      </c>
      <c r="AQ696">
        <v>0</v>
      </c>
      <c r="AR696" t="s">
        <v>1835</v>
      </c>
    </row>
    <row r="697" spans="1:44" x14ac:dyDescent="0.25">
      <c r="A697" t="s">
        <v>1828</v>
      </c>
      <c r="B697" t="s">
        <v>2746</v>
      </c>
      <c r="D697" t="s">
        <v>2921</v>
      </c>
      <c r="G697" t="str">
        <f>CONCATENATE(Master_Packing_Database[[#This Row],[Exp '#]],Master_Packing_Database[[#This Row],[Batch '#]])</f>
        <v/>
      </c>
      <c r="I697" t="s">
        <v>2923</v>
      </c>
      <c r="J697" t="s">
        <v>117</v>
      </c>
      <c r="AI697" t="s">
        <v>2968</v>
      </c>
      <c r="AN697">
        <v>0</v>
      </c>
      <c r="AO697" t="s">
        <v>1834</v>
      </c>
      <c r="AP697" t="s">
        <v>1834</v>
      </c>
      <c r="AQ697">
        <v>0</v>
      </c>
      <c r="AR697" t="s">
        <v>1835</v>
      </c>
    </row>
    <row r="698" spans="1:44" x14ac:dyDescent="0.25">
      <c r="A698" t="s">
        <v>1828</v>
      </c>
      <c r="B698" t="s">
        <v>2746</v>
      </c>
      <c r="D698" t="s">
        <v>2900</v>
      </c>
      <c r="G698" t="str">
        <f>CONCATENATE(Master_Packing_Database[[#This Row],[Exp '#]],Master_Packing_Database[[#This Row],[Batch '#]])</f>
        <v/>
      </c>
      <c r="I698" t="s">
        <v>2970</v>
      </c>
      <c r="J698" t="s">
        <v>1371</v>
      </c>
      <c r="AI698" t="s">
        <v>2968</v>
      </c>
      <c r="AN698">
        <v>0</v>
      </c>
      <c r="AO698" t="s">
        <v>1834</v>
      </c>
      <c r="AP698" t="s">
        <v>1834</v>
      </c>
      <c r="AQ698">
        <v>0</v>
      </c>
      <c r="AR698" t="s">
        <v>1835</v>
      </c>
    </row>
    <row r="699" spans="1:44" x14ac:dyDescent="0.25">
      <c r="A699" t="s">
        <v>1828</v>
      </c>
      <c r="B699" t="s">
        <v>2746</v>
      </c>
      <c r="D699" t="s">
        <v>2900</v>
      </c>
      <c r="G699" t="str">
        <f>CONCATENATE(Master_Packing_Database[[#This Row],[Exp '#]],Master_Packing_Database[[#This Row],[Batch '#]])</f>
        <v/>
      </c>
      <c r="I699" t="s">
        <v>2859</v>
      </c>
      <c r="J699" t="s">
        <v>1371</v>
      </c>
      <c r="AI699" t="s">
        <v>2968</v>
      </c>
      <c r="AN699">
        <v>0</v>
      </c>
      <c r="AO699" t="s">
        <v>1834</v>
      </c>
      <c r="AP699" t="s">
        <v>1834</v>
      </c>
      <c r="AQ699">
        <v>0</v>
      </c>
      <c r="AR699" t="s">
        <v>1835</v>
      </c>
    </row>
    <row r="700" spans="1:44" x14ac:dyDescent="0.25">
      <c r="A700" t="s">
        <v>1828</v>
      </c>
      <c r="B700" t="s">
        <v>2746</v>
      </c>
      <c r="D700" t="s">
        <v>2900</v>
      </c>
      <c r="G700" t="str">
        <f>CONCATENATE(Master_Packing_Database[[#This Row],[Exp '#]],Master_Packing_Database[[#This Row],[Batch '#]])</f>
        <v/>
      </c>
      <c r="I700" t="s">
        <v>2971</v>
      </c>
      <c r="J700" t="s">
        <v>1371</v>
      </c>
      <c r="AI700" t="s">
        <v>2968</v>
      </c>
      <c r="AN700">
        <v>0</v>
      </c>
      <c r="AO700" t="s">
        <v>1834</v>
      </c>
      <c r="AP700" t="s">
        <v>1834</v>
      </c>
      <c r="AQ700">
        <v>0</v>
      </c>
      <c r="AR700" t="s">
        <v>1835</v>
      </c>
    </row>
    <row r="701" spans="1:44" x14ac:dyDescent="0.25">
      <c r="A701" t="s">
        <v>1828</v>
      </c>
      <c r="B701" t="s">
        <v>2746</v>
      </c>
      <c r="D701" t="s">
        <v>2900</v>
      </c>
      <c r="G701" t="str">
        <f>CONCATENATE(Master_Packing_Database[[#This Row],[Exp '#]],Master_Packing_Database[[#This Row],[Batch '#]])</f>
        <v/>
      </c>
      <c r="I701" t="s">
        <v>2972</v>
      </c>
      <c r="J701" t="s">
        <v>1371</v>
      </c>
      <c r="AI701" t="s">
        <v>2968</v>
      </c>
      <c r="AN701">
        <v>0</v>
      </c>
      <c r="AO701" t="s">
        <v>1834</v>
      </c>
      <c r="AP701" t="s">
        <v>1834</v>
      </c>
      <c r="AQ701">
        <v>0</v>
      </c>
      <c r="AR701" t="s">
        <v>1835</v>
      </c>
    </row>
    <row r="702" spans="1:44" x14ac:dyDescent="0.25">
      <c r="A702" t="s">
        <v>1828</v>
      </c>
      <c r="B702" t="s">
        <v>2746</v>
      </c>
      <c r="D702" t="s">
        <v>2900</v>
      </c>
      <c r="G702" t="str">
        <f>CONCATENATE(Master_Packing_Database[[#This Row],[Exp '#]],Master_Packing_Database[[#This Row],[Batch '#]])</f>
        <v/>
      </c>
      <c r="I702" t="s">
        <v>2972</v>
      </c>
      <c r="J702" t="s">
        <v>1371</v>
      </c>
      <c r="AI702" t="s">
        <v>2968</v>
      </c>
      <c r="AN702">
        <v>0</v>
      </c>
      <c r="AO702" t="s">
        <v>1834</v>
      </c>
      <c r="AP702" t="s">
        <v>1834</v>
      </c>
      <c r="AQ702">
        <v>0</v>
      </c>
      <c r="AR702" t="s">
        <v>1835</v>
      </c>
    </row>
    <row r="703" spans="1:44" x14ac:dyDescent="0.25">
      <c r="A703" t="s">
        <v>1828</v>
      </c>
      <c r="B703" t="s">
        <v>2746</v>
      </c>
      <c r="D703" t="s">
        <v>2912</v>
      </c>
      <c r="G703" t="str">
        <f>CONCATENATE(Master_Packing_Database[[#This Row],[Exp '#]],Master_Packing_Database[[#This Row],[Batch '#]])</f>
        <v/>
      </c>
      <c r="I703" t="s">
        <v>2973</v>
      </c>
      <c r="J703" t="s">
        <v>1371</v>
      </c>
      <c r="AI703" t="s">
        <v>2974</v>
      </c>
      <c r="AN703">
        <v>0</v>
      </c>
      <c r="AO703" t="s">
        <v>1834</v>
      </c>
      <c r="AP703" t="s">
        <v>1834</v>
      </c>
      <c r="AQ703">
        <v>0</v>
      </c>
      <c r="AR703" t="s">
        <v>1835</v>
      </c>
    </row>
    <row r="704" spans="1:44" x14ac:dyDescent="0.25">
      <c r="A704" t="s">
        <v>1828</v>
      </c>
      <c r="B704" t="s">
        <v>2746</v>
      </c>
      <c r="D704" t="s">
        <v>2770</v>
      </c>
      <c r="G704" t="str">
        <f>CONCATENATE(Master_Packing_Database[[#This Row],[Exp '#]],Master_Packing_Database[[#This Row],[Batch '#]])</f>
        <v/>
      </c>
      <c r="I704" t="s">
        <v>2835</v>
      </c>
      <c r="J704" t="s">
        <v>366</v>
      </c>
      <c r="AI704" t="s">
        <v>2975</v>
      </c>
      <c r="AN704">
        <v>0</v>
      </c>
      <c r="AO704" t="s">
        <v>1834</v>
      </c>
      <c r="AP704" t="s">
        <v>1834</v>
      </c>
      <c r="AQ704">
        <v>0</v>
      </c>
      <c r="AR704" t="s">
        <v>1835</v>
      </c>
    </row>
    <row r="705" spans="1:44" x14ac:dyDescent="0.25">
      <c r="A705" t="s">
        <v>1828</v>
      </c>
      <c r="B705" t="s">
        <v>2746</v>
      </c>
      <c r="D705" t="s">
        <v>2976</v>
      </c>
      <c r="G705" t="str">
        <f>CONCATENATE(Master_Packing_Database[[#This Row],[Exp '#]],Master_Packing_Database[[#This Row],[Batch '#]])</f>
        <v/>
      </c>
      <c r="I705" t="s">
        <v>2977</v>
      </c>
      <c r="J705" t="s">
        <v>1371</v>
      </c>
      <c r="AI705" t="s">
        <v>2974</v>
      </c>
      <c r="AN705">
        <v>0</v>
      </c>
      <c r="AO705" t="s">
        <v>1834</v>
      </c>
      <c r="AP705" t="s">
        <v>1834</v>
      </c>
      <c r="AQ705">
        <v>0</v>
      </c>
      <c r="AR705" t="s">
        <v>1835</v>
      </c>
    </row>
    <row r="706" spans="1:44" x14ac:dyDescent="0.25">
      <c r="A706" t="s">
        <v>1828</v>
      </c>
      <c r="B706" t="s">
        <v>2746</v>
      </c>
      <c r="D706" t="s">
        <v>2976</v>
      </c>
      <c r="G706" t="str">
        <f>CONCATENATE(Master_Packing_Database[[#This Row],[Exp '#]],Master_Packing_Database[[#This Row],[Batch '#]])</f>
        <v/>
      </c>
      <c r="I706" t="s">
        <v>2978</v>
      </c>
      <c r="J706" t="s">
        <v>1371</v>
      </c>
      <c r="AI706" t="s">
        <v>2974</v>
      </c>
      <c r="AN706">
        <v>0</v>
      </c>
      <c r="AO706" t="s">
        <v>1834</v>
      </c>
      <c r="AP706" t="s">
        <v>1834</v>
      </c>
      <c r="AQ706">
        <v>0</v>
      </c>
      <c r="AR706" t="s">
        <v>1835</v>
      </c>
    </row>
    <row r="707" spans="1:44" x14ac:dyDescent="0.25">
      <c r="A707" t="s">
        <v>1828</v>
      </c>
      <c r="B707" t="s">
        <v>2746</v>
      </c>
      <c r="D707" t="s">
        <v>2976</v>
      </c>
      <c r="G707" t="str">
        <f>CONCATENATE(Master_Packing_Database[[#This Row],[Exp '#]],Master_Packing_Database[[#This Row],[Batch '#]])</f>
        <v/>
      </c>
      <c r="I707" t="s">
        <v>2979</v>
      </c>
      <c r="J707" t="s">
        <v>117</v>
      </c>
      <c r="AI707" t="s">
        <v>2974</v>
      </c>
      <c r="AN707">
        <v>0</v>
      </c>
      <c r="AO707" t="s">
        <v>1834</v>
      </c>
      <c r="AP707" t="s">
        <v>1834</v>
      </c>
      <c r="AQ707">
        <v>0</v>
      </c>
      <c r="AR707" t="s">
        <v>1835</v>
      </c>
    </row>
    <row r="708" spans="1:44" x14ac:dyDescent="0.25">
      <c r="A708" t="s">
        <v>1828</v>
      </c>
      <c r="B708" t="s">
        <v>2746</v>
      </c>
      <c r="D708" t="s">
        <v>2976</v>
      </c>
      <c r="G708" t="str">
        <f>CONCATENATE(Master_Packing_Database[[#This Row],[Exp '#]],Master_Packing_Database[[#This Row],[Batch '#]])</f>
        <v/>
      </c>
      <c r="I708" t="s">
        <v>2980</v>
      </c>
      <c r="J708" t="s">
        <v>117</v>
      </c>
      <c r="AI708" t="s">
        <v>32</v>
      </c>
      <c r="AN708">
        <v>0</v>
      </c>
      <c r="AO708" t="s">
        <v>1834</v>
      </c>
      <c r="AP708" t="s">
        <v>1834</v>
      </c>
      <c r="AQ708">
        <v>0</v>
      </c>
      <c r="AR708" t="s">
        <v>1835</v>
      </c>
    </row>
    <row r="709" spans="1:44" x14ac:dyDescent="0.25">
      <c r="A709" t="s">
        <v>1828</v>
      </c>
      <c r="B709" t="s">
        <v>2746</v>
      </c>
      <c r="D709" t="s">
        <v>2976</v>
      </c>
      <c r="G709" t="str">
        <f>CONCATENATE(Master_Packing_Database[[#This Row],[Exp '#]],Master_Packing_Database[[#This Row],[Batch '#]])</f>
        <v/>
      </c>
      <c r="I709" t="s">
        <v>2981</v>
      </c>
      <c r="J709" t="s">
        <v>117</v>
      </c>
      <c r="AI709" t="s">
        <v>32</v>
      </c>
      <c r="AN709">
        <v>0</v>
      </c>
      <c r="AO709" t="s">
        <v>1834</v>
      </c>
      <c r="AP709" t="s">
        <v>1834</v>
      </c>
      <c r="AQ709">
        <v>0</v>
      </c>
      <c r="AR709" t="s">
        <v>1835</v>
      </c>
    </row>
    <row r="710" spans="1:44" x14ac:dyDescent="0.25">
      <c r="A710" t="s">
        <v>1828</v>
      </c>
      <c r="B710" t="s">
        <v>2746</v>
      </c>
      <c r="D710" t="s">
        <v>2982</v>
      </c>
      <c r="G710" t="str">
        <f>CONCATENATE(Master_Packing_Database[[#This Row],[Exp '#]],Master_Packing_Database[[#This Row],[Batch '#]])</f>
        <v/>
      </c>
      <c r="I710" t="s">
        <v>2983</v>
      </c>
      <c r="J710" t="s">
        <v>117</v>
      </c>
      <c r="AI710" t="s">
        <v>32</v>
      </c>
      <c r="AN710">
        <v>0</v>
      </c>
      <c r="AO710" t="s">
        <v>1834</v>
      </c>
      <c r="AP710" t="s">
        <v>1834</v>
      </c>
      <c r="AQ710">
        <v>0</v>
      </c>
      <c r="AR710" t="s">
        <v>1835</v>
      </c>
    </row>
    <row r="711" spans="1:44" x14ac:dyDescent="0.25">
      <c r="A711" t="s">
        <v>1828</v>
      </c>
      <c r="B711" t="s">
        <v>2746</v>
      </c>
      <c r="D711" t="s">
        <v>2982</v>
      </c>
      <c r="G711" t="str">
        <f>CONCATENATE(Master_Packing_Database[[#This Row],[Exp '#]],Master_Packing_Database[[#This Row],[Batch '#]])</f>
        <v/>
      </c>
      <c r="I711" t="s">
        <v>2984</v>
      </c>
      <c r="J711" t="s">
        <v>117</v>
      </c>
      <c r="AI711" t="s">
        <v>32</v>
      </c>
      <c r="AN711">
        <v>0</v>
      </c>
      <c r="AO711" t="s">
        <v>1834</v>
      </c>
      <c r="AP711" t="s">
        <v>1834</v>
      </c>
      <c r="AQ711">
        <v>0</v>
      </c>
      <c r="AR711" t="s">
        <v>1835</v>
      </c>
    </row>
    <row r="712" spans="1:44" x14ac:dyDescent="0.25">
      <c r="A712" t="s">
        <v>1828</v>
      </c>
      <c r="B712" t="s">
        <v>2746</v>
      </c>
      <c r="D712" t="s">
        <v>2985</v>
      </c>
      <c r="G712" t="str">
        <f>CONCATENATE(Master_Packing_Database[[#This Row],[Exp '#]],Master_Packing_Database[[#This Row],[Batch '#]])</f>
        <v/>
      </c>
      <c r="I712" t="s">
        <v>2986</v>
      </c>
      <c r="J712" t="s">
        <v>117</v>
      </c>
      <c r="AI712" t="s">
        <v>32</v>
      </c>
      <c r="AN712">
        <v>0</v>
      </c>
      <c r="AO712" t="s">
        <v>1834</v>
      </c>
      <c r="AP712" t="s">
        <v>1834</v>
      </c>
      <c r="AQ712">
        <v>0</v>
      </c>
      <c r="AR712" t="s">
        <v>1835</v>
      </c>
    </row>
    <row r="713" spans="1:44" x14ac:dyDescent="0.25">
      <c r="A713" t="s">
        <v>1828</v>
      </c>
      <c r="B713" t="s">
        <v>2746</v>
      </c>
      <c r="D713" t="s">
        <v>2985</v>
      </c>
      <c r="G713" t="str">
        <f>CONCATENATE(Master_Packing_Database[[#This Row],[Exp '#]],Master_Packing_Database[[#This Row],[Batch '#]])</f>
        <v/>
      </c>
      <c r="I713" t="s">
        <v>2987</v>
      </c>
      <c r="J713" t="s">
        <v>117</v>
      </c>
      <c r="AI713" t="s">
        <v>32</v>
      </c>
      <c r="AN713">
        <v>0</v>
      </c>
      <c r="AO713" t="s">
        <v>1834</v>
      </c>
      <c r="AP713" t="s">
        <v>1834</v>
      </c>
      <c r="AQ713">
        <v>0</v>
      </c>
      <c r="AR713" t="s">
        <v>1835</v>
      </c>
    </row>
    <row r="714" spans="1:44" x14ac:dyDescent="0.25">
      <c r="A714" t="s">
        <v>1828</v>
      </c>
      <c r="B714" t="s">
        <v>2746</v>
      </c>
      <c r="D714" t="s">
        <v>2900</v>
      </c>
      <c r="G714" t="str">
        <f>CONCATENATE(Master_Packing_Database[[#This Row],[Exp '#]],Master_Packing_Database[[#This Row],[Batch '#]])</f>
        <v/>
      </c>
      <c r="I714" t="s">
        <v>2988</v>
      </c>
      <c r="J714" t="s">
        <v>117</v>
      </c>
      <c r="AI714" t="s">
        <v>32</v>
      </c>
      <c r="AN714">
        <v>0</v>
      </c>
      <c r="AO714" t="s">
        <v>1834</v>
      </c>
      <c r="AP714" t="s">
        <v>1834</v>
      </c>
      <c r="AQ714">
        <v>0</v>
      </c>
      <c r="AR714" t="s">
        <v>1835</v>
      </c>
    </row>
    <row r="715" spans="1:44" x14ac:dyDescent="0.25">
      <c r="A715" t="s">
        <v>1828</v>
      </c>
      <c r="B715" t="s">
        <v>2746</v>
      </c>
      <c r="D715" t="s">
        <v>2900</v>
      </c>
      <c r="G715" t="str">
        <f>CONCATENATE(Master_Packing_Database[[#This Row],[Exp '#]],Master_Packing_Database[[#This Row],[Batch '#]])</f>
        <v/>
      </c>
      <c r="I715" t="s">
        <v>2989</v>
      </c>
      <c r="J715" t="s">
        <v>117</v>
      </c>
      <c r="AI715" t="s">
        <v>32</v>
      </c>
      <c r="AN715">
        <v>0</v>
      </c>
      <c r="AO715" t="s">
        <v>1834</v>
      </c>
      <c r="AP715" t="s">
        <v>1834</v>
      </c>
      <c r="AQ715">
        <v>0</v>
      </c>
      <c r="AR715" t="s">
        <v>1835</v>
      </c>
    </row>
    <row r="716" spans="1:44" x14ac:dyDescent="0.25">
      <c r="A716" t="s">
        <v>1828</v>
      </c>
      <c r="B716" t="s">
        <v>2746</v>
      </c>
      <c r="D716" t="s">
        <v>2900</v>
      </c>
      <c r="G716" t="str">
        <f>CONCATENATE(Master_Packing_Database[[#This Row],[Exp '#]],Master_Packing_Database[[#This Row],[Batch '#]])</f>
        <v/>
      </c>
      <c r="I716" t="s">
        <v>2990</v>
      </c>
      <c r="J716" t="s">
        <v>117</v>
      </c>
      <c r="AI716" t="s">
        <v>32</v>
      </c>
      <c r="AN716">
        <v>0</v>
      </c>
      <c r="AO716" t="s">
        <v>1834</v>
      </c>
      <c r="AP716" t="s">
        <v>1834</v>
      </c>
      <c r="AQ716">
        <v>0</v>
      </c>
      <c r="AR716" t="s">
        <v>1835</v>
      </c>
    </row>
    <row r="717" spans="1:44" x14ac:dyDescent="0.25">
      <c r="A717" t="s">
        <v>1828</v>
      </c>
      <c r="B717" t="s">
        <v>2746</v>
      </c>
      <c r="D717" t="s">
        <v>2900</v>
      </c>
      <c r="G717" t="str">
        <f>CONCATENATE(Master_Packing_Database[[#This Row],[Exp '#]],Master_Packing_Database[[#This Row],[Batch '#]])</f>
        <v/>
      </c>
      <c r="I717" t="s">
        <v>2991</v>
      </c>
      <c r="J717" t="s">
        <v>117</v>
      </c>
      <c r="AI717" t="s">
        <v>32</v>
      </c>
      <c r="AN717">
        <v>0</v>
      </c>
      <c r="AO717" t="s">
        <v>1834</v>
      </c>
      <c r="AP717" t="s">
        <v>1834</v>
      </c>
      <c r="AQ717">
        <v>0</v>
      </c>
      <c r="AR717" t="s">
        <v>1835</v>
      </c>
    </row>
    <row r="718" spans="1:44" x14ac:dyDescent="0.25">
      <c r="A718" t="s">
        <v>1828</v>
      </c>
      <c r="B718" t="s">
        <v>2746</v>
      </c>
      <c r="D718" t="s">
        <v>2900</v>
      </c>
      <c r="G718" t="str">
        <f>CONCATENATE(Master_Packing_Database[[#This Row],[Exp '#]],Master_Packing_Database[[#This Row],[Batch '#]])</f>
        <v/>
      </c>
      <c r="I718" t="s">
        <v>2992</v>
      </c>
      <c r="J718" t="s">
        <v>117</v>
      </c>
      <c r="AI718" t="s">
        <v>32</v>
      </c>
      <c r="AN718">
        <v>0</v>
      </c>
      <c r="AO718" t="s">
        <v>1834</v>
      </c>
      <c r="AP718" t="s">
        <v>1834</v>
      </c>
      <c r="AQ718">
        <v>0</v>
      </c>
      <c r="AR718" t="s">
        <v>1835</v>
      </c>
    </row>
    <row r="719" spans="1:44" x14ac:dyDescent="0.25">
      <c r="A719" t="s">
        <v>1828</v>
      </c>
      <c r="B719" t="s">
        <v>2746</v>
      </c>
      <c r="D719" t="s">
        <v>2900</v>
      </c>
      <c r="G719" t="str">
        <f>CONCATENATE(Master_Packing_Database[[#This Row],[Exp '#]],Master_Packing_Database[[#This Row],[Batch '#]])</f>
        <v/>
      </c>
      <c r="I719" t="s">
        <v>2993</v>
      </c>
      <c r="J719" t="s">
        <v>117</v>
      </c>
      <c r="AI719" t="s">
        <v>32</v>
      </c>
      <c r="AN719">
        <v>0</v>
      </c>
      <c r="AO719" t="s">
        <v>1834</v>
      </c>
      <c r="AP719" t="s">
        <v>1834</v>
      </c>
      <c r="AQ719">
        <v>0</v>
      </c>
      <c r="AR719" t="s">
        <v>1835</v>
      </c>
    </row>
    <row r="720" spans="1:44" x14ac:dyDescent="0.25">
      <c r="A720" t="s">
        <v>1828</v>
      </c>
      <c r="B720" t="s">
        <v>2746</v>
      </c>
      <c r="D720" t="s">
        <v>2900</v>
      </c>
      <c r="G720" t="str">
        <f>CONCATENATE(Master_Packing_Database[[#This Row],[Exp '#]],Master_Packing_Database[[#This Row],[Batch '#]])</f>
        <v/>
      </c>
      <c r="I720" t="s">
        <v>2994</v>
      </c>
      <c r="J720" t="s">
        <v>117</v>
      </c>
      <c r="AI720" t="s">
        <v>32</v>
      </c>
      <c r="AN720">
        <v>0</v>
      </c>
      <c r="AO720" t="s">
        <v>1834</v>
      </c>
      <c r="AP720" t="s">
        <v>1834</v>
      </c>
      <c r="AQ720">
        <v>0</v>
      </c>
      <c r="AR720" t="s">
        <v>1835</v>
      </c>
    </row>
    <row r="721" spans="1:44" x14ac:dyDescent="0.25">
      <c r="A721" t="s">
        <v>1828</v>
      </c>
      <c r="B721" t="s">
        <v>2746</v>
      </c>
      <c r="D721" t="s">
        <v>2985</v>
      </c>
      <c r="G721" t="str">
        <f>CONCATENATE(Master_Packing_Database[[#This Row],[Exp '#]],Master_Packing_Database[[#This Row],[Batch '#]])</f>
        <v/>
      </c>
      <c r="I721" t="s">
        <v>2995</v>
      </c>
      <c r="J721" t="s">
        <v>366</v>
      </c>
      <c r="AI721" t="s">
        <v>2975</v>
      </c>
      <c r="AN721">
        <v>0</v>
      </c>
      <c r="AO721" t="s">
        <v>1834</v>
      </c>
      <c r="AP721" t="s">
        <v>1834</v>
      </c>
      <c r="AQ721">
        <v>0</v>
      </c>
      <c r="AR721" t="s">
        <v>1835</v>
      </c>
    </row>
    <row r="722" spans="1:44" x14ac:dyDescent="0.25">
      <c r="A722" t="s">
        <v>1828</v>
      </c>
      <c r="B722" t="s">
        <v>2746</v>
      </c>
      <c r="D722" t="s">
        <v>2900</v>
      </c>
      <c r="G722" t="str">
        <f>CONCATENATE(Master_Packing_Database[[#This Row],[Exp '#]],Master_Packing_Database[[#This Row],[Batch '#]])</f>
        <v/>
      </c>
      <c r="I722" t="s">
        <v>2996</v>
      </c>
      <c r="J722" t="s">
        <v>366</v>
      </c>
      <c r="AI722" t="s">
        <v>32</v>
      </c>
      <c r="AN722">
        <v>0</v>
      </c>
      <c r="AO722" t="s">
        <v>1834</v>
      </c>
      <c r="AP722" t="s">
        <v>1834</v>
      </c>
      <c r="AQ722">
        <v>0</v>
      </c>
      <c r="AR722" t="s">
        <v>1835</v>
      </c>
    </row>
    <row r="723" spans="1:44" x14ac:dyDescent="0.25">
      <c r="A723" t="s">
        <v>1828</v>
      </c>
      <c r="B723" t="s">
        <v>2746</v>
      </c>
      <c r="D723" t="s">
        <v>1857</v>
      </c>
      <c r="G723" t="str">
        <f>CONCATENATE(Master_Packing_Database[[#This Row],[Exp '#]],Master_Packing_Database[[#This Row],[Batch '#]])</f>
        <v/>
      </c>
      <c r="I723" t="s">
        <v>2931</v>
      </c>
      <c r="J723" t="s">
        <v>1371</v>
      </c>
      <c r="AI723" t="s">
        <v>32</v>
      </c>
      <c r="AN723">
        <v>0</v>
      </c>
      <c r="AO723" t="s">
        <v>1834</v>
      </c>
      <c r="AP723" t="s">
        <v>1834</v>
      </c>
      <c r="AQ723">
        <v>0</v>
      </c>
      <c r="AR723" t="s">
        <v>1835</v>
      </c>
    </row>
    <row r="724" spans="1:44" x14ac:dyDescent="0.25">
      <c r="A724" t="s">
        <v>1828</v>
      </c>
      <c r="B724" t="s">
        <v>2746</v>
      </c>
      <c r="D724" t="s">
        <v>1857</v>
      </c>
      <c r="G724" t="str">
        <f>CONCATENATE(Master_Packing_Database[[#This Row],[Exp '#]],Master_Packing_Database[[#This Row],[Batch '#]])</f>
        <v/>
      </c>
      <c r="I724" t="s">
        <v>2928</v>
      </c>
      <c r="J724" t="s">
        <v>1371</v>
      </c>
      <c r="AI724" t="s">
        <v>32</v>
      </c>
      <c r="AN724">
        <v>0</v>
      </c>
      <c r="AO724" t="s">
        <v>1834</v>
      </c>
      <c r="AP724" t="s">
        <v>1834</v>
      </c>
      <c r="AQ724">
        <v>0</v>
      </c>
      <c r="AR724" t="s">
        <v>1835</v>
      </c>
    </row>
    <row r="725" spans="1:44" x14ac:dyDescent="0.25">
      <c r="A725" t="s">
        <v>1828</v>
      </c>
      <c r="B725" t="s">
        <v>2746</v>
      </c>
      <c r="D725" t="s">
        <v>2985</v>
      </c>
      <c r="G725" t="str">
        <f>CONCATENATE(Master_Packing_Database[[#This Row],[Exp '#]],Master_Packing_Database[[#This Row],[Batch '#]])</f>
        <v/>
      </c>
      <c r="I725" t="s">
        <v>2986</v>
      </c>
      <c r="J725" t="s">
        <v>1371</v>
      </c>
      <c r="AI725" t="s">
        <v>32</v>
      </c>
      <c r="AN725">
        <v>0</v>
      </c>
      <c r="AO725" t="s">
        <v>1834</v>
      </c>
      <c r="AP725" t="s">
        <v>1834</v>
      </c>
      <c r="AQ725">
        <v>0</v>
      </c>
      <c r="AR725" t="s">
        <v>1835</v>
      </c>
    </row>
    <row r="726" spans="1:44" x14ac:dyDescent="0.25">
      <c r="A726" t="s">
        <v>1828</v>
      </c>
      <c r="B726" t="s">
        <v>2746</v>
      </c>
      <c r="D726" t="s">
        <v>2985</v>
      </c>
      <c r="G726" t="str">
        <f>CONCATENATE(Master_Packing_Database[[#This Row],[Exp '#]],Master_Packing_Database[[#This Row],[Batch '#]])</f>
        <v/>
      </c>
      <c r="I726" t="s">
        <v>2987</v>
      </c>
      <c r="J726" t="s">
        <v>1371</v>
      </c>
      <c r="AI726" t="s">
        <v>32</v>
      </c>
      <c r="AN726">
        <v>0</v>
      </c>
      <c r="AO726" t="s">
        <v>1834</v>
      </c>
      <c r="AP726" t="s">
        <v>1834</v>
      </c>
      <c r="AQ726">
        <v>0</v>
      </c>
      <c r="AR726" t="s">
        <v>1835</v>
      </c>
    </row>
    <row r="727" spans="1:44" x14ac:dyDescent="0.25">
      <c r="A727" t="s">
        <v>1828</v>
      </c>
      <c r="B727" t="s">
        <v>2746</v>
      </c>
      <c r="D727" t="s">
        <v>2900</v>
      </c>
      <c r="G727" t="str">
        <f>CONCATENATE(Master_Packing_Database[[#This Row],[Exp '#]],Master_Packing_Database[[#This Row],[Batch '#]])</f>
        <v/>
      </c>
      <c r="I727" t="s">
        <v>2997</v>
      </c>
      <c r="J727" t="s">
        <v>1371</v>
      </c>
      <c r="AI727" t="s">
        <v>32</v>
      </c>
      <c r="AN727">
        <v>0</v>
      </c>
      <c r="AO727" t="s">
        <v>1834</v>
      </c>
      <c r="AP727" t="s">
        <v>1834</v>
      </c>
      <c r="AQ727">
        <v>0</v>
      </c>
      <c r="AR727" t="s">
        <v>1835</v>
      </c>
    </row>
    <row r="728" spans="1:44" x14ac:dyDescent="0.25">
      <c r="A728" t="s">
        <v>1828</v>
      </c>
      <c r="B728" t="s">
        <v>2746</v>
      </c>
      <c r="D728" t="s">
        <v>2900</v>
      </c>
      <c r="G728" t="str">
        <f>CONCATENATE(Master_Packing_Database[[#This Row],[Exp '#]],Master_Packing_Database[[#This Row],[Batch '#]])</f>
        <v/>
      </c>
      <c r="I728" t="s">
        <v>2998</v>
      </c>
      <c r="J728" t="s">
        <v>1371</v>
      </c>
      <c r="AI728" t="s">
        <v>32</v>
      </c>
      <c r="AN728">
        <v>0</v>
      </c>
      <c r="AO728" t="s">
        <v>1834</v>
      </c>
      <c r="AP728" t="s">
        <v>1834</v>
      </c>
      <c r="AQ728">
        <v>0</v>
      </c>
      <c r="AR728" t="s">
        <v>1835</v>
      </c>
    </row>
    <row r="729" spans="1:44" x14ac:dyDescent="0.25">
      <c r="A729" t="s">
        <v>1828</v>
      </c>
      <c r="B729" t="s">
        <v>2746</v>
      </c>
      <c r="D729" t="s">
        <v>2900</v>
      </c>
      <c r="G729" t="str">
        <f>CONCATENATE(Master_Packing_Database[[#This Row],[Exp '#]],Master_Packing_Database[[#This Row],[Batch '#]])</f>
        <v/>
      </c>
      <c r="I729" t="s">
        <v>2999</v>
      </c>
      <c r="J729" t="s">
        <v>1371</v>
      </c>
      <c r="AI729" t="s">
        <v>32</v>
      </c>
      <c r="AN729">
        <v>0</v>
      </c>
      <c r="AO729" t="s">
        <v>1834</v>
      </c>
      <c r="AP729" t="s">
        <v>1834</v>
      </c>
      <c r="AQ729">
        <v>0</v>
      </c>
      <c r="AR729" t="s">
        <v>1835</v>
      </c>
    </row>
    <row r="730" spans="1:44" x14ac:dyDescent="0.25">
      <c r="A730" t="s">
        <v>1828</v>
      </c>
      <c r="B730" t="s">
        <v>2746</v>
      </c>
      <c r="D730" t="s">
        <v>3000</v>
      </c>
      <c r="G730" t="str">
        <f>CONCATENATE(Master_Packing_Database[[#This Row],[Exp '#]],Master_Packing_Database[[#This Row],[Batch '#]])</f>
        <v/>
      </c>
      <c r="I730" t="s">
        <v>2939</v>
      </c>
      <c r="J730" t="s">
        <v>366</v>
      </c>
      <c r="AI730" t="s">
        <v>32</v>
      </c>
      <c r="AN730">
        <v>0</v>
      </c>
      <c r="AO730" t="s">
        <v>1834</v>
      </c>
      <c r="AP730" t="s">
        <v>1834</v>
      </c>
      <c r="AQ730">
        <v>0</v>
      </c>
      <c r="AR730" t="s">
        <v>1835</v>
      </c>
    </row>
    <row r="731" spans="1:44" x14ac:dyDescent="0.25">
      <c r="A731" t="s">
        <v>1828</v>
      </c>
      <c r="B731" t="s">
        <v>2746</v>
      </c>
      <c r="D731" t="s">
        <v>3000</v>
      </c>
      <c r="G731" t="str">
        <f>CONCATENATE(Master_Packing_Database[[#This Row],[Exp '#]],Master_Packing_Database[[#This Row],[Batch '#]])</f>
        <v/>
      </c>
      <c r="I731" t="s">
        <v>2940</v>
      </c>
      <c r="J731" t="s">
        <v>366</v>
      </c>
      <c r="AI731" t="s">
        <v>32</v>
      </c>
      <c r="AN731">
        <v>0</v>
      </c>
      <c r="AO731" t="s">
        <v>1834</v>
      </c>
      <c r="AP731" t="s">
        <v>1834</v>
      </c>
      <c r="AQ731">
        <v>0</v>
      </c>
      <c r="AR731" t="s">
        <v>1835</v>
      </c>
    </row>
    <row r="732" spans="1:44" x14ac:dyDescent="0.25">
      <c r="A732" t="s">
        <v>1828</v>
      </c>
      <c r="B732" t="s">
        <v>2746</v>
      </c>
      <c r="D732" t="s">
        <v>3000</v>
      </c>
      <c r="G732" t="str">
        <f>CONCATENATE(Master_Packing_Database[[#This Row],[Exp '#]],Master_Packing_Database[[#This Row],[Batch '#]])</f>
        <v/>
      </c>
      <c r="I732" t="s">
        <v>2883</v>
      </c>
      <c r="J732" t="s">
        <v>366</v>
      </c>
      <c r="AI732" t="s">
        <v>32</v>
      </c>
      <c r="AN732">
        <v>0</v>
      </c>
      <c r="AO732" t="s">
        <v>1834</v>
      </c>
      <c r="AP732" t="s">
        <v>1834</v>
      </c>
      <c r="AQ732">
        <v>0</v>
      </c>
      <c r="AR732" t="s">
        <v>1835</v>
      </c>
    </row>
    <row r="733" spans="1:44" x14ac:dyDescent="0.25">
      <c r="A733" t="s">
        <v>1828</v>
      </c>
      <c r="B733" t="s">
        <v>2746</v>
      </c>
      <c r="D733" t="s">
        <v>2949</v>
      </c>
      <c r="G733" t="str">
        <f>CONCATENATE(Master_Packing_Database[[#This Row],[Exp '#]],Master_Packing_Database[[#This Row],[Batch '#]])</f>
        <v/>
      </c>
      <c r="I733" t="s">
        <v>3001</v>
      </c>
      <c r="J733" t="s">
        <v>366</v>
      </c>
      <c r="AI733" t="s">
        <v>32</v>
      </c>
      <c r="AN733">
        <v>0</v>
      </c>
      <c r="AO733" t="s">
        <v>1834</v>
      </c>
      <c r="AP733" t="s">
        <v>1834</v>
      </c>
      <c r="AQ733">
        <v>0</v>
      </c>
      <c r="AR733" t="s">
        <v>1835</v>
      </c>
    </row>
    <row r="734" spans="1:44" x14ac:dyDescent="0.25">
      <c r="A734" t="s">
        <v>1828</v>
      </c>
      <c r="B734" t="s">
        <v>2746</v>
      </c>
      <c r="D734" t="s">
        <v>2949</v>
      </c>
      <c r="G734" t="str">
        <f>CONCATENATE(Master_Packing_Database[[#This Row],[Exp '#]],Master_Packing_Database[[#This Row],[Batch '#]])</f>
        <v/>
      </c>
      <c r="I734" t="s">
        <v>3002</v>
      </c>
      <c r="J734" t="s">
        <v>366</v>
      </c>
      <c r="AI734" t="s">
        <v>32</v>
      </c>
      <c r="AN734">
        <v>0</v>
      </c>
      <c r="AO734" t="s">
        <v>1834</v>
      </c>
      <c r="AP734" t="s">
        <v>1834</v>
      </c>
      <c r="AQ734">
        <v>0</v>
      </c>
      <c r="AR734" t="s">
        <v>1835</v>
      </c>
    </row>
    <row r="735" spans="1:44" x14ac:dyDescent="0.25">
      <c r="A735" t="s">
        <v>1828</v>
      </c>
      <c r="B735" t="s">
        <v>2746</v>
      </c>
      <c r="D735" t="s">
        <v>2949</v>
      </c>
      <c r="G735" t="str">
        <f>CONCATENATE(Master_Packing_Database[[#This Row],[Exp '#]],Master_Packing_Database[[#This Row],[Batch '#]])</f>
        <v/>
      </c>
      <c r="I735" t="s">
        <v>2923</v>
      </c>
      <c r="J735" t="s">
        <v>366</v>
      </c>
      <c r="AI735" t="s">
        <v>32</v>
      </c>
      <c r="AN735">
        <v>0</v>
      </c>
      <c r="AO735" t="s">
        <v>1834</v>
      </c>
      <c r="AP735" t="s">
        <v>1834</v>
      </c>
      <c r="AQ735">
        <v>0</v>
      </c>
      <c r="AR735" t="s">
        <v>1835</v>
      </c>
    </row>
    <row r="736" spans="1:44" x14ac:dyDescent="0.25">
      <c r="A736" t="s">
        <v>1828</v>
      </c>
      <c r="B736" t="s">
        <v>2746</v>
      </c>
      <c r="D736" t="s">
        <v>2949</v>
      </c>
      <c r="G736" t="str">
        <f>CONCATENATE(Master_Packing_Database[[#This Row],[Exp '#]],Master_Packing_Database[[#This Row],[Batch '#]])</f>
        <v/>
      </c>
      <c r="I736" t="s">
        <v>2922</v>
      </c>
      <c r="J736" t="s">
        <v>366</v>
      </c>
      <c r="AI736" t="s">
        <v>32</v>
      </c>
      <c r="AN736">
        <v>0</v>
      </c>
      <c r="AO736" t="s">
        <v>1834</v>
      </c>
      <c r="AP736" t="s">
        <v>1834</v>
      </c>
      <c r="AQ736">
        <v>0</v>
      </c>
      <c r="AR736" t="s">
        <v>1835</v>
      </c>
    </row>
    <row r="737" spans="1:44" x14ac:dyDescent="0.25">
      <c r="A737" t="s">
        <v>1828</v>
      </c>
      <c r="B737" t="s">
        <v>2746</v>
      </c>
      <c r="D737" t="s">
        <v>2949</v>
      </c>
      <c r="G737" t="str">
        <f>CONCATENATE(Master_Packing_Database[[#This Row],[Exp '#]],Master_Packing_Database[[#This Row],[Batch '#]])</f>
        <v/>
      </c>
      <c r="I737" t="s">
        <v>3003</v>
      </c>
      <c r="J737" t="s">
        <v>366</v>
      </c>
      <c r="AI737" t="s">
        <v>32</v>
      </c>
      <c r="AN737">
        <v>0</v>
      </c>
      <c r="AO737" t="s">
        <v>1834</v>
      </c>
      <c r="AP737" t="s">
        <v>1834</v>
      </c>
      <c r="AQ737">
        <v>0</v>
      </c>
      <c r="AR737" t="s">
        <v>1835</v>
      </c>
    </row>
    <row r="738" spans="1:44" x14ac:dyDescent="0.25">
      <c r="A738" t="s">
        <v>1828</v>
      </c>
      <c r="B738" t="s">
        <v>2746</v>
      </c>
      <c r="D738" t="s">
        <v>2900</v>
      </c>
      <c r="G738" t="str">
        <f>CONCATENATE(Master_Packing_Database[[#This Row],[Exp '#]],Master_Packing_Database[[#This Row],[Batch '#]])</f>
        <v/>
      </c>
      <c r="I738" t="s">
        <v>3004</v>
      </c>
      <c r="J738" t="s">
        <v>366</v>
      </c>
      <c r="AI738" t="s">
        <v>32</v>
      </c>
      <c r="AN738">
        <v>0</v>
      </c>
      <c r="AO738" t="s">
        <v>1834</v>
      </c>
      <c r="AP738" t="s">
        <v>1834</v>
      </c>
      <c r="AQ738">
        <v>0</v>
      </c>
      <c r="AR738" t="s">
        <v>1835</v>
      </c>
    </row>
    <row r="739" spans="1:44" x14ac:dyDescent="0.25">
      <c r="A739" t="s">
        <v>1828</v>
      </c>
      <c r="B739" t="s">
        <v>2746</v>
      </c>
      <c r="D739" t="s">
        <v>3005</v>
      </c>
      <c r="G739" t="str">
        <f>CONCATENATE(Master_Packing_Database[[#This Row],[Exp '#]],Master_Packing_Database[[#This Row],[Batch '#]])</f>
        <v/>
      </c>
      <c r="I739" t="s">
        <v>3006</v>
      </c>
      <c r="J739" t="s">
        <v>366</v>
      </c>
      <c r="AI739" t="s">
        <v>32</v>
      </c>
      <c r="AN739">
        <v>0</v>
      </c>
      <c r="AO739" t="s">
        <v>1834</v>
      </c>
      <c r="AP739" t="s">
        <v>1834</v>
      </c>
      <c r="AQ739">
        <v>0</v>
      </c>
      <c r="AR739" t="s">
        <v>1835</v>
      </c>
    </row>
    <row r="740" spans="1:44" x14ac:dyDescent="0.25">
      <c r="A740" t="s">
        <v>1828</v>
      </c>
      <c r="B740" t="s">
        <v>2746</v>
      </c>
      <c r="D740" t="s">
        <v>3005</v>
      </c>
      <c r="G740" t="str">
        <f>CONCATENATE(Master_Packing_Database[[#This Row],[Exp '#]],Master_Packing_Database[[#This Row],[Batch '#]])</f>
        <v/>
      </c>
      <c r="I740" t="s">
        <v>3007</v>
      </c>
      <c r="J740" t="s">
        <v>366</v>
      </c>
      <c r="AI740" t="s">
        <v>32</v>
      </c>
      <c r="AN740">
        <v>0</v>
      </c>
      <c r="AO740" t="s">
        <v>1834</v>
      </c>
      <c r="AP740" t="s">
        <v>1834</v>
      </c>
      <c r="AQ740">
        <v>0</v>
      </c>
      <c r="AR740" t="s">
        <v>1835</v>
      </c>
    </row>
    <row r="741" spans="1:44" x14ac:dyDescent="0.25">
      <c r="A741" t="s">
        <v>1828</v>
      </c>
      <c r="B741" t="s">
        <v>2746</v>
      </c>
      <c r="D741" t="s">
        <v>3008</v>
      </c>
      <c r="G741" t="str">
        <f>CONCATENATE(Master_Packing_Database[[#This Row],[Exp '#]],Master_Packing_Database[[#This Row],[Batch '#]])</f>
        <v/>
      </c>
      <c r="I741" t="s">
        <v>3009</v>
      </c>
      <c r="J741" t="s">
        <v>366</v>
      </c>
      <c r="AI741" t="s">
        <v>2975</v>
      </c>
      <c r="AN741">
        <v>0</v>
      </c>
      <c r="AO741" t="s">
        <v>1834</v>
      </c>
      <c r="AP741" t="s">
        <v>1834</v>
      </c>
      <c r="AQ741">
        <v>0</v>
      </c>
      <c r="AR741" t="s">
        <v>1835</v>
      </c>
    </row>
    <row r="742" spans="1:44" x14ac:dyDescent="0.25">
      <c r="A742" t="s">
        <v>1828</v>
      </c>
      <c r="B742" t="s">
        <v>2746</v>
      </c>
      <c r="D742" t="s">
        <v>3010</v>
      </c>
      <c r="G742" t="str">
        <f>CONCATENATE(Master_Packing_Database[[#This Row],[Exp '#]],Master_Packing_Database[[#This Row],[Batch '#]])</f>
        <v/>
      </c>
      <c r="I742" t="s">
        <v>3011</v>
      </c>
      <c r="J742" t="s">
        <v>366</v>
      </c>
      <c r="AI742" t="s">
        <v>32</v>
      </c>
      <c r="AN742">
        <v>0</v>
      </c>
      <c r="AO742" t="s">
        <v>1834</v>
      </c>
      <c r="AP742" t="s">
        <v>1834</v>
      </c>
      <c r="AQ742">
        <v>0</v>
      </c>
      <c r="AR742" t="s">
        <v>1835</v>
      </c>
    </row>
    <row r="743" spans="1:44" x14ac:dyDescent="0.25">
      <c r="A743" t="s">
        <v>1828</v>
      </c>
      <c r="B743" t="s">
        <v>2746</v>
      </c>
      <c r="D743" t="s">
        <v>3010</v>
      </c>
      <c r="G743" t="str">
        <f>CONCATENATE(Master_Packing_Database[[#This Row],[Exp '#]],Master_Packing_Database[[#This Row],[Batch '#]])</f>
        <v/>
      </c>
      <c r="I743" t="s">
        <v>3012</v>
      </c>
      <c r="J743" t="s">
        <v>366</v>
      </c>
      <c r="AI743" t="s">
        <v>32</v>
      </c>
      <c r="AN743">
        <v>0</v>
      </c>
      <c r="AO743" t="s">
        <v>1834</v>
      </c>
      <c r="AP743" t="s">
        <v>1834</v>
      </c>
      <c r="AQ743">
        <v>0</v>
      </c>
      <c r="AR743" t="s">
        <v>1835</v>
      </c>
    </row>
    <row r="744" spans="1:44" x14ac:dyDescent="0.25">
      <c r="A744" t="s">
        <v>1828</v>
      </c>
      <c r="B744" t="s">
        <v>2746</v>
      </c>
      <c r="D744" t="s">
        <v>3005</v>
      </c>
      <c r="G744" t="str">
        <f>CONCATENATE(Master_Packing_Database[[#This Row],[Exp '#]],Master_Packing_Database[[#This Row],[Batch '#]])</f>
        <v/>
      </c>
      <c r="I744" t="s">
        <v>2931</v>
      </c>
      <c r="J744" t="s">
        <v>1371</v>
      </c>
      <c r="AI744" t="s">
        <v>32</v>
      </c>
      <c r="AN744">
        <v>0</v>
      </c>
      <c r="AO744" t="s">
        <v>1834</v>
      </c>
      <c r="AP744" t="s">
        <v>1834</v>
      </c>
      <c r="AQ744">
        <v>0</v>
      </c>
      <c r="AR744" t="s">
        <v>1835</v>
      </c>
    </row>
    <row r="745" spans="1:44" x14ac:dyDescent="0.25">
      <c r="A745" t="s">
        <v>1828</v>
      </c>
      <c r="B745" t="s">
        <v>2746</v>
      </c>
      <c r="D745" t="s">
        <v>3005</v>
      </c>
      <c r="G745" t="str">
        <f>CONCATENATE(Master_Packing_Database[[#This Row],[Exp '#]],Master_Packing_Database[[#This Row],[Batch '#]])</f>
        <v/>
      </c>
      <c r="I745" t="s">
        <v>2928</v>
      </c>
      <c r="J745" t="s">
        <v>1371</v>
      </c>
      <c r="AI745" t="s">
        <v>32</v>
      </c>
      <c r="AN745">
        <v>0</v>
      </c>
      <c r="AO745" t="s">
        <v>1834</v>
      </c>
      <c r="AP745" t="s">
        <v>1834</v>
      </c>
      <c r="AQ745">
        <v>0</v>
      </c>
      <c r="AR745" t="s">
        <v>1835</v>
      </c>
    </row>
    <row r="746" spans="1:44" x14ac:dyDescent="0.25">
      <c r="A746" t="s">
        <v>1828</v>
      </c>
      <c r="B746" t="s">
        <v>2746</v>
      </c>
      <c r="D746" t="s">
        <v>3013</v>
      </c>
      <c r="G746" t="str">
        <f>CONCATENATE(Master_Packing_Database[[#This Row],[Exp '#]],Master_Packing_Database[[#This Row],[Batch '#]])</f>
        <v/>
      </c>
      <c r="I746" t="s">
        <v>2922</v>
      </c>
      <c r="J746" t="s">
        <v>117</v>
      </c>
      <c r="AI746" t="s">
        <v>32</v>
      </c>
      <c r="AN746">
        <v>0</v>
      </c>
      <c r="AO746" t="s">
        <v>1834</v>
      </c>
      <c r="AP746" t="s">
        <v>1834</v>
      </c>
      <c r="AQ746">
        <v>0</v>
      </c>
      <c r="AR746" t="s">
        <v>1835</v>
      </c>
    </row>
    <row r="747" spans="1:44" x14ac:dyDescent="0.25">
      <c r="A747" t="s">
        <v>1828</v>
      </c>
      <c r="B747" t="s">
        <v>2746</v>
      </c>
      <c r="D747" t="s">
        <v>3013</v>
      </c>
      <c r="G747" t="str">
        <f>CONCATENATE(Master_Packing_Database[[#This Row],[Exp '#]],Master_Packing_Database[[#This Row],[Batch '#]])</f>
        <v/>
      </c>
      <c r="I747" t="s">
        <v>2923</v>
      </c>
      <c r="J747" t="s">
        <v>117</v>
      </c>
      <c r="AI747" t="s">
        <v>32</v>
      </c>
      <c r="AN747">
        <v>0</v>
      </c>
      <c r="AO747" t="s">
        <v>1834</v>
      </c>
      <c r="AP747" t="s">
        <v>1834</v>
      </c>
      <c r="AQ747">
        <v>0</v>
      </c>
      <c r="AR747" t="s">
        <v>1835</v>
      </c>
    </row>
    <row r="748" spans="1:44" x14ac:dyDescent="0.25">
      <c r="A748" t="s">
        <v>1828</v>
      </c>
      <c r="B748" t="s">
        <v>2746</v>
      </c>
      <c r="D748" t="s">
        <v>3013</v>
      </c>
      <c r="G748" t="str">
        <f>CONCATENATE(Master_Packing_Database[[#This Row],[Exp '#]],Master_Packing_Database[[#This Row],[Batch '#]])</f>
        <v/>
      </c>
      <c r="I748" t="s">
        <v>2922</v>
      </c>
      <c r="J748" t="s">
        <v>117</v>
      </c>
      <c r="AI748" t="s">
        <v>32</v>
      </c>
      <c r="AN748">
        <v>0</v>
      </c>
      <c r="AO748" t="s">
        <v>1834</v>
      </c>
      <c r="AP748" t="s">
        <v>1834</v>
      </c>
      <c r="AQ748">
        <v>0</v>
      </c>
      <c r="AR748" t="s">
        <v>1835</v>
      </c>
    </row>
    <row r="749" spans="1:44" x14ac:dyDescent="0.25">
      <c r="A749" t="s">
        <v>1828</v>
      </c>
      <c r="B749" t="s">
        <v>2746</v>
      </c>
      <c r="D749" t="s">
        <v>3013</v>
      </c>
      <c r="G749" t="str">
        <f>CONCATENATE(Master_Packing_Database[[#This Row],[Exp '#]],Master_Packing_Database[[#This Row],[Batch '#]])</f>
        <v/>
      </c>
      <c r="I749" t="s">
        <v>2923</v>
      </c>
      <c r="J749" t="s">
        <v>117</v>
      </c>
      <c r="AI749" t="s">
        <v>32</v>
      </c>
      <c r="AN749">
        <v>0</v>
      </c>
      <c r="AO749" t="s">
        <v>1834</v>
      </c>
      <c r="AP749" t="s">
        <v>1834</v>
      </c>
      <c r="AQ749">
        <v>0</v>
      </c>
      <c r="AR749" t="s">
        <v>1835</v>
      </c>
    </row>
    <row r="750" spans="1:44" x14ac:dyDescent="0.25">
      <c r="A750" t="s">
        <v>1828</v>
      </c>
      <c r="B750" t="s">
        <v>2746</v>
      </c>
      <c r="D750" t="s">
        <v>3013</v>
      </c>
      <c r="G750" t="str">
        <f>CONCATENATE(Master_Packing_Database[[#This Row],[Exp '#]],Master_Packing_Database[[#This Row],[Batch '#]])</f>
        <v/>
      </c>
      <c r="I750" t="s">
        <v>2923</v>
      </c>
      <c r="J750" t="s">
        <v>117</v>
      </c>
      <c r="AI750" t="s">
        <v>32</v>
      </c>
      <c r="AN750">
        <v>0</v>
      </c>
      <c r="AO750" t="s">
        <v>1834</v>
      </c>
      <c r="AP750" t="s">
        <v>1834</v>
      </c>
      <c r="AQ750">
        <v>0</v>
      </c>
      <c r="AR750" t="s">
        <v>1835</v>
      </c>
    </row>
    <row r="751" spans="1:44" x14ac:dyDescent="0.25">
      <c r="A751" t="s">
        <v>1828</v>
      </c>
      <c r="B751" t="s">
        <v>2746</v>
      </c>
      <c r="D751" t="s">
        <v>3014</v>
      </c>
      <c r="G751" t="str">
        <f>CONCATENATE(Master_Packing_Database[[#This Row],[Exp '#]],Master_Packing_Database[[#This Row],[Batch '#]])</f>
        <v/>
      </c>
      <c r="I751" t="s">
        <v>3015</v>
      </c>
      <c r="J751" t="s">
        <v>117</v>
      </c>
      <c r="AI751" t="s">
        <v>32</v>
      </c>
      <c r="AN751">
        <v>0</v>
      </c>
      <c r="AO751" t="s">
        <v>1834</v>
      </c>
      <c r="AP751" t="s">
        <v>1834</v>
      </c>
      <c r="AQ751">
        <v>0</v>
      </c>
      <c r="AR751" t="s">
        <v>1835</v>
      </c>
    </row>
    <row r="752" spans="1:44" x14ac:dyDescent="0.25">
      <c r="A752" t="s">
        <v>1828</v>
      </c>
      <c r="B752" t="s">
        <v>2746</v>
      </c>
      <c r="D752" t="s">
        <v>3014</v>
      </c>
      <c r="G752" t="str">
        <f>CONCATENATE(Master_Packing_Database[[#This Row],[Exp '#]],Master_Packing_Database[[#This Row],[Batch '#]])</f>
        <v/>
      </c>
      <c r="I752" t="s">
        <v>3016</v>
      </c>
      <c r="J752" t="s">
        <v>117</v>
      </c>
      <c r="AI752" t="s">
        <v>32</v>
      </c>
      <c r="AN752">
        <v>0</v>
      </c>
      <c r="AO752" t="s">
        <v>1834</v>
      </c>
      <c r="AP752" t="s">
        <v>1834</v>
      </c>
      <c r="AQ752">
        <v>0</v>
      </c>
      <c r="AR752" t="s">
        <v>1835</v>
      </c>
    </row>
    <row r="753" spans="1:44" x14ac:dyDescent="0.25">
      <c r="A753" t="s">
        <v>1828</v>
      </c>
      <c r="B753" t="s">
        <v>2746</v>
      </c>
      <c r="D753" t="s">
        <v>3014</v>
      </c>
      <c r="G753" t="str">
        <f>CONCATENATE(Master_Packing_Database[[#This Row],[Exp '#]],Master_Packing_Database[[#This Row],[Batch '#]])</f>
        <v/>
      </c>
      <c r="I753" t="s">
        <v>3017</v>
      </c>
      <c r="J753" t="s">
        <v>117</v>
      </c>
      <c r="AI753" t="s">
        <v>32</v>
      </c>
      <c r="AN753">
        <v>0</v>
      </c>
      <c r="AO753" t="s">
        <v>1834</v>
      </c>
      <c r="AP753" t="s">
        <v>1834</v>
      </c>
      <c r="AQ753">
        <v>0</v>
      </c>
      <c r="AR753" t="s">
        <v>1835</v>
      </c>
    </row>
    <row r="754" spans="1:44" x14ac:dyDescent="0.25">
      <c r="A754" t="s">
        <v>1828</v>
      </c>
      <c r="B754" t="s">
        <v>2746</v>
      </c>
      <c r="D754" t="s">
        <v>3018</v>
      </c>
      <c r="G754" t="str">
        <f>CONCATENATE(Master_Packing_Database[[#This Row],[Exp '#]],Master_Packing_Database[[#This Row],[Batch '#]])</f>
        <v/>
      </c>
      <c r="I754" t="s">
        <v>3019</v>
      </c>
      <c r="J754" t="s">
        <v>117</v>
      </c>
      <c r="AI754" t="s">
        <v>32</v>
      </c>
      <c r="AN754">
        <v>0</v>
      </c>
      <c r="AO754" t="s">
        <v>1834</v>
      </c>
      <c r="AP754" t="s">
        <v>1834</v>
      </c>
      <c r="AQ754">
        <v>0</v>
      </c>
      <c r="AR754" t="s">
        <v>1835</v>
      </c>
    </row>
    <row r="755" spans="1:44" x14ac:dyDescent="0.25">
      <c r="A755" t="s">
        <v>1828</v>
      </c>
      <c r="B755" t="s">
        <v>2746</v>
      </c>
      <c r="D755" t="s">
        <v>3008</v>
      </c>
      <c r="G755" t="str">
        <f>CONCATENATE(Master_Packing_Database[[#This Row],[Exp '#]],Master_Packing_Database[[#This Row],[Batch '#]])</f>
        <v/>
      </c>
      <c r="I755" t="s">
        <v>3020</v>
      </c>
      <c r="J755" t="s">
        <v>117</v>
      </c>
      <c r="AI755" t="s">
        <v>32</v>
      </c>
      <c r="AN755">
        <v>0</v>
      </c>
      <c r="AO755" t="s">
        <v>1834</v>
      </c>
      <c r="AP755" t="s">
        <v>1834</v>
      </c>
      <c r="AQ755">
        <v>0</v>
      </c>
      <c r="AR755" t="s">
        <v>1835</v>
      </c>
    </row>
    <row r="756" spans="1:44" x14ac:dyDescent="0.25">
      <c r="A756" t="s">
        <v>1828</v>
      </c>
      <c r="B756" t="s">
        <v>2746</v>
      </c>
      <c r="D756" t="s">
        <v>3008</v>
      </c>
      <c r="G756" t="str">
        <f>CONCATENATE(Master_Packing_Database[[#This Row],[Exp '#]],Master_Packing_Database[[#This Row],[Batch '#]])</f>
        <v/>
      </c>
      <c r="I756" t="s">
        <v>3020</v>
      </c>
      <c r="J756" t="s">
        <v>117</v>
      </c>
      <c r="AI756" t="s">
        <v>32</v>
      </c>
      <c r="AN756">
        <v>0</v>
      </c>
      <c r="AO756" t="s">
        <v>1834</v>
      </c>
      <c r="AP756" t="s">
        <v>1834</v>
      </c>
      <c r="AQ756">
        <v>0</v>
      </c>
      <c r="AR756" t="s">
        <v>1835</v>
      </c>
    </row>
    <row r="757" spans="1:44" x14ac:dyDescent="0.25">
      <c r="A757" t="s">
        <v>1828</v>
      </c>
      <c r="B757" t="s">
        <v>2746</v>
      </c>
      <c r="D757" t="s">
        <v>3021</v>
      </c>
      <c r="G757" t="str">
        <f>CONCATENATE(Master_Packing_Database[[#This Row],[Exp '#]],Master_Packing_Database[[#This Row],[Batch '#]])</f>
        <v/>
      </c>
      <c r="I757" t="s">
        <v>2854</v>
      </c>
      <c r="J757" t="s">
        <v>366</v>
      </c>
      <c r="AI757" t="s">
        <v>32</v>
      </c>
      <c r="AN757">
        <v>0</v>
      </c>
      <c r="AO757" t="s">
        <v>1834</v>
      </c>
      <c r="AP757" t="s">
        <v>1834</v>
      </c>
      <c r="AQ757">
        <v>0</v>
      </c>
      <c r="AR757" t="s">
        <v>1835</v>
      </c>
    </row>
    <row r="758" spans="1:44" x14ac:dyDescent="0.25">
      <c r="A758" t="s">
        <v>1828</v>
      </c>
      <c r="B758" t="s">
        <v>2746</v>
      </c>
      <c r="D758" t="s">
        <v>3014</v>
      </c>
      <c r="G758" t="str">
        <f>CONCATENATE(Master_Packing_Database[[#This Row],[Exp '#]],Master_Packing_Database[[#This Row],[Batch '#]])</f>
        <v/>
      </c>
      <c r="I758" t="s">
        <v>3022</v>
      </c>
      <c r="J758" t="s">
        <v>366</v>
      </c>
      <c r="AI758" t="s">
        <v>32</v>
      </c>
      <c r="AN758">
        <v>0</v>
      </c>
      <c r="AO758" t="s">
        <v>1834</v>
      </c>
      <c r="AP758" t="s">
        <v>1834</v>
      </c>
      <c r="AQ758">
        <v>0</v>
      </c>
      <c r="AR758" t="s">
        <v>1835</v>
      </c>
    </row>
    <row r="759" spans="1:44" x14ac:dyDescent="0.25">
      <c r="A759" t="s">
        <v>1828</v>
      </c>
      <c r="B759" t="s">
        <v>2746</v>
      </c>
      <c r="D759" t="s">
        <v>3014</v>
      </c>
      <c r="G759" t="str">
        <f>CONCATENATE(Master_Packing_Database[[#This Row],[Exp '#]],Master_Packing_Database[[#This Row],[Batch '#]])</f>
        <v/>
      </c>
      <c r="I759" t="s">
        <v>3023</v>
      </c>
      <c r="J759" t="s">
        <v>366</v>
      </c>
      <c r="AI759" t="s">
        <v>32</v>
      </c>
      <c r="AN759">
        <v>0</v>
      </c>
      <c r="AO759" t="s">
        <v>1834</v>
      </c>
      <c r="AP759" t="s">
        <v>1834</v>
      </c>
      <c r="AQ759">
        <v>0</v>
      </c>
      <c r="AR759" t="s">
        <v>1835</v>
      </c>
    </row>
    <row r="760" spans="1:44" x14ac:dyDescent="0.25">
      <c r="A760" t="s">
        <v>1828</v>
      </c>
      <c r="B760" t="s">
        <v>2746</v>
      </c>
      <c r="D760" t="s">
        <v>3014</v>
      </c>
      <c r="G760" t="str">
        <f>CONCATENATE(Master_Packing_Database[[#This Row],[Exp '#]],Master_Packing_Database[[#This Row],[Batch '#]])</f>
        <v/>
      </c>
      <c r="I760" t="s">
        <v>3024</v>
      </c>
      <c r="J760" t="s">
        <v>366</v>
      </c>
      <c r="AI760" t="s">
        <v>32</v>
      </c>
      <c r="AN760">
        <v>0</v>
      </c>
      <c r="AO760" t="s">
        <v>1834</v>
      </c>
      <c r="AP760" t="s">
        <v>1834</v>
      </c>
      <c r="AQ760">
        <v>0</v>
      </c>
      <c r="AR760" t="s">
        <v>1835</v>
      </c>
    </row>
    <row r="761" spans="1:44" x14ac:dyDescent="0.25">
      <c r="A761" t="s">
        <v>1828</v>
      </c>
      <c r="B761" t="s">
        <v>2746</v>
      </c>
      <c r="D761" t="s">
        <v>3025</v>
      </c>
      <c r="G761" t="str">
        <f>CONCATENATE(Master_Packing_Database[[#This Row],[Exp '#]],Master_Packing_Database[[#This Row],[Batch '#]])</f>
        <v/>
      </c>
      <c r="I761" t="s">
        <v>3026</v>
      </c>
      <c r="J761" t="s">
        <v>117</v>
      </c>
      <c r="AI761" t="s">
        <v>32</v>
      </c>
      <c r="AN761">
        <v>0</v>
      </c>
      <c r="AO761" t="s">
        <v>1834</v>
      </c>
      <c r="AP761" t="s">
        <v>1834</v>
      </c>
      <c r="AQ761">
        <v>0</v>
      </c>
      <c r="AR761" t="s">
        <v>1835</v>
      </c>
    </row>
    <row r="762" spans="1:44" x14ac:dyDescent="0.25">
      <c r="A762" t="s">
        <v>1828</v>
      </c>
      <c r="B762" t="s">
        <v>2746</v>
      </c>
      <c r="D762" t="s">
        <v>3018</v>
      </c>
      <c r="G762" t="str">
        <f>CONCATENATE(Master_Packing_Database[[#This Row],[Exp '#]],Master_Packing_Database[[#This Row],[Batch '#]])</f>
        <v/>
      </c>
      <c r="I762" t="s">
        <v>3027</v>
      </c>
      <c r="J762" t="s">
        <v>366</v>
      </c>
      <c r="AI762" t="s">
        <v>2974</v>
      </c>
      <c r="AN762">
        <v>0</v>
      </c>
      <c r="AO762" t="s">
        <v>1834</v>
      </c>
      <c r="AP762" t="s">
        <v>1834</v>
      </c>
      <c r="AQ762">
        <v>0</v>
      </c>
      <c r="AR762" t="s">
        <v>1835</v>
      </c>
    </row>
    <row r="763" spans="1:44" x14ac:dyDescent="0.25">
      <c r="A763" t="s">
        <v>1828</v>
      </c>
      <c r="B763" t="s">
        <v>2746</v>
      </c>
      <c r="D763" t="s">
        <v>2747</v>
      </c>
      <c r="G763" t="str">
        <f>CONCATENATE(Master_Packing_Database[[#This Row],[Exp '#]],Master_Packing_Database[[#This Row],[Batch '#]])</f>
        <v/>
      </c>
      <c r="I763" t="s">
        <v>1340</v>
      </c>
      <c r="J763" t="s">
        <v>1371</v>
      </c>
      <c r="AI763" t="s">
        <v>2748</v>
      </c>
      <c r="AN763">
        <v>0</v>
      </c>
      <c r="AO763" t="s">
        <v>1834</v>
      </c>
      <c r="AP763" t="s">
        <v>1834</v>
      </c>
      <c r="AQ763">
        <v>0</v>
      </c>
      <c r="AR763" t="s">
        <v>1835</v>
      </c>
    </row>
    <row r="764" spans="1:44" x14ac:dyDescent="0.25">
      <c r="A764" t="s">
        <v>1828</v>
      </c>
      <c r="B764" t="s">
        <v>2746</v>
      </c>
      <c r="D764" t="s">
        <v>2747</v>
      </c>
      <c r="G764" t="str">
        <f>CONCATENATE(Master_Packing_Database[[#This Row],[Exp '#]],Master_Packing_Database[[#This Row],[Batch '#]])</f>
        <v/>
      </c>
      <c r="I764" t="s">
        <v>1340</v>
      </c>
      <c r="J764" t="s">
        <v>1371</v>
      </c>
      <c r="AI764" t="s">
        <v>2748</v>
      </c>
      <c r="AN764">
        <v>0</v>
      </c>
      <c r="AO764" t="s">
        <v>1834</v>
      </c>
      <c r="AP764" t="s">
        <v>1834</v>
      </c>
      <c r="AQ764">
        <v>0</v>
      </c>
      <c r="AR764" t="s">
        <v>1835</v>
      </c>
    </row>
    <row r="765" spans="1:44" x14ac:dyDescent="0.25">
      <c r="A765" t="s">
        <v>1828</v>
      </c>
      <c r="B765" t="s">
        <v>2746</v>
      </c>
      <c r="D765" t="s">
        <v>2949</v>
      </c>
      <c r="G765" t="str">
        <f>CONCATENATE(Master_Packing_Database[[#This Row],[Exp '#]],Master_Packing_Database[[#This Row],[Batch '#]])</f>
        <v/>
      </c>
      <c r="I765" t="s">
        <v>2950</v>
      </c>
      <c r="J765" t="s">
        <v>366</v>
      </c>
      <c r="AI765" t="s">
        <v>2748</v>
      </c>
      <c r="AN765">
        <v>0</v>
      </c>
      <c r="AO765" t="s">
        <v>1834</v>
      </c>
      <c r="AP765" t="s">
        <v>1834</v>
      </c>
      <c r="AQ765">
        <v>0</v>
      </c>
      <c r="AR765" t="s">
        <v>1835</v>
      </c>
    </row>
    <row r="766" spans="1:44" x14ac:dyDescent="0.25">
      <c r="A766" t="s">
        <v>1828</v>
      </c>
      <c r="B766" t="s">
        <v>2746</v>
      </c>
      <c r="D766" t="s">
        <v>3028</v>
      </c>
      <c r="G766" t="str">
        <f>CONCATENATE(Master_Packing_Database[[#This Row],[Exp '#]],Master_Packing_Database[[#This Row],[Batch '#]])</f>
        <v/>
      </c>
      <c r="I766" t="s">
        <v>2788</v>
      </c>
      <c r="J766" t="s">
        <v>366</v>
      </c>
      <c r="AI766" t="s">
        <v>2748</v>
      </c>
      <c r="AN766">
        <v>0</v>
      </c>
      <c r="AO766" t="s">
        <v>1834</v>
      </c>
      <c r="AP766" t="s">
        <v>1834</v>
      </c>
      <c r="AQ766">
        <v>0</v>
      </c>
      <c r="AR766" t="s">
        <v>1835</v>
      </c>
    </row>
    <row r="767" spans="1:44" x14ac:dyDescent="0.25">
      <c r="A767" t="s">
        <v>1828</v>
      </c>
      <c r="B767" t="s">
        <v>2746</v>
      </c>
      <c r="D767" t="s">
        <v>3028</v>
      </c>
      <c r="G767" t="str">
        <f>CONCATENATE(Master_Packing_Database[[#This Row],[Exp '#]],Master_Packing_Database[[#This Row],[Batch '#]])</f>
        <v/>
      </c>
      <c r="I767" t="s">
        <v>2788</v>
      </c>
      <c r="J767" t="s">
        <v>366</v>
      </c>
      <c r="AI767" t="s">
        <v>2748</v>
      </c>
      <c r="AN767">
        <v>0</v>
      </c>
      <c r="AO767" t="s">
        <v>1834</v>
      </c>
      <c r="AP767" t="s">
        <v>1834</v>
      </c>
      <c r="AQ767">
        <v>0</v>
      </c>
      <c r="AR767" t="s">
        <v>1835</v>
      </c>
    </row>
    <row r="768" spans="1:44" x14ac:dyDescent="0.25">
      <c r="A768" t="s">
        <v>1828</v>
      </c>
      <c r="B768" t="s">
        <v>2746</v>
      </c>
      <c r="D768" t="s">
        <v>3028</v>
      </c>
      <c r="G768" t="str">
        <f>CONCATENATE(Master_Packing_Database[[#This Row],[Exp '#]],Master_Packing_Database[[#This Row],[Batch '#]])</f>
        <v/>
      </c>
      <c r="I768" t="s">
        <v>3029</v>
      </c>
      <c r="J768" t="s">
        <v>366</v>
      </c>
      <c r="AI768" t="s">
        <v>2748</v>
      </c>
      <c r="AN768">
        <v>0</v>
      </c>
      <c r="AO768" t="s">
        <v>1834</v>
      </c>
      <c r="AP768" t="s">
        <v>1834</v>
      </c>
      <c r="AQ768">
        <v>0</v>
      </c>
      <c r="AR768" t="s">
        <v>1835</v>
      </c>
    </row>
    <row r="769" spans="1:44" x14ac:dyDescent="0.25">
      <c r="A769" t="s">
        <v>1828</v>
      </c>
      <c r="B769" t="s">
        <v>2746</v>
      </c>
      <c r="D769" t="s">
        <v>3030</v>
      </c>
      <c r="G769" t="str">
        <f>CONCATENATE(Master_Packing_Database[[#This Row],[Exp '#]],Master_Packing_Database[[#This Row],[Batch '#]])</f>
        <v/>
      </c>
      <c r="I769" t="s">
        <v>3031</v>
      </c>
      <c r="J769" t="s">
        <v>117</v>
      </c>
      <c r="AI769" t="s">
        <v>3032</v>
      </c>
      <c r="AN769">
        <v>0</v>
      </c>
      <c r="AO769" t="s">
        <v>1834</v>
      </c>
      <c r="AP769" t="s">
        <v>1834</v>
      </c>
      <c r="AQ769">
        <v>0</v>
      </c>
      <c r="AR769" t="s">
        <v>1835</v>
      </c>
    </row>
    <row r="770" spans="1:44" x14ac:dyDescent="0.25">
      <c r="A770" t="s">
        <v>1828</v>
      </c>
      <c r="B770" t="s">
        <v>2746</v>
      </c>
      <c r="D770" t="s">
        <v>3030</v>
      </c>
      <c r="G770" t="str">
        <f>CONCATENATE(Master_Packing_Database[[#This Row],[Exp '#]],Master_Packing_Database[[#This Row],[Batch '#]])</f>
        <v/>
      </c>
      <c r="I770" t="s">
        <v>3033</v>
      </c>
      <c r="J770" t="s">
        <v>366</v>
      </c>
      <c r="AI770" t="s">
        <v>29</v>
      </c>
      <c r="AN770">
        <v>0</v>
      </c>
      <c r="AO770" t="s">
        <v>1834</v>
      </c>
      <c r="AP770" t="s">
        <v>1834</v>
      </c>
      <c r="AQ770">
        <v>0</v>
      </c>
      <c r="AR770" t="s">
        <v>1835</v>
      </c>
    </row>
    <row r="771" spans="1:44" x14ac:dyDescent="0.25">
      <c r="A771" t="s">
        <v>1828</v>
      </c>
      <c r="B771" t="s">
        <v>2746</v>
      </c>
      <c r="D771" t="s">
        <v>3030</v>
      </c>
      <c r="G771" t="str">
        <f>CONCATENATE(Master_Packing_Database[[#This Row],[Exp '#]],Master_Packing_Database[[#This Row],[Batch '#]])</f>
        <v/>
      </c>
      <c r="I771" t="s">
        <v>2841</v>
      </c>
      <c r="J771" t="s">
        <v>1371</v>
      </c>
      <c r="AI771" t="s">
        <v>29</v>
      </c>
      <c r="AN771">
        <v>0</v>
      </c>
      <c r="AO771" t="s">
        <v>1834</v>
      </c>
      <c r="AP771" t="s">
        <v>1834</v>
      </c>
      <c r="AQ771">
        <v>0</v>
      </c>
      <c r="AR771" t="s">
        <v>1835</v>
      </c>
    </row>
    <row r="772" spans="1:44" x14ac:dyDescent="0.25">
      <c r="A772" t="s">
        <v>1828</v>
      </c>
      <c r="B772" t="s">
        <v>2746</v>
      </c>
      <c r="D772" t="s">
        <v>3034</v>
      </c>
      <c r="G772" t="str">
        <f>CONCATENATE(Master_Packing_Database[[#This Row],[Exp '#]],Master_Packing_Database[[#This Row],[Batch '#]])</f>
        <v/>
      </c>
      <c r="I772" t="s">
        <v>3035</v>
      </c>
      <c r="J772" t="s">
        <v>366</v>
      </c>
      <c r="AI772" t="s">
        <v>889</v>
      </c>
      <c r="AN772">
        <v>0</v>
      </c>
      <c r="AO772" t="s">
        <v>1834</v>
      </c>
      <c r="AP772" t="s">
        <v>1834</v>
      </c>
      <c r="AQ772">
        <v>0</v>
      </c>
      <c r="AR772" t="s">
        <v>1835</v>
      </c>
    </row>
    <row r="773" spans="1:44" x14ac:dyDescent="0.25">
      <c r="A773" t="s">
        <v>1828</v>
      </c>
      <c r="B773" t="s">
        <v>2746</v>
      </c>
      <c r="D773" t="s">
        <v>3036</v>
      </c>
      <c r="G773" t="str">
        <f>CONCATENATE(Master_Packing_Database[[#This Row],[Exp '#]],Master_Packing_Database[[#This Row],[Batch '#]])</f>
        <v/>
      </c>
      <c r="I773" t="s">
        <v>3037</v>
      </c>
      <c r="J773" t="s">
        <v>1371</v>
      </c>
      <c r="AI773" t="s">
        <v>889</v>
      </c>
      <c r="AN773">
        <v>0</v>
      </c>
      <c r="AO773" t="s">
        <v>1834</v>
      </c>
      <c r="AP773" t="s">
        <v>1834</v>
      </c>
      <c r="AQ773">
        <v>0</v>
      </c>
      <c r="AR773" t="s">
        <v>1835</v>
      </c>
    </row>
    <row r="774" spans="1:44" x14ac:dyDescent="0.25">
      <c r="A774" t="s">
        <v>1828</v>
      </c>
      <c r="B774" t="s">
        <v>2746</v>
      </c>
      <c r="D774" t="s">
        <v>3036</v>
      </c>
      <c r="G774" t="str">
        <f>CONCATENATE(Master_Packing_Database[[#This Row],[Exp '#]],Master_Packing_Database[[#This Row],[Batch '#]])</f>
        <v/>
      </c>
      <c r="I774" t="s">
        <v>3037</v>
      </c>
      <c r="J774" t="s">
        <v>1371</v>
      </c>
      <c r="AI774" t="s">
        <v>889</v>
      </c>
      <c r="AN774">
        <v>0</v>
      </c>
      <c r="AO774" t="s">
        <v>1834</v>
      </c>
      <c r="AP774" t="s">
        <v>1834</v>
      </c>
      <c r="AQ774">
        <v>0</v>
      </c>
      <c r="AR774" t="s">
        <v>1835</v>
      </c>
    </row>
    <row r="775" spans="1:44" x14ac:dyDescent="0.25">
      <c r="A775" t="s">
        <v>1828</v>
      </c>
      <c r="B775" t="s">
        <v>2746</v>
      </c>
      <c r="D775" t="s">
        <v>3038</v>
      </c>
      <c r="G775" t="str">
        <f>CONCATENATE(Master_Packing_Database[[#This Row],[Exp '#]],Master_Packing_Database[[#This Row],[Batch '#]])</f>
        <v/>
      </c>
      <c r="I775" t="s">
        <v>3039</v>
      </c>
      <c r="J775" t="s">
        <v>1371</v>
      </c>
      <c r="AN775">
        <v>0</v>
      </c>
      <c r="AO775" t="s">
        <v>1834</v>
      </c>
      <c r="AP775" t="s">
        <v>1834</v>
      </c>
      <c r="AQ775">
        <v>0</v>
      </c>
      <c r="AR775" t="s">
        <v>1835</v>
      </c>
    </row>
    <row r="776" spans="1:44" x14ac:dyDescent="0.25">
      <c r="A776" t="s">
        <v>1828</v>
      </c>
      <c r="B776" t="s">
        <v>2746</v>
      </c>
      <c r="D776" t="s">
        <v>2915</v>
      </c>
      <c r="G776" t="str">
        <f>CONCATENATE(Master_Packing_Database[[#This Row],[Exp '#]],Master_Packing_Database[[#This Row],[Batch '#]])</f>
        <v/>
      </c>
      <c r="I776" t="s">
        <v>1340</v>
      </c>
      <c r="J776" t="s">
        <v>1371</v>
      </c>
      <c r="AN776">
        <v>0</v>
      </c>
      <c r="AO776" t="s">
        <v>1834</v>
      </c>
      <c r="AP776" t="s">
        <v>1834</v>
      </c>
      <c r="AQ776">
        <v>0</v>
      </c>
      <c r="AR776" t="s">
        <v>1835</v>
      </c>
    </row>
    <row r="777" spans="1:44" x14ac:dyDescent="0.25">
      <c r="A777" t="s">
        <v>1828</v>
      </c>
      <c r="B777" t="s">
        <v>2746</v>
      </c>
      <c r="D777" t="s">
        <v>2915</v>
      </c>
      <c r="G777" t="str">
        <f>CONCATENATE(Master_Packing_Database[[#This Row],[Exp '#]],Master_Packing_Database[[#This Row],[Batch '#]])</f>
        <v/>
      </c>
      <c r="I777" t="s">
        <v>3040</v>
      </c>
      <c r="J777" t="s">
        <v>117</v>
      </c>
      <c r="AN777">
        <v>0</v>
      </c>
      <c r="AO777" t="s">
        <v>1834</v>
      </c>
      <c r="AP777" t="s">
        <v>1834</v>
      </c>
      <c r="AQ777">
        <v>0</v>
      </c>
      <c r="AR777" t="s">
        <v>1835</v>
      </c>
    </row>
    <row r="778" spans="1:44" x14ac:dyDescent="0.25">
      <c r="A778" t="s">
        <v>1828</v>
      </c>
      <c r="B778" t="s">
        <v>2746</v>
      </c>
      <c r="D778" t="s">
        <v>3036</v>
      </c>
      <c r="G778" t="str">
        <f>CONCATENATE(Master_Packing_Database[[#This Row],[Exp '#]],Master_Packing_Database[[#This Row],[Batch '#]])</f>
        <v/>
      </c>
      <c r="I778" t="s">
        <v>3039</v>
      </c>
      <c r="J778" t="s">
        <v>1371</v>
      </c>
      <c r="AI778" t="s">
        <v>2823</v>
      </c>
      <c r="AN778">
        <v>0</v>
      </c>
      <c r="AO778" t="s">
        <v>1834</v>
      </c>
      <c r="AP778" t="s">
        <v>1834</v>
      </c>
      <c r="AQ778">
        <v>0</v>
      </c>
      <c r="AR778" t="s">
        <v>1835</v>
      </c>
    </row>
    <row r="779" spans="1:44" x14ac:dyDescent="0.25">
      <c r="A779" t="s">
        <v>1828</v>
      </c>
      <c r="B779" t="s">
        <v>2746</v>
      </c>
      <c r="D779" t="s">
        <v>2770</v>
      </c>
      <c r="G779" t="str">
        <f>CONCATENATE(Master_Packing_Database[[#This Row],[Exp '#]],Master_Packing_Database[[#This Row],[Batch '#]])</f>
        <v/>
      </c>
      <c r="I779" t="s">
        <v>3039</v>
      </c>
      <c r="J779" t="s">
        <v>1371</v>
      </c>
      <c r="AI779" t="s">
        <v>2823</v>
      </c>
      <c r="AN779">
        <v>0</v>
      </c>
      <c r="AO779" t="s">
        <v>1834</v>
      </c>
      <c r="AP779" t="s">
        <v>1834</v>
      </c>
      <c r="AQ779">
        <v>0</v>
      </c>
      <c r="AR779" t="s">
        <v>1835</v>
      </c>
    </row>
    <row r="780" spans="1:44" x14ac:dyDescent="0.25">
      <c r="A780" t="s">
        <v>2555</v>
      </c>
      <c r="B780" t="s">
        <v>2746</v>
      </c>
      <c r="D780" t="s">
        <v>1142</v>
      </c>
      <c r="E780" t="s">
        <v>1140</v>
      </c>
      <c r="F780" t="s">
        <v>1755</v>
      </c>
      <c r="G780" t="str">
        <f>CONCATENATE(Master_Packing_Database[[#This Row],[Exp '#]],Master_Packing_Database[[#This Row],[Batch '#]])</f>
        <v>25-016-</v>
      </c>
      <c r="H780" t="s">
        <v>1143</v>
      </c>
      <c r="I780" t="s">
        <v>1144</v>
      </c>
      <c r="J780" t="s">
        <v>117</v>
      </c>
      <c r="K780" t="s">
        <v>1147</v>
      </c>
      <c r="L780" t="s">
        <v>116</v>
      </c>
      <c r="M780" t="s">
        <v>116</v>
      </c>
      <c r="N780" t="s">
        <v>1145</v>
      </c>
      <c r="O780" t="s">
        <v>1146</v>
      </c>
      <c r="V780" t="s">
        <v>32</v>
      </c>
      <c r="X780" t="s">
        <v>3041</v>
      </c>
      <c r="Z780" t="s">
        <v>3042</v>
      </c>
      <c r="AE780" t="s">
        <v>3041</v>
      </c>
      <c r="AG780" t="s">
        <v>1303</v>
      </c>
      <c r="AI780" t="s">
        <v>29</v>
      </c>
      <c r="AK780" t="s">
        <v>32</v>
      </c>
      <c r="AN780">
        <v>0</v>
      </c>
      <c r="AO780" t="s">
        <v>1834</v>
      </c>
      <c r="AP780" t="s">
        <v>1834</v>
      </c>
      <c r="AQ780">
        <v>0</v>
      </c>
      <c r="AR780" t="s">
        <v>1758</v>
      </c>
    </row>
    <row r="781" spans="1:44" x14ac:dyDescent="0.25">
      <c r="A781" t="s">
        <v>2555</v>
      </c>
      <c r="B781" t="s">
        <v>2746</v>
      </c>
      <c r="D781" t="s">
        <v>1142</v>
      </c>
      <c r="E781" t="s">
        <v>1252</v>
      </c>
      <c r="F781" t="s">
        <v>1755</v>
      </c>
      <c r="G781" t="str">
        <f>CONCATENATE(Master_Packing_Database[[#This Row],[Exp '#]],Master_Packing_Database[[#This Row],[Batch '#]])</f>
        <v>25-044-</v>
      </c>
      <c r="H781" t="s">
        <v>1253</v>
      </c>
      <c r="I781" t="s">
        <v>1254</v>
      </c>
      <c r="J781" t="s">
        <v>117</v>
      </c>
      <c r="K781" t="s">
        <v>1147</v>
      </c>
      <c r="L781" t="s">
        <v>1255</v>
      </c>
      <c r="M781" t="s">
        <v>116</v>
      </c>
      <c r="N781" t="s">
        <v>1256</v>
      </c>
      <c r="O781" t="s">
        <v>1257</v>
      </c>
      <c r="V781" t="s">
        <v>32</v>
      </c>
      <c r="X781" t="s">
        <v>3043</v>
      </c>
      <c r="Z781" t="s">
        <v>3044</v>
      </c>
      <c r="AE781" t="s">
        <v>3043</v>
      </c>
      <c r="AG781" t="s">
        <v>1303</v>
      </c>
      <c r="AI781" t="s">
        <v>29</v>
      </c>
      <c r="AK781" t="s">
        <v>32</v>
      </c>
      <c r="AN781">
        <v>0</v>
      </c>
      <c r="AO781" t="s">
        <v>1834</v>
      </c>
      <c r="AP781" t="s">
        <v>1834</v>
      </c>
      <c r="AQ781">
        <v>0</v>
      </c>
      <c r="AR781" t="s">
        <v>1758</v>
      </c>
    </row>
    <row r="782" spans="1:44" x14ac:dyDescent="0.25">
      <c r="A782" t="s">
        <v>2555</v>
      </c>
      <c r="B782" t="s">
        <v>2746</v>
      </c>
      <c r="D782" t="s">
        <v>27</v>
      </c>
      <c r="E782" t="s">
        <v>1462</v>
      </c>
      <c r="F782" t="s">
        <v>1755</v>
      </c>
      <c r="G782" t="str">
        <f>CONCATENATE(Master_Packing_Database[[#This Row],[Exp '#]],Master_Packing_Database[[#This Row],[Batch '#]])</f>
        <v>MO-0161-</v>
      </c>
      <c r="H782" t="s">
        <v>1463</v>
      </c>
      <c r="I782" t="s">
        <v>1464</v>
      </c>
      <c r="J782" t="s">
        <v>366</v>
      </c>
      <c r="K782" t="s">
        <v>1147</v>
      </c>
      <c r="L782" t="s">
        <v>975</v>
      </c>
      <c r="M782" t="s">
        <v>116</v>
      </c>
      <c r="N782" t="s">
        <v>381</v>
      </c>
      <c r="O782" t="s">
        <v>1465</v>
      </c>
      <c r="V782" t="s">
        <v>32</v>
      </c>
      <c r="X782" t="s">
        <v>3045</v>
      </c>
      <c r="Z782" t="s">
        <v>1456</v>
      </c>
      <c r="AE782" t="s">
        <v>3045</v>
      </c>
      <c r="AG782" t="s">
        <v>1303</v>
      </c>
      <c r="AI782" t="s">
        <v>29</v>
      </c>
      <c r="AK782" t="s">
        <v>32</v>
      </c>
      <c r="AN782">
        <v>0</v>
      </c>
      <c r="AO782" t="s">
        <v>1834</v>
      </c>
      <c r="AP782" t="s">
        <v>1834</v>
      </c>
      <c r="AQ782">
        <v>0</v>
      </c>
      <c r="AR782" t="s">
        <v>1758</v>
      </c>
    </row>
    <row r="783" spans="1:44" x14ac:dyDescent="0.25">
      <c r="A783" t="s">
        <v>2555</v>
      </c>
      <c r="B783" t="s">
        <v>2746</v>
      </c>
      <c r="D783" t="s">
        <v>1454</v>
      </c>
      <c r="E783" t="s">
        <v>1453</v>
      </c>
      <c r="F783" t="s">
        <v>1755</v>
      </c>
      <c r="G783" t="str">
        <f>CONCATENATE(Master_Packing_Database[[#This Row],[Exp '#]],Master_Packing_Database[[#This Row],[Batch '#]])</f>
        <v>MO-0156-</v>
      </c>
      <c r="H783" t="s">
        <v>1455</v>
      </c>
      <c r="I783" t="s">
        <v>1227</v>
      </c>
      <c r="J783" t="s">
        <v>366</v>
      </c>
      <c r="K783" t="s">
        <v>1147</v>
      </c>
      <c r="L783" t="s">
        <v>1456</v>
      </c>
      <c r="M783" t="s">
        <v>116</v>
      </c>
      <c r="N783" t="s">
        <v>3046</v>
      </c>
      <c r="O783" t="s">
        <v>3047</v>
      </c>
      <c r="V783" t="s">
        <v>32</v>
      </c>
      <c r="X783" t="s">
        <v>2634</v>
      </c>
      <c r="Z783" t="s">
        <v>359</v>
      </c>
      <c r="AE783" t="s">
        <v>2634</v>
      </c>
      <c r="AG783" t="s">
        <v>1303</v>
      </c>
      <c r="AI783" t="s">
        <v>29</v>
      </c>
      <c r="AK783" t="s">
        <v>32</v>
      </c>
      <c r="AN783">
        <v>0</v>
      </c>
      <c r="AO783" t="s">
        <v>1834</v>
      </c>
      <c r="AP783" t="s">
        <v>1834</v>
      </c>
      <c r="AQ783">
        <v>0</v>
      </c>
      <c r="AR783" t="s">
        <v>1758</v>
      </c>
    </row>
    <row r="784" spans="1:44" x14ac:dyDescent="0.25">
      <c r="A784" t="s">
        <v>2555</v>
      </c>
      <c r="B784" t="s">
        <v>2746</v>
      </c>
      <c r="D784" t="s">
        <v>27</v>
      </c>
      <c r="E784" t="s">
        <v>1444</v>
      </c>
      <c r="F784" t="s">
        <v>1755</v>
      </c>
      <c r="G784" t="str">
        <f>CONCATENATE(Master_Packing_Database[[#This Row],[Exp '#]],Master_Packing_Database[[#This Row],[Batch '#]])</f>
        <v>MO-0151-</v>
      </c>
      <c r="H784" t="s">
        <v>1445</v>
      </c>
      <c r="I784" t="s">
        <v>846</v>
      </c>
      <c r="J784" t="s">
        <v>1371</v>
      </c>
      <c r="K784" t="s">
        <v>1147</v>
      </c>
      <c r="M784" t="s">
        <v>2564</v>
      </c>
      <c r="N784" t="s">
        <v>3048</v>
      </c>
      <c r="O784" t="s">
        <v>3049</v>
      </c>
      <c r="V784" t="s">
        <v>32</v>
      </c>
      <c r="X784" t="s">
        <v>2562</v>
      </c>
      <c r="Z784" t="s">
        <v>2564</v>
      </c>
      <c r="AE784" t="s">
        <v>2562</v>
      </c>
      <c r="AG784" t="s">
        <v>1303</v>
      </c>
      <c r="AI784" t="s">
        <v>29</v>
      </c>
      <c r="AK784" t="s">
        <v>32</v>
      </c>
      <c r="AN784">
        <v>0</v>
      </c>
      <c r="AO784" t="s">
        <v>1834</v>
      </c>
      <c r="AP784" t="s">
        <v>1834</v>
      </c>
      <c r="AQ784">
        <v>0</v>
      </c>
      <c r="AR784" t="s">
        <v>1758</v>
      </c>
    </row>
    <row r="785" spans="1:44" x14ac:dyDescent="0.25">
      <c r="A785" t="s">
        <v>2555</v>
      </c>
      <c r="B785" t="s">
        <v>2746</v>
      </c>
      <c r="D785" t="s">
        <v>27</v>
      </c>
      <c r="E785" t="s">
        <v>1458</v>
      </c>
      <c r="F785" t="s">
        <v>1755</v>
      </c>
      <c r="G785" t="str">
        <f>CONCATENATE(Master_Packing_Database[[#This Row],[Exp '#]],Master_Packing_Database[[#This Row],[Batch '#]])</f>
        <v>MO-0157-</v>
      </c>
      <c r="H785" t="s">
        <v>1459</v>
      </c>
      <c r="I785" t="s">
        <v>1460</v>
      </c>
      <c r="J785" t="s">
        <v>1371</v>
      </c>
      <c r="K785" t="s">
        <v>1147</v>
      </c>
      <c r="L785" t="s">
        <v>1054</v>
      </c>
      <c r="M785" t="s">
        <v>116</v>
      </c>
      <c r="N785" t="s">
        <v>3050</v>
      </c>
      <c r="O785" t="s">
        <v>3051</v>
      </c>
      <c r="V785" t="s">
        <v>32</v>
      </c>
      <c r="X785" t="s">
        <v>2562</v>
      </c>
      <c r="Z785" t="s">
        <v>2564</v>
      </c>
      <c r="AE785" t="s">
        <v>2562</v>
      </c>
      <c r="AG785" t="s">
        <v>1303</v>
      </c>
      <c r="AI785" t="s">
        <v>29</v>
      </c>
      <c r="AK785" t="s">
        <v>32</v>
      </c>
      <c r="AN785">
        <v>0</v>
      </c>
      <c r="AO785" t="s">
        <v>1834</v>
      </c>
      <c r="AP785" t="s">
        <v>1834</v>
      </c>
      <c r="AQ785">
        <v>0</v>
      </c>
      <c r="AR785" t="s">
        <v>1758</v>
      </c>
    </row>
    <row r="786" spans="1:44" x14ac:dyDescent="0.25">
      <c r="A786" t="s">
        <v>2555</v>
      </c>
      <c r="B786" t="s">
        <v>2746</v>
      </c>
      <c r="D786" t="s">
        <v>1392</v>
      </c>
      <c r="E786" t="s">
        <v>1391</v>
      </c>
      <c r="F786" t="s">
        <v>1755</v>
      </c>
      <c r="G786" t="str">
        <f>CONCATENATE(Master_Packing_Database[[#This Row],[Exp '#]],Master_Packing_Database[[#This Row],[Batch '#]])</f>
        <v>MO-0139-</v>
      </c>
      <c r="H786" t="s">
        <v>1393</v>
      </c>
      <c r="I786" t="s">
        <v>1394</v>
      </c>
      <c r="J786" t="s">
        <v>117</v>
      </c>
      <c r="K786" t="s">
        <v>1147</v>
      </c>
      <c r="L786" t="s">
        <v>1395</v>
      </c>
      <c r="M786" t="s">
        <v>1016</v>
      </c>
      <c r="N786" t="s">
        <v>1396</v>
      </c>
      <c r="O786" t="s">
        <v>3052</v>
      </c>
      <c r="V786" t="s">
        <v>32</v>
      </c>
      <c r="X786" t="s">
        <v>2643</v>
      </c>
      <c r="Z786" t="s">
        <v>1425</v>
      </c>
      <c r="AE786" t="s">
        <v>2643</v>
      </c>
      <c r="AG786" t="s">
        <v>1303</v>
      </c>
      <c r="AI786" t="s">
        <v>29</v>
      </c>
      <c r="AK786" t="s">
        <v>32</v>
      </c>
      <c r="AN786">
        <v>0</v>
      </c>
      <c r="AO786" t="s">
        <v>1834</v>
      </c>
      <c r="AP786" t="s">
        <v>1834</v>
      </c>
      <c r="AQ786">
        <v>0</v>
      </c>
      <c r="AR786" t="s">
        <v>1758</v>
      </c>
    </row>
    <row r="787" spans="1:44" x14ac:dyDescent="0.25">
      <c r="A787" t="s">
        <v>2555</v>
      </c>
      <c r="B787" t="s">
        <v>2746</v>
      </c>
      <c r="D787" t="s">
        <v>27</v>
      </c>
      <c r="E787" t="s">
        <v>1446</v>
      </c>
      <c r="F787" t="s">
        <v>1755</v>
      </c>
      <c r="G787" t="str">
        <f>CONCATENATE(Master_Packing_Database[[#This Row],[Exp '#]],Master_Packing_Database[[#This Row],[Batch '#]])</f>
        <v>MO-0152-</v>
      </c>
      <c r="H787" t="s">
        <v>1447</v>
      </c>
      <c r="I787" t="s">
        <v>846</v>
      </c>
      <c r="J787" t="s">
        <v>1371</v>
      </c>
      <c r="K787" t="s">
        <v>32</v>
      </c>
      <c r="M787" t="s">
        <v>2564</v>
      </c>
      <c r="N787" t="s">
        <v>32</v>
      </c>
      <c r="O787" t="s">
        <v>32</v>
      </c>
      <c r="V787" t="s">
        <v>32</v>
      </c>
      <c r="X787" t="s">
        <v>2559</v>
      </c>
      <c r="AE787" t="s">
        <v>1755</v>
      </c>
      <c r="AI787" t="s">
        <v>29</v>
      </c>
      <c r="AK787" t="s">
        <v>32</v>
      </c>
      <c r="AN787">
        <v>0</v>
      </c>
      <c r="AO787" t="s">
        <v>1834</v>
      </c>
      <c r="AP787" t="s">
        <v>1834</v>
      </c>
      <c r="AQ787">
        <v>0</v>
      </c>
      <c r="AR787" t="s">
        <v>1835</v>
      </c>
    </row>
    <row r="788" spans="1:44" x14ac:dyDescent="0.25">
      <c r="A788" t="s">
        <v>2555</v>
      </c>
      <c r="B788" t="s">
        <v>2746</v>
      </c>
      <c r="D788" t="s">
        <v>1213</v>
      </c>
      <c r="E788" t="s">
        <v>1239</v>
      </c>
      <c r="F788" t="s">
        <v>422</v>
      </c>
      <c r="G788" t="str">
        <f>CONCATENATE(Master_Packing_Database[[#This Row],[Exp '#]],Master_Packing_Database[[#This Row],[Batch '#]])</f>
        <v>25-0412nd</v>
      </c>
      <c r="H788" t="s">
        <v>1240</v>
      </c>
      <c r="I788" t="s">
        <v>1241</v>
      </c>
      <c r="J788" t="s">
        <v>117</v>
      </c>
      <c r="K788" t="s">
        <v>32</v>
      </c>
      <c r="L788" t="s">
        <v>1242</v>
      </c>
      <c r="M788" t="s">
        <v>1030</v>
      </c>
      <c r="N788" t="s">
        <v>32</v>
      </c>
      <c r="O788" t="s">
        <v>32</v>
      </c>
      <c r="V788" t="s">
        <v>32</v>
      </c>
      <c r="X788" t="s">
        <v>2585</v>
      </c>
      <c r="Z788" t="s">
        <v>3053</v>
      </c>
      <c r="AB788" t="s">
        <v>3054</v>
      </c>
      <c r="AG788" t="s">
        <v>3055</v>
      </c>
      <c r="AI788" t="s">
        <v>915</v>
      </c>
      <c r="AK788" t="s">
        <v>32</v>
      </c>
      <c r="AN788">
        <v>0</v>
      </c>
      <c r="AO788" t="s">
        <v>1834</v>
      </c>
      <c r="AP788" t="s">
        <v>1834</v>
      </c>
      <c r="AQ788">
        <v>0</v>
      </c>
      <c r="AR788" t="s">
        <v>1835</v>
      </c>
    </row>
    <row r="789" spans="1:44" x14ac:dyDescent="0.25">
      <c r="A789" t="s">
        <v>2555</v>
      </c>
      <c r="B789" t="s">
        <v>2746</v>
      </c>
      <c r="D789" t="s">
        <v>1398</v>
      </c>
      <c r="E789" t="s">
        <v>1397</v>
      </c>
      <c r="F789" t="s">
        <v>1755</v>
      </c>
      <c r="G789" t="str">
        <f>CONCATENATE(Master_Packing_Database[[#This Row],[Exp '#]],Master_Packing_Database[[#This Row],[Batch '#]])</f>
        <v>MO-0140-</v>
      </c>
      <c r="H789" t="s">
        <v>1399</v>
      </c>
      <c r="I789" t="s">
        <v>1400</v>
      </c>
      <c r="J789" t="s">
        <v>117</v>
      </c>
      <c r="K789" t="s">
        <v>32</v>
      </c>
      <c r="L789" t="s">
        <v>1401</v>
      </c>
      <c r="M789" t="s">
        <v>116</v>
      </c>
      <c r="N789" t="s">
        <v>32</v>
      </c>
      <c r="O789" t="s">
        <v>32</v>
      </c>
      <c r="V789" t="s">
        <v>32</v>
      </c>
      <c r="X789" t="s">
        <v>2585</v>
      </c>
      <c r="AE789" t="s">
        <v>1755</v>
      </c>
      <c r="AI789" t="s">
        <v>915</v>
      </c>
      <c r="AK789" t="s">
        <v>32</v>
      </c>
      <c r="AN789">
        <v>0</v>
      </c>
      <c r="AO789" t="s">
        <v>1834</v>
      </c>
      <c r="AP789" t="s">
        <v>1834</v>
      </c>
      <c r="AQ789">
        <v>0</v>
      </c>
      <c r="AR789" t="s">
        <v>1835</v>
      </c>
    </row>
    <row r="790" spans="1:44" x14ac:dyDescent="0.25">
      <c r="A790" t="s">
        <v>2555</v>
      </c>
      <c r="B790" t="s">
        <v>2746</v>
      </c>
      <c r="D790" t="s">
        <v>27</v>
      </c>
      <c r="E790" t="s">
        <v>1409</v>
      </c>
      <c r="F790" t="s">
        <v>1755</v>
      </c>
      <c r="G790" t="str">
        <f>CONCATENATE(Master_Packing_Database[[#This Row],[Exp '#]],Master_Packing_Database[[#This Row],[Batch '#]])</f>
        <v>MO-0142-</v>
      </c>
      <c r="H790" t="s">
        <v>1410</v>
      </c>
      <c r="I790" t="s">
        <v>1173</v>
      </c>
      <c r="J790" t="s">
        <v>117</v>
      </c>
      <c r="K790" t="s">
        <v>32</v>
      </c>
      <c r="L790" t="s">
        <v>544</v>
      </c>
      <c r="M790" t="s">
        <v>544</v>
      </c>
      <c r="N790" t="s">
        <v>32</v>
      </c>
      <c r="O790" t="s">
        <v>32</v>
      </c>
      <c r="V790" t="s">
        <v>32</v>
      </c>
      <c r="X790" t="s">
        <v>2585</v>
      </c>
      <c r="AE790" t="s">
        <v>1755</v>
      </c>
      <c r="AI790" t="s">
        <v>915</v>
      </c>
      <c r="AK790" t="s">
        <v>32</v>
      </c>
      <c r="AN790">
        <v>0</v>
      </c>
      <c r="AO790" t="s">
        <v>1834</v>
      </c>
      <c r="AP790" t="s">
        <v>1834</v>
      </c>
      <c r="AQ790">
        <v>0</v>
      </c>
      <c r="AR790" t="s">
        <v>1835</v>
      </c>
    </row>
    <row r="791" spans="1:44" x14ac:dyDescent="0.25">
      <c r="A791" t="s">
        <v>2555</v>
      </c>
      <c r="B791" t="s">
        <v>2746</v>
      </c>
      <c r="D791" t="s">
        <v>3056</v>
      </c>
      <c r="E791" t="s">
        <v>3057</v>
      </c>
      <c r="F791" t="s">
        <v>1755</v>
      </c>
      <c r="G791" t="str">
        <f>CONCATENATE(Master_Packing_Database[[#This Row],[Exp '#]],Master_Packing_Database[[#This Row],[Batch '#]])</f>
        <v>MO-0158-</v>
      </c>
      <c r="H791" t="s">
        <v>3058</v>
      </c>
      <c r="I791" t="s">
        <v>3059</v>
      </c>
      <c r="J791" t="s">
        <v>1371</v>
      </c>
      <c r="K791" t="s">
        <v>32</v>
      </c>
      <c r="L791" t="s">
        <v>3060</v>
      </c>
      <c r="N791" t="s">
        <v>32</v>
      </c>
      <c r="O791" t="s">
        <v>32</v>
      </c>
      <c r="V791" t="s">
        <v>32</v>
      </c>
      <c r="X791" t="s">
        <v>2596</v>
      </c>
      <c r="AE791" t="s">
        <v>1755</v>
      </c>
      <c r="AI791" t="s">
        <v>32</v>
      </c>
      <c r="AK791" t="s">
        <v>32</v>
      </c>
      <c r="AN791">
        <v>0</v>
      </c>
      <c r="AO791" t="s">
        <v>1834</v>
      </c>
      <c r="AP791" t="s">
        <v>1834</v>
      </c>
      <c r="AQ791">
        <v>0</v>
      </c>
      <c r="AR791" t="s">
        <v>1835</v>
      </c>
    </row>
    <row r="792" spans="1:44" x14ac:dyDescent="0.25">
      <c r="A792" t="s">
        <v>2555</v>
      </c>
      <c r="B792" t="s">
        <v>2746</v>
      </c>
      <c r="D792" t="s">
        <v>3056</v>
      </c>
      <c r="E792" t="s">
        <v>3061</v>
      </c>
      <c r="F792" t="s">
        <v>1755</v>
      </c>
      <c r="G792" t="str">
        <f>CONCATENATE(Master_Packing_Database[[#This Row],[Exp '#]],Master_Packing_Database[[#This Row],[Batch '#]])</f>
        <v>MO-0163-</v>
      </c>
      <c r="H792" t="s">
        <v>3062</v>
      </c>
      <c r="I792" t="s">
        <v>3063</v>
      </c>
      <c r="J792" t="s">
        <v>1371</v>
      </c>
      <c r="K792" t="s">
        <v>32</v>
      </c>
      <c r="L792" t="s">
        <v>3064</v>
      </c>
      <c r="V792" t="s">
        <v>32</v>
      </c>
      <c r="X792" t="s">
        <v>2596</v>
      </c>
      <c r="AE792" t="s">
        <v>1755</v>
      </c>
      <c r="AI792" t="s">
        <v>32</v>
      </c>
      <c r="AK792" t="s">
        <v>32</v>
      </c>
      <c r="AN792">
        <v>0</v>
      </c>
      <c r="AO792" t="s">
        <v>1834</v>
      </c>
      <c r="AP792" t="s">
        <v>1834</v>
      </c>
      <c r="AQ792">
        <v>0</v>
      </c>
      <c r="AR792" t="s">
        <v>1835</v>
      </c>
    </row>
    <row r="793" spans="1:44" x14ac:dyDescent="0.25">
      <c r="A793" t="s">
        <v>2555</v>
      </c>
      <c r="B793" t="s">
        <v>2746</v>
      </c>
      <c r="D793" t="s">
        <v>3056</v>
      </c>
      <c r="E793" t="s">
        <v>3065</v>
      </c>
      <c r="F793" t="s">
        <v>1755</v>
      </c>
      <c r="G793" t="str">
        <f>CONCATENATE(Master_Packing_Database[[#This Row],[Exp '#]],Master_Packing_Database[[#This Row],[Batch '#]])</f>
        <v>MO-0166-</v>
      </c>
      <c r="H793" t="s">
        <v>3066</v>
      </c>
      <c r="I793" t="s">
        <v>1227</v>
      </c>
      <c r="J793" t="s">
        <v>1371</v>
      </c>
      <c r="K793" t="s">
        <v>32</v>
      </c>
      <c r="L793" t="s">
        <v>383</v>
      </c>
      <c r="M793" t="s">
        <v>116</v>
      </c>
      <c r="N793" t="s">
        <v>3067</v>
      </c>
      <c r="O793" t="s">
        <v>1064</v>
      </c>
      <c r="V793" t="s">
        <v>3068</v>
      </c>
      <c r="X793" t="s">
        <v>2684</v>
      </c>
      <c r="Y793" t="s">
        <v>3069</v>
      </c>
      <c r="AB793" t="s">
        <v>3070</v>
      </c>
      <c r="AE793" t="s">
        <v>1755</v>
      </c>
      <c r="AI793" t="s">
        <v>32</v>
      </c>
      <c r="AK793" t="s">
        <v>32</v>
      </c>
      <c r="AN793">
        <v>0</v>
      </c>
      <c r="AO793" t="s">
        <v>1834</v>
      </c>
      <c r="AP793" t="s">
        <v>1834</v>
      </c>
      <c r="AQ793">
        <v>0</v>
      </c>
      <c r="AR793" t="s">
        <v>1835</v>
      </c>
    </row>
    <row r="794" spans="1:44" x14ac:dyDescent="0.25">
      <c r="A794" t="s">
        <v>2555</v>
      </c>
      <c r="B794" t="s">
        <v>2746</v>
      </c>
      <c r="D794" t="s">
        <v>1433</v>
      </c>
      <c r="E794" t="s">
        <v>1432</v>
      </c>
      <c r="F794" t="s">
        <v>1755</v>
      </c>
      <c r="G794" t="str">
        <f>CONCATENATE(Master_Packing_Database[[#This Row],[Exp '#]],Master_Packing_Database[[#This Row],[Batch '#]])</f>
        <v>MO-0148-</v>
      </c>
      <c r="H794" t="s">
        <v>1434</v>
      </c>
      <c r="I794" t="s">
        <v>1435</v>
      </c>
      <c r="J794" t="s">
        <v>366</v>
      </c>
      <c r="K794" t="s">
        <v>32</v>
      </c>
      <c r="L794" t="s">
        <v>1436</v>
      </c>
      <c r="N794" t="s">
        <v>32</v>
      </c>
      <c r="O794" t="s">
        <v>32</v>
      </c>
      <c r="V794" t="s">
        <v>3071</v>
      </c>
      <c r="X794" t="s">
        <v>3072</v>
      </c>
      <c r="Y794" t="s">
        <v>3073</v>
      </c>
      <c r="AB794" t="s">
        <v>3074</v>
      </c>
      <c r="AE794" t="s">
        <v>1755</v>
      </c>
      <c r="AI794" t="s">
        <v>32</v>
      </c>
      <c r="AK794" t="s">
        <v>32</v>
      </c>
      <c r="AN794">
        <v>0</v>
      </c>
      <c r="AO794" t="s">
        <v>1834</v>
      </c>
      <c r="AP794" t="s">
        <v>1834</v>
      </c>
      <c r="AQ794">
        <v>0</v>
      </c>
      <c r="AR794" t="s">
        <v>1835</v>
      </c>
    </row>
    <row r="795" spans="1:44" x14ac:dyDescent="0.25">
      <c r="A795" t="s">
        <v>2555</v>
      </c>
      <c r="B795" t="s">
        <v>2746</v>
      </c>
      <c r="D795" t="s">
        <v>1158</v>
      </c>
      <c r="E795" t="s">
        <v>1366</v>
      </c>
      <c r="F795" t="s">
        <v>1755</v>
      </c>
      <c r="G795" t="str">
        <f>CONCATENATE(Master_Packing_Database[[#This Row],[Exp '#]],Master_Packing_Database[[#This Row],[Batch '#]])</f>
        <v>MO-0135-</v>
      </c>
      <c r="H795" t="s">
        <v>1367</v>
      </c>
      <c r="I795" t="s">
        <v>1368</v>
      </c>
      <c r="J795" t="s">
        <v>1371</v>
      </c>
      <c r="K795" t="s">
        <v>32</v>
      </c>
      <c r="L795" t="s">
        <v>544</v>
      </c>
      <c r="M795" t="s">
        <v>116</v>
      </c>
      <c r="N795" t="s">
        <v>1369</v>
      </c>
      <c r="O795" t="s">
        <v>1370</v>
      </c>
      <c r="V795" t="s">
        <v>32</v>
      </c>
      <c r="X795" t="s">
        <v>2691</v>
      </c>
      <c r="AB795" t="s">
        <v>3054</v>
      </c>
      <c r="AE795" t="s">
        <v>1755</v>
      </c>
      <c r="AI795" t="s">
        <v>32</v>
      </c>
      <c r="AK795" t="s">
        <v>32</v>
      </c>
      <c r="AN795">
        <v>0</v>
      </c>
      <c r="AO795" t="s">
        <v>1834</v>
      </c>
      <c r="AP795" t="s">
        <v>1834</v>
      </c>
      <c r="AQ795">
        <v>0</v>
      </c>
      <c r="AR795" t="s">
        <v>1835</v>
      </c>
    </row>
    <row r="796" spans="1:44" x14ac:dyDescent="0.25">
      <c r="A796" t="s">
        <v>2555</v>
      </c>
      <c r="B796" t="s">
        <v>2746</v>
      </c>
      <c r="D796" t="s">
        <v>27</v>
      </c>
      <c r="E796" t="s">
        <v>1376</v>
      </c>
      <c r="F796" t="s">
        <v>1755</v>
      </c>
      <c r="G796" t="str">
        <f>CONCATENATE(Master_Packing_Database[[#This Row],[Exp '#]],Master_Packing_Database[[#This Row],[Batch '#]])</f>
        <v>MO-0137-</v>
      </c>
      <c r="H796" t="s">
        <v>1377</v>
      </c>
      <c r="I796" t="s">
        <v>1378</v>
      </c>
      <c r="J796" t="s">
        <v>1371</v>
      </c>
      <c r="K796" t="s">
        <v>32</v>
      </c>
      <c r="L796" t="s">
        <v>226</v>
      </c>
      <c r="M796" t="s">
        <v>116</v>
      </c>
      <c r="N796" t="s">
        <v>1379</v>
      </c>
      <c r="O796" t="s">
        <v>1380</v>
      </c>
      <c r="V796" t="s">
        <v>32</v>
      </c>
      <c r="X796" t="s">
        <v>2691</v>
      </c>
      <c r="AB796" t="s">
        <v>3054</v>
      </c>
      <c r="AE796" t="s">
        <v>1755</v>
      </c>
      <c r="AI796" t="s">
        <v>32</v>
      </c>
      <c r="AK796" t="s">
        <v>32</v>
      </c>
      <c r="AN796">
        <v>0</v>
      </c>
      <c r="AO796" t="s">
        <v>1834</v>
      </c>
      <c r="AP796" t="s">
        <v>1834</v>
      </c>
      <c r="AQ796">
        <v>0</v>
      </c>
      <c r="AR796" t="s">
        <v>1835</v>
      </c>
    </row>
    <row r="797" spans="1:44" x14ac:dyDescent="0.25">
      <c r="A797" t="s">
        <v>2555</v>
      </c>
      <c r="B797" t="s">
        <v>2746</v>
      </c>
      <c r="D797" t="s">
        <v>1433</v>
      </c>
      <c r="E797" t="s">
        <v>1440</v>
      </c>
      <c r="F797" t="s">
        <v>1755</v>
      </c>
      <c r="G797" t="str">
        <f>CONCATENATE(Master_Packing_Database[[#This Row],[Exp '#]],Master_Packing_Database[[#This Row],[Batch '#]])</f>
        <v>MO-0150-</v>
      </c>
      <c r="H797" t="s">
        <v>1441</v>
      </c>
      <c r="I797" t="s">
        <v>1227</v>
      </c>
      <c r="J797" t="s">
        <v>366</v>
      </c>
      <c r="K797" t="s">
        <v>32</v>
      </c>
      <c r="L797" t="s">
        <v>849</v>
      </c>
      <c r="M797" t="s">
        <v>116</v>
      </c>
      <c r="N797" t="s">
        <v>1442</v>
      </c>
      <c r="O797" t="s">
        <v>1443</v>
      </c>
      <c r="V797" t="s">
        <v>3071</v>
      </c>
      <c r="X797" t="s">
        <v>3072</v>
      </c>
      <c r="Y797" t="s">
        <v>3073</v>
      </c>
      <c r="AB797" t="s">
        <v>3074</v>
      </c>
      <c r="AE797" t="s">
        <v>1755</v>
      </c>
      <c r="AI797" t="s">
        <v>32</v>
      </c>
      <c r="AK797" t="s">
        <v>32</v>
      </c>
      <c r="AN797">
        <v>0</v>
      </c>
      <c r="AO797" t="s">
        <v>1834</v>
      </c>
      <c r="AP797" t="s">
        <v>1834</v>
      </c>
      <c r="AQ797">
        <v>0</v>
      </c>
      <c r="AR797" t="s">
        <v>1835</v>
      </c>
    </row>
    <row r="798" spans="1:44" x14ac:dyDescent="0.25">
      <c r="A798" t="s">
        <v>2555</v>
      </c>
      <c r="B798" t="s">
        <v>2746</v>
      </c>
      <c r="D798" t="s">
        <v>27</v>
      </c>
      <c r="E798" t="s">
        <v>1448</v>
      </c>
      <c r="F798" t="s">
        <v>1755</v>
      </c>
      <c r="G798" t="str">
        <f>CONCATENATE(Master_Packing_Database[[#This Row],[Exp '#]],Master_Packing_Database[[#This Row],[Batch '#]])</f>
        <v>MO-0153-</v>
      </c>
      <c r="H798" t="s">
        <v>1449</v>
      </c>
      <c r="I798" t="s">
        <v>846</v>
      </c>
      <c r="J798" t="s">
        <v>1371</v>
      </c>
      <c r="K798" t="s">
        <v>32</v>
      </c>
      <c r="N798" t="s">
        <v>32</v>
      </c>
      <c r="O798" t="s">
        <v>32</v>
      </c>
      <c r="V798" t="s">
        <v>3071</v>
      </c>
      <c r="X798" t="s">
        <v>3072</v>
      </c>
      <c r="Y798" t="s">
        <v>3073</v>
      </c>
      <c r="AB798" t="s">
        <v>3074</v>
      </c>
      <c r="AE798" t="s">
        <v>1755</v>
      </c>
      <c r="AI798" t="s">
        <v>32</v>
      </c>
      <c r="AK798" t="s">
        <v>32</v>
      </c>
      <c r="AN798">
        <v>0</v>
      </c>
      <c r="AO798" t="s">
        <v>1834</v>
      </c>
      <c r="AP798" t="s">
        <v>1834</v>
      </c>
      <c r="AQ798">
        <v>0</v>
      </c>
      <c r="AR798" t="s">
        <v>1835</v>
      </c>
    </row>
    <row r="799" spans="1:44" x14ac:dyDescent="0.25">
      <c r="A799" t="s">
        <v>2555</v>
      </c>
      <c r="B799" t="s">
        <v>2746</v>
      </c>
      <c r="D799" t="s">
        <v>1429</v>
      </c>
      <c r="E799" t="s">
        <v>1428</v>
      </c>
      <c r="F799" t="s">
        <v>1755</v>
      </c>
      <c r="G799" t="str">
        <f>CONCATENATE(Master_Packing_Database[[#This Row],[Exp '#]],Master_Packing_Database[[#This Row],[Batch '#]])</f>
        <v>MO-0147-</v>
      </c>
      <c r="H799" t="s">
        <v>1430</v>
      </c>
      <c r="I799" t="s">
        <v>1431</v>
      </c>
      <c r="J799" t="s">
        <v>1371</v>
      </c>
      <c r="K799" t="s">
        <v>32</v>
      </c>
      <c r="N799" t="s">
        <v>32</v>
      </c>
      <c r="O799" t="s">
        <v>32</v>
      </c>
      <c r="V799" t="s">
        <v>3071</v>
      </c>
      <c r="X799" t="s">
        <v>3072</v>
      </c>
      <c r="Y799" t="s">
        <v>3073</v>
      </c>
      <c r="AB799" t="s">
        <v>3074</v>
      </c>
      <c r="AE799" t="s">
        <v>1755</v>
      </c>
      <c r="AI799" t="s">
        <v>32</v>
      </c>
      <c r="AK799" t="s">
        <v>32</v>
      </c>
      <c r="AN799">
        <v>0</v>
      </c>
      <c r="AO799" t="s">
        <v>1834</v>
      </c>
      <c r="AP799" t="s">
        <v>1834</v>
      </c>
      <c r="AQ799">
        <v>0</v>
      </c>
      <c r="AR799" t="s">
        <v>1835</v>
      </c>
    </row>
    <row r="800" spans="1:44" x14ac:dyDescent="0.25">
      <c r="A800" t="s">
        <v>2555</v>
      </c>
      <c r="B800" t="s">
        <v>2746</v>
      </c>
      <c r="D800" t="s">
        <v>1392</v>
      </c>
      <c r="E800" t="s">
        <v>1450</v>
      </c>
      <c r="F800" t="s">
        <v>1755</v>
      </c>
      <c r="G800" t="str">
        <f>CONCATENATE(Master_Packing_Database[[#This Row],[Exp '#]],Master_Packing_Database[[#This Row],[Batch '#]])</f>
        <v>MO-0155-</v>
      </c>
      <c r="H800" t="s">
        <v>1451</v>
      </c>
      <c r="I800" t="s">
        <v>1452</v>
      </c>
      <c r="J800" t="s">
        <v>1371</v>
      </c>
      <c r="K800" t="s">
        <v>32</v>
      </c>
      <c r="L800" t="s">
        <v>728</v>
      </c>
      <c r="N800" t="s">
        <v>32</v>
      </c>
      <c r="O800" t="s">
        <v>32</v>
      </c>
      <c r="V800" t="s">
        <v>3071</v>
      </c>
      <c r="X800" t="s">
        <v>3072</v>
      </c>
      <c r="Y800" t="s">
        <v>3073</v>
      </c>
      <c r="AB800" t="s">
        <v>3074</v>
      </c>
      <c r="AE800" t="s">
        <v>1755</v>
      </c>
      <c r="AI800" t="s">
        <v>32</v>
      </c>
      <c r="AK800" t="s">
        <v>32</v>
      </c>
      <c r="AN800">
        <v>0</v>
      </c>
      <c r="AO800" t="s">
        <v>1834</v>
      </c>
      <c r="AP800" t="s">
        <v>1834</v>
      </c>
      <c r="AQ800">
        <v>0</v>
      </c>
      <c r="AR800" t="s">
        <v>1835</v>
      </c>
    </row>
    <row r="801" spans="1:44" x14ac:dyDescent="0.25">
      <c r="A801" t="s">
        <v>2555</v>
      </c>
      <c r="B801" t="s">
        <v>2746</v>
      </c>
      <c r="D801" t="s">
        <v>3075</v>
      </c>
      <c r="E801" t="s">
        <v>3076</v>
      </c>
      <c r="F801" t="s">
        <v>1755</v>
      </c>
      <c r="G801" t="str">
        <f>CONCATENATE(Master_Packing_Database[[#This Row],[Exp '#]],Master_Packing_Database[[#This Row],[Batch '#]])</f>
        <v>MO-0159-</v>
      </c>
      <c r="H801" t="s">
        <v>3077</v>
      </c>
      <c r="I801" t="s">
        <v>3078</v>
      </c>
      <c r="J801" t="s">
        <v>1371</v>
      </c>
      <c r="K801" t="s">
        <v>32</v>
      </c>
      <c r="L801" t="s">
        <v>116</v>
      </c>
      <c r="M801" t="s">
        <v>599</v>
      </c>
      <c r="N801" t="s">
        <v>32</v>
      </c>
      <c r="O801" t="s">
        <v>32</v>
      </c>
      <c r="V801" t="s">
        <v>3071</v>
      </c>
      <c r="X801" t="s">
        <v>3079</v>
      </c>
      <c r="Y801" t="s">
        <v>3080</v>
      </c>
      <c r="AB801" t="s">
        <v>3074</v>
      </c>
      <c r="AE801" t="s">
        <v>1755</v>
      </c>
      <c r="AI801" t="s">
        <v>32</v>
      </c>
      <c r="AK801" t="s">
        <v>32</v>
      </c>
      <c r="AN801">
        <v>0</v>
      </c>
      <c r="AO801" t="s">
        <v>1834</v>
      </c>
      <c r="AP801" t="s">
        <v>1834</v>
      </c>
      <c r="AQ801">
        <v>0</v>
      </c>
      <c r="AR801" t="s">
        <v>1835</v>
      </c>
    </row>
    <row r="802" spans="1:44" x14ac:dyDescent="0.25">
      <c r="A802" t="s">
        <v>2555</v>
      </c>
      <c r="B802" t="s">
        <v>2746</v>
      </c>
      <c r="D802" t="s">
        <v>3081</v>
      </c>
      <c r="E802" t="s">
        <v>3082</v>
      </c>
      <c r="F802" t="s">
        <v>1755</v>
      </c>
      <c r="G802" t="str">
        <f>CONCATENATE(Master_Packing_Database[[#This Row],[Exp '#]],Master_Packing_Database[[#This Row],[Batch '#]])</f>
        <v>MO-0162-</v>
      </c>
      <c r="H802" t="s">
        <v>3083</v>
      </c>
      <c r="I802" t="s">
        <v>3084</v>
      </c>
      <c r="J802" t="s">
        <v>1371</v>
      </c>
      <c r="K802" t="s">
        <v>32</v>
      </c>
      <c r="L802" t="s">
        <v>116</v>
      </c>
      <c r="N802" t="s">
        <v>32</v>
      </c>
      <c r="O802" t="s">
        <v>32</v>
      </c>
      <c r="V802" t="s">
        <v>3071</v>
      </c>
      <c r="X802" t="s">
        <v>3085</v>
      </c>
      <c r="Y802" t="s">
        <v>714</v>
      </c>
      <c r="AB802" t="s">
        <v>3074</v>
      </c>
      <c r="AE802" t="s">
        <v>1755</v>
      </c>
      <c r="AI802" t="s">
        <v>32</v>
      </c>
      <c r="AK802" t="s">
        <v>32</v>
      </c>
      <c r="AN802">
        <v>0</v>
      </c>
      <c r="AO802" t="s">
        <v>1834</v>
      </c>
      <c r="AP802" t="s">
        <v>1834</v>
      </c>
      <c r="AQ802">
        <v>0</v>
      </c>
      <c r="AR802" t="s">
        <v>1835</v>
      </c>
    </row>
    <row r="803" spans="1:44" x14ac:dyDescent="0.25">
      <c r="A803" t="s">
        <v>2555</v>
      </c>
      <c r="B803" t="s">
        <v>2746</v>
      </c>
      <c r="D803" t="s">
        <v>3075</v>
      </c>
      <c r="E803" t="s">
        <v>3086</v>
      </c>
      <c r="F803" t="s">
        <v>1755</v>
      </c>
      <c r="G803" t="str">
        <f>CONCATENATE(Master_Packing_Database[[#This Row],[Exp '#]],Master_Packing_Database[[#This Row],[Batch '#]])</f>
        <v>MO-0160-</v>
      </c>
      <c r="H803" t="s">
        <v>3087</v>
      </c>
      <c r="I803" t="s">
        <v>3088</v>
      </c>
      <c r="J803" t="s">
        <v>1371</v>
      </c>
      <c r="K803" t="s">
        <v>32</v>
      </c>
      <c r="L803" t="s">
        <v>116</v>
      </c>
      <c r="M803" t="s">
        <v>116</v>
      </c>
      <c r="N803" t="s">
        <v>3089</v>
      </c>
      <c r="O803" t="s">
        <v>3090</v>
      </c>
      <c r="V803" t="s">
        <v>3091</v>
      </c>
      <c r="X803" t="s">
        <v>3085</v>
      </c>
      <c r="Y803" t="s">
        <v>3092</v>
      </c>
      <c r="AB803" t="s">
        <v>3093</v>
      </c>
      <c r="AE803" t="s">
        <v>1755</v>
      </c>
      <c r="AI803" t="s">
        <v>32</v>
      </c>
      <c r="AK803" t="s">
        <v>32</v>
      </c>
      <c r="AN803">
        <v>0</v>
      </c>
      <c r="AO803" t="s">
        <v>1834</v>
      </c>
      <c r="AP803" t="s">
        <v>1834</v>
      </c>
      <c r="AQ803">
        <v>0</v>
      </c>
      <c r="AR803" t="s">
        <v>1835</v>
      </c>
    </row>
    <row r="804" spans="1:44" x14ac:dyDescent="0.25">
      <c r="A804" t="s">
        <v>2555</v>
      </c>
      <c r="B804" t="s">
        <v>2746</v>
      </c>
      <c r="D804" t="s">
        <v>1454</v>
      </c>
      <c r="E804" t="s">
        <v>3094</v>
      </c>
      <c r="F804" t="s">
        <v>1755</v>
      </c>
      <c r="G804" t="str">
        <f>CONCATENATE(Master_Packing_Database[[#This Row],[Exp '#]],Master_Packing_Database[[#This Row],[Batch '#]])</f>
        <v>MO-0154-</v>
      </c>
      <c r="H804" t="s">
        <v>3095</v>
      </c>
      <c r="I804" t="s">
        <v>660</v>
      </c>
      <c r="J804" t="s">
        <v>1371</v>
      </c>
      <c r="K804" t="s">
        <v>32</v>
      </c>
      <c r="V804" t="s">
        <v>3068</v>
      </c>
      <c r="X804" t="s">
        <v>3085</v>
      </c>
      <c r="Y804" t="s">
        <v>3096</v>
      </c>
      <c r="AB804" t="s">
        <v>3070</v>
      </c>
      <c r="AE804" t="s">
        <v>1755</v>
      </c>
      <c r="AI804" t="s">
        <v>32</v>
      </c>
      <c r="AK804" t="s">
        <v>32</v>
      </c>
      <c r="AN804">
        <v>0</v>
      </c>
      <c r="AO804" t="s">
        <v>1834</v>
      </c>
      <c r="AP804" t="s">
        <v>1834</v>
      </c>
      <c r="AQ804">
        <v>0</v>
      </c>
      <c r="AR804" t="s">
        <v>1835</v>
      </c>
    </row>
    <row r="805" spans="1:44" x14ac:dyDescent="0.25">
      <c r="A805" t="s">
        <v>2555</v>
      </c>
      <c r="B805" t="s">
        <v>2746</v>
      </c>
      <c r="D805" t="s">
        <v>3097</v>
      </c>
      <c r="E805" t="s">
        <v>3098</v>
      </c>
      <c r="F805" t="s">
        <v>1755</v>
      </c>
      <c r="G805" t="str">
        <f>CONCATENATE(Master_Packing_Database[[#This Row],[Exp '#]],Master_Packing_Database[[#This Row],[Batch '#]])</f>
        <v>MO-0165-</v>
      </c>
      <c r="H805" t="s">
        <v>3099</v>
      </c>
      <c r="I805" t="s">
        <v>3100</v>
      </c>
      <c r="J805" t="s">
        <v>1371</v>
      </c>
      <c r="K805" t="s">
        <v>32</v>
      </c>
      <c r="L805" t="s">
        <v>544</v>
      </c>
      <c r="M805" t="s">
        <v>544</v>
      </c>
      <c r="N805" t="s">
        <v>3101</v>
      </c>
      <c r="O805" t="s">
        <v>3102</v>
      </c>
      <c r="V805" t="s">
        <v>3068</v>
      </c>
      <c r="X805" t="s">
        <v>2703</v>
      </c>
      <c r="Y805" t="s">
        <v>3103</v>
      </c>
      <c r="AB805" t="s">
        <v>3070</v>
      </c>
      <c r="AE805" t="s">
        <v>1755</v>
      </c>
      <c r="AI805" t="s">
        <v>32</v>
      </c>
      <c r="AK805" t="s">
        <v>32</v>
      </c>
      <c r="AN805">
        <v>0</v>
      </c>
      <c r="AO805" t="s">
        <v>1834</v>
      </c>
      <c r="AP805" t="s">
        <v>1834</v>
      </c>
      <c r="AQ805">
        <v>0</v>
      </c>
      <c r="AR805" t="s">
        <v>1835</v>
      </c>
    </row>
    <row r="806" spans="1:44" x14ac:dyDescent="0.25">
      <c r="A806" t="s">
        <v>2555</v>
      </c>
      <c r="B806" t="s">
        <v>2746</v>
      </c>
      <c r="D806" t="s">
        <v>3056</v>
      </c>
      <c r="E806" t="s">
        <v>3104</v>
      </c>
      <c r="F806" t="s">
        <v>1755</v>
      </c>
      <c r="G806" t="str">
        <f>CONCATENATE(Master_Packing_Database[[#This Row],[Exp '#]],Master_Packing_Database[[#This Row],[Batch '#]])</f>
        <v>MO-0167-</v>
      </c>
      <c r="H806" t="s">
        <v>3105</v>
      </c>
      <c r="I806" t="s">
        <v>3106</v>
      </c>
      <c r="J806" t="s">
        <v>1371</v>
      </c>
      <c r="K806" t="s">
        <v>32</v>
      </c>
      <c r="L806" t="s">
        <v>3107</v>
      </c>
      <c r="M806" t="s">
        <v>544</v>
      </c>
      <c r="V806" t="s">
        <v>3068</v>
      </c>
      <c r="X806" t="s">
        <v>2703</v>
      </c>
      <c r="Y806" t="s">
        <v>3103</v>
      </c>
      <c r="AB806" t="s">
        <v>3070</v>
      </c>
      <c r="AE806" t="s">
        <v>1755</v>
      </c>
      <c r="AI806" t="s">
        <v>32</v>
      </c>
      <c r="AK806" t="s">
        <v>32</v>
      </c>
      <c r="AN806">
        <v>0</v>
      </c>
      <c r="AO806" t="s">
        <v>1834</v>
      </c>
      <c r="AP806" t="s">
        <v>1834</v>
      </c>
      <c r="AQ806">
        <v>0</v>
      </c>
      <c r="AR806" t="s">
        <v>1835</v>
      </c>
    </row>
    <row r="807" spans="1:44" x14ac:dyDescent="0.25">
      <c r="A807" t="s">
        <v>2555</v>
      </c>
      <c r="B807" t="s">
        <v>2746</v>
      </c>
      <c r="D807" t="s">
        <v>3056</v>
      </c>
      <c r="E807" t="s">
        <v>3108</v>
      </c>
      <c r="F807" t="s">
        <v>1755</v>
      </c>
      <c r="G807" t="str">
        <f>CONCATENATE(Master_Packing_Database[[#This Row],[Exp '#]],Master_Packing_Database[[#This Row],[Batch '#]])</f>
        <v>MO-0168-</v>
      </c>
      <c r="H807" t="s">
        <v>3109</v>
      </c>
      <c r="I807" t="s">
        <v>660</v>
      </c>
      <c r="J807" t="s">
        <v>1371</v>
      </c>
      <c r="K807" t="s">
        <v>32</v>
      </c>
      <c r="V807" t="s">
        <v>3068</v>
      </c>
      <c r="X807" t="s">
        <v>2601</v>
      </c>
      <c r="Y807" t="s">
        <v>3110</v>
      </c>
      <c r="AB807" t="s">
        <v>3070</v>
      </c>
      <c r="AE807" t="s">
        <v>1755</v>
      </c>
      <c r="AI807" t="s">
        <v>32</v>
      </c>
      <c r="AK807" t="s">
        <v>32</v>
      </c>
      <c r="AN807">
        <v>0</v>
      </c>
      <c r="AO807" t="s">
        <v>1834</v>
      </c>
      <c r="AP807" t="s">
        <v>1834</v>
      </c>
      <c r="AQ807">
        <v>0</v>
      </c>
      <c r="AR807" t="s">
        <v>1835</v>
      </c>
    </row>
    <row r="808" spans="1:44" x14ac:dyDescent="0.25">
      <c r="A808" t="s">
        <v>2555</v>
      </c>
      <c r="B808" t="s">
        <v>2746</v>
      </c>
      <c r="D808" t="s">
        <v>3056</v>
      </c>
      <c r="E808" t="s">
        <v>3111</v>
      </c>
      <c r="F808" t="s">
        <v>1755</v>
      </c>
      <c r="G808" t="str">
        <f>CONCATENATE(Master_Packing_Database[[#This Row],[Exp '#]],Master_Packing_Database[[#This Row],[Batch '#]])</f>
        <v>MO-0173-</v>
      </c>
      <c r="H808" t="s">
        <v>3112</v>
      </c>
      <c r="I808" t="s">
        <v>3113</v>
      </c>
      <c r="J808" t="s">
        <v>1371</v>
      </c>
      <c r="K808" t="s">
        <v>32</v>
      </c>
      <c r="L808" t="s">
        <v>3114</v>
      </c>
      <c r="M808" t="s">
        <v>599</v>
      </c>
      <c r="N808" t="s">
        <v>1064</v>
      </c>
      <c r="O808" t="s">
        <v>3115</v>
      </c>
      <c r="V808" t="s">
        <v>3068</v>
      </c>
      <c r="X808" t="s">
        <v>3116</v>
      </c>
      <c r="Y808" t="s">
        <v>3117</v>
      </c>
      <c r="AB808" t="s">
        <v>3070</v>
      </c>
      <c r="AE808" t="s">
        <v>1755</v>
      </c>
      <c r="AI808" t="s">
        <v>32</v>
      </c>
      <c r="AK808" t="s">
        <v>32</v>
      </c>
      <c r="AN808">
        <v>0</v>
      </c>
      <c r="AO808" t="s">
        <v>1834</v>
      </c>
      <c r="AP808" t="s">
        <v>1834</v>
      </c>
      <c r="AQ808">
        <v>0</v>
      </c>
      <c r="AR808" t="s">
        <v>1835</v>
      </c>
    </row>
    <row r="809" spans="1:44" x14ac:dyDescent="0.25">
      <c r="A809" t="s">
        <v>2555</v>
      </c>
      <c r="B809" t="s">
        <v>2746</v>
      </c>
      <c r="D809" t="s">
        <v>3056</v>
      </c>
      <c r="E809" t="s">
        <v>3118</v>
      </c>
      <c r="F809" t="s">
        <v>1755</v>
      </c>
      <c r="G809" t="str">
        <f>CONCATENATE(Master_Packing_Database[[#This Row],[Exp '#]],Master_Packing_Database[[#This Row],[Batch '#]])</f>
        <v>MO-0171-</v>
      </c>
      <c r="H809" t="s">
        <v>3119</v>
      </c>
      <c r="I809" t="s">
        <v>3120</v>
      </c>
      <c r="J809" t="s">
        <v>1371</v>
      </c>
      <c r="K809" t="s">
        <v>32</v>
      </c>
      <c r="L809" t="s">
        <v>3121</v>
      </c>
      <c r="V809" t="s">
        <v>3068</v>
      </c>
      <c r="X809" t="s">
        <v>3122</v>
      </c>
      <c r="Y809" t="s">
        <v>3123</v>
      </c>
      <c r="AB809" t="s">
        <v>3070</v>
      </c>
      <c r="AE809" t="s">
        <v>1755</v>
      </c>
      <c r="AI809" t="s">
        <v>32</v>
      </c>
      <c r="AK809" t="s">
        <v>32</v>
      </c>
      <c r="AN809">
        <v>0</v>
      </c>
      <c r="AO809" t="s">
        <v>1834</v>
      </c>
      <c r="AP809" t="s">
        <v>1834</v>
      </c>
      <c r="AQ809">
        <v>0</v>
      </c>
      <c r="AR809" t="s">
        <v>1835</v>
      </c>
    </row>
    <row r="810" spans="1:44" x14ac:dyDescent="0.25">
      <c r="A810" t="s">
        <v>2555</v>
      </c>
      <c r="B810" t="s">
        <v>2746</v>
      </c>
      <c r="D810" t="s">
        <v>3056</v>
      </c>
      <c r="E810" t="s">
        <v>3124</v>
      </c>
      <c r="F810" t="s">
        <v>1755</v>
      </c>
      <c r="G810" t="str">
        <f>CONCATENATE(Master_Packing_Database[[#This Row],[Exp '#]],Master_Packing_Database[[#This Row],[Batch '#]])</f>
        <v>MO-0172-</v>
      </c>
      <c r="H810" t="s">
        <v>3125</v>
      </c>
      <c r="I810" t="s">
        <v>3126</v>
      </c>
      <c r="J810" t="s">
        <v>366</v>
      </c>
      <c r="K810" t="s">
        <v>32</v>
      </c>
      <c r="L810" t="s">
        <v>453</v>
      </c>
      <c r="M810" t="s">
        <v>116</v>
      </c>
      <c r="N810" t="s">
        <v>3127</v>
      </c>
      <c r="O810" t="s">
        <v>3067</v>
      </c>
      <c r="V810" t="s">
        <v>3068</v>
      </c>
      <c r="X810" t="s">
        <v>3128</v>
      </c>
      <c r="Y810" t="s">
        <v>3129</v>
      </c>
      <c r="AB810" t="s">
        <v>3070</v>
      </c>
      <c r="AE810" t="s">
        <v>1755</v>
      </c>
      <c r="AI810" t="s">
        <v>32</v>
      </c>
      <c r="AK810" t="s">
        <v>32</v>
      </c>
      <c r="AN810">
        <v>0</v>
      </c>
      <c r="AO810" t="s">
        <v>1834</v>
      </c>
      <c r="AP810" t="s">
        <v>1834</v>
      </c>
      <c r="AQ810">
        <v>0</v>
      </c>
      <c r="AR810" t="s">
        <v>1835</v>
      </c>
    </row>
    <row r="811" spans="1:44" x14ac:dyDescent="0.25">
      <c r="A811" t="s">
        <v>2555</v>
      </c>
      <c r="B811" t="s">
        <v>2746</v>
      </c>
      <c r="D811" t="s">
        <v>3056</v>
      </c>
      <c r="E811" t="s">
        <v>3130</v>
      </c>
      <c r="F811" t="s">
        <v>1755</v>
      </c>
      <c r="G811" t="str">
        <f>CONCATENATE(Master_Packing_Database[[#This Row],[Exp '#]],Master_Packing_Database[[#This Row],[Batch '#]])</f>
        <v>MO-0174-</v>
      </c>
      <c r="H811" t="s">
        <v>3131</v>
      </c>
      <c r="I811" t="s">
        <v>3132</v>
      </c>
      <c r="J811" t="s">
        <v>1371</v>
      </c>
      <c r="K811" t="s">
        <v>32</v>
      </c>
      <c r="V811" t="s">
        <v>3068</v>
      </c>
      <c r="X811" t="s">
        <v>3133</v>
      </c>
      <c r="Y811" t="s">
        <v>3134</v>
      </c>
      <c r="AB811" t="s">
        <v>3070</v>
      </c>
      <c r="AE811" t="s">
        <v>1755</v>
      </c>
      <c r="AI811" t="s">
        <v>32</v>
      </c>
      <c r="AK811" t="s">
        <v>32</v>
      </c>
      <c r="AN811">
        <v>0</v>
      </c>
      <c r="AO811" t="s">
        <v>1834</v>
      </c>
      <c r="AP811" t="s">
        <v>1834</v>
      </c>
      <c r="AQ811">
        <v>0</v>
      </c>
      <c r="AR811" t="s">
        <v>1835</v>
      </c>
    </row>
    <row r="812" spans="1:44" x14ac:dyDescent="0.25">
      <c r="A812" t="s">
        <v>2555</v>
      </c>
      <c r="B812" t="s">
        <v>2746</v>
      </c>
      <c r="D812" t="s">
        <v>3056</v>
      </c>
      <c r="E812" t="s">
        <v>3135</v>
      </c>
      <c r="F812" t="s">
        <v>1755</v>
      </c>
      <c r="G812" t="str">
        <f>CONCATENATE(Master_Packing_Database[[#This Row],[Exp '#]],Master_Packing_Database[[#This Row],[Batch '#]])</f>
        <v>MO-0176-</v>
      </c>
      <c r="H812" t="s">
        <v>3136</v>
      </c>
      <c r="I812" t="s">
        <v>1173</v>
      </c>
      <c r="J812" t="s">
        <v>117</v>
      </c>
      <c r="K812" t="s">
        <v>32</v>
      </c>
      <c r="L812" t="s">
        <v>544</v>
      </c>
      <c r="M812" t="s">
        <v>544</v>
      </c>
      <c r="N812" t="s">
        <v>3137</v>
      </c>
      <c r="O812" t="s">
        <v>3138</v>
      </c>
      <c r="V812" t="s">
        <v>3068</v>
      </c>
      <c r="X812" t="s">
        <v>3139</v>
      </c>
      <c r="Y812" t="s">
        <v>3140</v>
      </c>
      <c r="AB812" t="s">
        <v>3070</v>
      </c>
      <c r="AE812" t="s">
        <v>1755</v>
      </c>
      <c r="AI812" t="s">
        <v>32</v>
      </c>
      <c r="AK812" t="s">
        <v>32</v>
      </c>
      <c r="AN812">
        <v>0</v>
      </c>
      <c r="AO812" t="s">
        <v>1834</v>
      </c>
      <c r="AP812" t="s">
        <v>1834</v>
      </c>
      <c r="AQ812">
        <v>0</v>
      </c>
      <c r="AR812" t="s">
        <v>1835</v>
      </c>
    </row>
    <row r="813" spans="1:44" x14ac:dyDescent="0.25">
      <c r="A813" t="s">
        <v>3141</v>
      </c>
      <c r="D813" t="s">
        <v>3142</v>
      </c>
      <c r="E813" t="s">
        <v>3143</v>
      </c>
      <c r="F813" t="s">
        <v>1755</v>
      </c>
      <c r="G813" t="str">
        <f>CONCATENATE(Master_Packing_Database[[#This Row],[Exp '#]],Master_Packing_Database[[#This Row],[Batch '#]])</f>
        <v>2060th-</v>
      </c>
      <c r="H813" t="s">
        <v>3144</v>
      </c>
      <c r="I813" t="s">
        <v>3145</v>
      </c>
      <c r="J813" t="s">
        <v>117</v>
      </c>
      <c r="K813" t="s">
        <v>1147</v>
      </c>
      <c r="L813" t="s">
        <v>599</v>
      </c>
      <c r="M813" t="s">
        <v>599</v>
      </c>
      <c r="N813" t="s">
        <v>3146</v>
      </c>
      <c r="O813" t="s">
        <v>3147</v>
      </c>
      <c r="V813" t="s">
        <v>3148</v>
      </c>
      <c r="X813" t="s">
        <v>3149</v>
      </c>
      <c r="Y813" t="s">
        <v>1030</v>
      </c>
      <c r="Z813" t="s">
        <v>376</v>
      </c>
      <c r="AB813" t="s">
        <v>3150</v>
      </c>
      <c r="AE813" t="s">
        <v>3149</v>
      </c>
      <c r="AG813" t="s">
        <v>1303</v>
      </c>
      <c r="AI813" t="s">
        <v>29</v>
      </c>
      <c r="AK813" t="s">
        <v>3151</v>
      </c>
      <c r="AL813" t="s">
        <v>3152</v>
      </c>
      <c r="AN813">
        <v>0</v>
      </c>
      <c r="AO813" t="s">
        <v>1834</v>
      </c>
      <c r="AP813" t="s">
        <v>1834</v>
      </c>
      <c r="AQ813">
        <v>0</v>
      </c>
      <c r="AR813" t="s">
        <v>1758</v>
      </c>
    </row>
    <row r="814" spans="1:44" x14ac:dyDescent="0.25">
      <c r="A814" t="s">
        <v>3141</v>
      </c>
      <c r="D814" t="s">
        <v>3142</v>
      </c>
      <c r="E814" t="s">
        <v>3143</v>
      </c>
      <c r="F814" t="s">
        <v>1755</v>
      </c>
      <c r="G814" t="str">
        <f>CONCATENATE(Master_Packing_Database[[#This Row],[Exp '#]],Master_Packing_Database[[#This Row],[Batch '#]])</f>
        <v>2060th-</v>
      </c>
      <c r="H814" t="s">
        <v>3153</v>
      </c>
      <c r="I814" t="s">
        <v>3145</v>
      </c>
      <c r="J814" t="s">
        <v>117</v>
      </c>
      <c r="K814" t="s">
        <v>1147</v>
      </c>
      <c r="L814" t="s">
        <v>599</v>
      </c>
      <c r="M814" t="s">
        <v>599</v>
      </c>
      <c r="N814" t="s">
        <v>3154</v>
      </c>
      <c r="O814" t="s">
        <v>3155</v>
      </c>
      <c r="V814" t="s">
        <v>3148</v>
      </c>
      <c r="X814" t="s">
        <v>3149</v>
      </c>
      <c r="Y814" t="s">
        <v>1030</v>
      </c>
      <c r="Z814" t="s">
        <v>376</v>
      </c>
      <c r="AB814" t="s">
        <v>3150</v>
      </c>
      <c r="AE814" t="s">
        <v>3149</v>
      </c>
      <c r="AG814" t="s">
        <v>1303</v>
      </c>
      <c r="AI814" t="s">
        <v>29</v>
      </c>
      <c r="AK814" t="s">
        <v>3151</v>
      </c>
      <c r="AL814" t="s">
        <v>3152</v>
      </c>
      <c r="AN814">
        <v>0</v>
      </c>
      <c r="AO814" t="s">
        <v>1834</v>
      </c>
      <c r="AP814" t="s">
        <v>1834</v>
      </c>
      <c r="AQ814">
        <v>0</v>
      </c>
      <c r="AR814" t="s">
        <v>1758</v>
      </c>
    </row>
    <row r="815" spans="1:44" x14ac:dyDescent="0.25">
      <c r="A815" t="s">
        <v>3141</v>
      </c>
      <c r="D815" t="s">
        <v>3142</v>
      </c>
      <c r="E815" t="s">
        <v>3143</v>
      </c>
      <c r="F815" t="s">
        <v>1755</v>
      </c>
      <c r="G815" t="str">
        <f>CONCATENATE(Master_Packing_Database[[#This Row],[Exp '#]],Master_Packing_Database[[#This Row],[Batch '#]])</f>
        <v>2060th-</v>
      </c>
      <c r="H815" t="s">
        <v>3156</v>
      </c>
      <c r="I815" t="s">
        <v>3157</v>
      </c>
      <c r="J815" t="s">
        <v>117</v>
      </c>
      <c r="K815" t="s">
        <v>3158</v>
      </c>
      <c r="L815" t="s">
        <v>599</v>
      </c>
      <c r="M815" t="s">
        <v>599</v>
      </c>
      <c r="N815" t="s">
        <v>3159</v>
      </c>
      <c r="O815" t="s">
        <v>3160</v>
      </c>
      <c r="V815" t="s">
        <v>3161</v>
      </c>
      <c r="X815" t="s">
        <v>3161</v>
      </c>
      <c r="Y815" t="s">
        <v>1303</v>
      </c>
      <c r="Z815" t="s">
        <v>1303</v>
      </c>
      <c r="AB815" t="s">
        <v>3162</v>
      </c>
      <c r="AE815" t="s">
        <v>3161</v>
      </c>
      <c r="AG815" t="s">
        <v>1303</v>
      </c>
      <c r="AI815" t="s">
        <v>29</v>
      </c>
      <c r="AK815" t="s">
        <v>3163</v>
      </c>
      <c r="AL815" t="s">
        <v>3152</v>
      </c>
      <c r="AN815">
        <v>0</v>
      </c>
      <c r="AO815" t="s">
        <v>1834</v>
      </c>
      <c r="AP815" t="s">
        <v>1834</v>
      </c>
      <c r="AQ815">
        <v>0</v>
      </c>
      <c r="AR815" t="s">
        <v>1758</v>
      </c>
    </row>
    <row r="816" spans="1:44" x14ac:dyDescent="0.25">
      <c r="A816" t="s">
        <v>3141</v>
      </c>
      <c r="D816" t="s">
        <v>3164</v>
      </c>
      <c r="E816" t="s">
        <v>3165</v>
      </c>
      <c r="F816" t="s">
        <v>1755</v>
      </c>
      <c r="G816" t="str">
        <f>CONCATENATE(Master_Packing_Database[[#This Row],[Exp '#]],Master_Packing_Database[[#This Row],[Batch '#]])</f>
        <v>2017th-</v>
      </c>
      <c r="H816" t="s">
        <v>3166</v>
      </c>
      <c r="I816" t="s">
        <v>3167</v>
      </c>
      <c r="J816" t="s">
        <v>117</v>
      </c>
      <c r="K816" t="s">
        <v>3168</v>
      </c>
      <c r="L816" t="s">
        <v>116</v>
      </c>
      <c r="M816" t="s">
        <v>599</v>
      </c>
      <c r="N816" t="s">
        <v>3159</v>
      </c>
      <c r="O816" t="s">
        <v>3160</v>
      </c>
      <c r="V816" t="s">
        <v>3161</v>
      </c>
      <c r="X816" t="s">
        <v>3161</v>
      </c>
      <c r="Y816" t="s">
        <v>1303</v>
      </c>
      <c r="Z816" t="s">
        <v>1303</v>
      </c>
      <c r="AB816" t="s">
        <v>3169</v>
      </c>
      <c r="AE816" t="s">
        <v>3161</v>
      </c>
      <c r="AG816" t="s">
        <v>1303</v>
      </c>
      <c r="AI816" t="s">
        <v>29</v>
      </c>
      <c r="AK816" t="s">
        <v>3163</v>
      </c>
      <c r="AL816" t="s">
        <v>3152</v>
      </c>
      <c r="AN816">
        <v>0</v>
      </c>
      <c r="AO816" t="s">
        <v>1834</v>
      </c>
      <c r="AP816" t="s">
        <v>1834</v>
      </c>
      <c r="AQ816">
        <v>0</v>
      </c>
      <c r="AR816" t="s">
        <v>1758</v>
      </c>
    </row>
    <row r="817" spans="1:44" x14ac:dyDescent="0.25">
      <c r="A817" t="s">
        <v>3141</v>
      </c>
      <c r="D817" t="s">
        <v>3170</v>
      </c>
      <c r="E817" t="s">
        <v>3171</v>
      </c>
      <c r="F817" t="s">
        <v>761</v>
      </c>
      <c r="G817" t="str">
        <f>CONCATENATE(Master_Packing_Database[[#This Row],[Exp '#]],Master_Packing_Database[[#This Row],[Batch '#]])</f>
        <v>2001th1st</v>
      </c>
      <c r="H817" t="s">
        <v>3172</v>
      </c>
      <c r="I817" t="s">
        <v>295</v>
      </c>
      <c r="J817" t="s">
        <v>117</v>
      </c>
      <c r="K817" t="s">
        <v>3173</v>
      </c>
      <c r="L817" t="s">
        <v>599</v>
      </c>
      <c r="M817" t="s">
        <v>599</v>
      </c>
      <c r="N817" t="s">
        <v>3174</v>
      </c>
      <c r="O817" t="s">
        <v>3175</v>
      </c>
      <c r="V817" t="s">
        <v>3176</v>
      </c>
      <c r="X817" t="s">
        <v>3176</v>
      </c>
      <c r="Y817" t="s">
        <v>1303</v>
      </c>
      <c r="Z817" t="s">
        <v>599</v>
      </c>
      <c r="AB817" t="s">
        <v>3177</v>
      </c>
      <c r="AE817" t="s">
        <v>3176</v>
      </c>
      <c r="AG817" t="s">
        <v>1303</v>
      </c>
      <c r="AI817" t="s">
        <v>29</v>
      </c>
      <c r="AK817" t="s">
        <v>3178</v>
      </c>
      <c r="AL817" t="s">
        <v>3152</v>
      </c>
      <c r="AN817">
        <v>0</v>
      </c>
      <c r="AO817" t="s">
        <v>1834</v>
      </c>
      <c r="AP817" t="s">
        <v>1834</v>
      </c>
      <c r="AQ817">
        <v>0</v>
      </c>
      <c r="AR817" t="s">
        <v>1758</v>
      </c>
    </row>
    <row r="818" spans="1:44" x14ac:dyDescent="0.25">
      <c r="A818" t="s">
        <v>3141</v>
      </c>
      <c r="D818" t="s">
        <v>3179</v>
      </c>
      <c r="E818" t="s">
        <v>3180</v>
      </c>
      <c r="F818" t="s">
        <v>142</v>
      </c>
      <c r="G818" t="str">
        <f>CONCATENATE(Master_Packing_Database[[#This Row],[Exp '#]],Master_Packing_Database[[#This Row],[Batch '#]])</f>
        <v>2029th3rd</v>
      </c>
      <c r="H818" t="s">
        <v>3181</v>
      </c>
      <c r="I818" t="s">
        <v>3182</v>
      </c>
      <c r="J818" t="s">
        <v>117</v>
      </c>
      <c r="K818" t="s">
        <v>3183</v>
      </c>
      <c r="L818" t="s">
        <v>599</v>
      </c>
      <c r="M818" t="s">
        <v>116</v>
      </c>
      <c r="N818" t="s">
        <v>764</v>
      </c>
      <c r="O818" t="s">
        <v>333</v>
      </c>
      <c r="V818" t="s">
        <v>3150</v>
      </c>
      <c r="X818" t="s">
        <v>3184</v>
      </c>
      <c r="Y818" t="s">
        <v>1072</v>
      </c>
      <c r="Z818" t="s">
        <v>2579</v>
      </c>
      <c r="AB818" t="s">
        <v>3185</v>
      </c>
      <c r="AE818" t="s">
        <v>3149</v>
      </c>
      <c r="AG818" t="s">
        <v>544</v>
      </c>
      <c r="AI818" t="s">
        <v>29</v>
      </c>
      <c r="AK818" t="s">
        <v>3178</v>
      </c>
      <c r="AL818" t="s">
        <v>3152</v>
      </c>
      <c r="AN818">
        <v>0</v>
      </c>
      <c r="AO818" t="s">
        <v>1834</v>
      </c>
      <c r="AP818" t="s">
        <v>1834</v>
      </c>
      <c r="AQ818">
        <v>0</v>
      </c>
      <c r="AR818" t="s">
        <v>1758</v>
      </c>
    </row>
    <row r="819" spans="1:44" x14ac:dyDescent="0.25">
      <c r="A819" t="s">
        <v>3141</v>
      </c>
      <c r="D819" t="s">
        <v>3186</v>
      </c>
      <c r="E819" t="s">
        <v>3187</v>
      </c>
      <c r="F819" t="s">
        <v>761</v>
      </c>
      <c r="G819" t="str">
        <f>CONCATENATE(Master_Packing_Database[[#This Row],[Exp '#]],Master_Packing_Database[[#This Row],[Batch '#]])</f>
        <v>2073rd1st</v>
      </c>
      <c r="H819" t="s">
        <v>3188</v>
      </c>
      <c r="I819" t="s">
        <v>3189</v>
      </c>
      <c r="J819" t="s">
        <v>117</v>
      </c>
      <c r="K819" t="s">
        <v>1042</v>
      </c>
      <c r="L819" t="s">
        <v>835</v>
      </c>
      <c r="M819" t="s">
        <v>835</v>
      </c>
      <c r="N819" t="s">
        <v>3190</v>
      </c>
      <c r="O819" t="s">
        <v>3191</v>
      </c>
      <c r="V819" t="s">
        <v>3176</v>
      </c>
      <c r="X819" t="s">
        <v>3176</v>
      </c>
      <c r="Y819" t="s">
        <v>1303</v>
      </c>
      <c r="Z819" t="s">
        <v>599</v>
      </c>
      <c r="AB819" t="s">
        <v>3192</v>
      </c>
      <c r="AE819" t="s">
        <v>3176</v>
      </c>
      <c r="AG819" t="s">
        <v>1303</v>
      </c>
      <c r="AI819" t="s">
        <v>29</v>
      </c>
      <c r="AK819" t="s">
        <v>3178</v>
      </c>
      <c r="AL819" t="s">
        <v>3152</v>
      </c>
      <c r="AN819">
        <v>0</v>
      </c>
      <c r="AO819" t="s">
        <v>1834</v>
      </c>
      <c r="AP819" t="s">
        <v>1834</v>
      </c>
      <c r="AQ819">
        <v>0</v>
      </c>
      <c r="AR819" t="s">
        <v>1758</v>
      </c>
    </row>
    <row r="820" spans="1:44" x14ac:dyDescent="0.25">
      <c r="A820" t="s">
        <v>3141</v>
      </c>
      <c r="D820" t="s">
        <v>3170</v>
      </c>
      <c r="E820" t="s">
        <v>3171</v>
      </c>
      <c r="F820" t="s">
        <v>422</v>
      </c>
      <c r="G820" t="str">
        <f>CONCATENATE(Master_Packing_Database[[#This Row],[Exp '#]],Master_Packing_Database[[#This Row],[Batch '#]])</f>
        <v>2001th2nd</v>
      </c>
      <c r="H820" t="s">
        <v>3193</v>
      </c>
      <c r="I820" t="s">
        <v>3194</v>
      </c>
      <c r="J820" t="s">
        <v>117</v>
      </c>
      <c r="K820" t="s">
        <v>3173</v>
      </c>
      <c r="L820" t="s">
        <v>116</v>
      </c>
      <c r="M820" t="s">
        <v>116</v>
      </c>
      <c r="N820" t="s">
        <v>3195</v>
      </c>
      <c r="O820" t="s">
        <v>3196</v>
      </c>
      <c r="V820" t="s">
        <v>3197</v>
      </c>
      <c r="X820" t="s">
        <v>3197</v>
      </c>
      <c r="Y820" t="s">
        <v>1303</v>
      </c>
      <c r="Z820" t="s">
        <v>1303</v>
      </c>
      <c r="AB820" t="s">
        <v>3176</v>
      </c>
      <c r="AE820" t="s">
        <v>3197</v>
      </c>
      <c r="AG820" t="s">
        <v>1303</v>
      </c>
      <c r="AI820" t="s">
        <v>29</v>
      </c>
      <c r="AK820" t="s">
        <v>3198</v>
      </c>
      <c r="AL820" t="s">
        <v>3152</v>
      </c>
      <c r="AN820">
        <v>0</v>
      </c>
      <c r="AO820" t="s">
        <v>1834</v>
      </c>
      <c r="AP820" t="s">
        <v>1834</v>
      </c>
      <c r="AQ820">
        <v>0</v>
      </c>
      <c r="AR820" t="s">
        <v>1758</v>
      </c>
    </row>
    <row r="821" spans="1:44" x14ac:dyDescent="0.25">
      <c r="A821" t="s">
        <v>3141</v>
      </c>
      <c r="D821" t="s">
        <v>3170</v>
      </c>
      <c r="E821" t="s">
        <v>3199</v>
      </c>
      <c r="F821" t="s">
        <v>422</v>
      </c>
      <c r="G821" t="str">
        <f>CONCATENATE(Master_Packing_Database[[#This Row],[Exp '#]],Master_Packing_Database[[#This Row],[Batch '#]])</f>
        <v>2001st2nd</v>
      </c>
      <c r="H821" t="s">
        <v>3200</v>
      </c>
      <c r="I821" t="s">
        <v>295</v>
      </c>
      <c r="J821" t="s">
        <v>117</v>
      </c>
      <c r="K821" t="s">
        <v>3173</v>
      </c>
      <c r="L821" t="s">
        <v>116</v>
      </c>
      <c r="M821" t="s">
        <v>116</v>
      </c>
      <c r="N821" t="s">
        <v>3195</v>
      </c>
      <c r="O821" t="s">
        <v>3196</v>
      </c>
      <c r="V821" t="s">
        <v>3201</v>
      </c>
      <c r="X821" t="s">
        <v>3201</v>
      </c>
      <c r="Y821" t="s">
        <v>1303</v>
      </c>
      <c r="Z821" t="s">
        <v>116</v>
      </c>
      <c r="AB821" t="s">
        <v>3176</v>
      </c>
      <c r="AE821" t="s">
        <v>3201</v>
      </c>
      <c r="AG821" t="s">
        <v>1303</v>
      </c>
      <c r="AI821" t="s">
        <v>29</v>
      </c>
      <c r="AK821" t="s">
        <v>3202</v>
      </c>
      <c r="AL821" t="s">
        <v>3152</v>
      </c>
      <c r="AN821">
        <v>0</v>
      </c>
      <c r="AO821" t="s">
        <v>1834</v>
      </c>
      <c r="AP821" t="s">
        <v>1834</v>
      </c>
      <c r="AQ821">
        <v>0</v>
      </c>
      <c r="AR821" t="s">
        <v>1758</v>
      </c>
    </row>
    <row r="822" spans="1:44" x14ac:dyDescent="0.25">
      <c r="A822" t="s">
        <v>3141</v>
      </c>
      <c r="D822" t="s">
        <v>3170</v>
      </c>
      <c r="E822" t="s">
        <v>3199</v>
      </c>
      <c r="F822" t="s">
        <v>422</v>
      </c>
      <c r="G822" t="str">
        <f>CONCATENATE(Master_Packing_Database[[#This Row],[Exp '#]],Master_Packing_Database[[#This Row],[Batch '#]])</f>
        <v>2001st2nd</v>
      </c>
      <c r="H822" t="s">
        <v>3203</v>
      </c>
      <c r="I822" t="s">
        <v>3194</v>
      </c>
      <c r="J822" t="s">
        <v>117</v>
      </c>
      <c r="K822" t="s">
        <v>3173</v>
      </c>
      <c r="L822" t="s">
        <v>116</v>
      </c>
      <c r="M822" t="s">
        <v>116</v>
      </c>
      <c r="N822" t="s">
        <v>3195</v>
      </c>
      <c r="O822" t="s">
        <v>3196</v>
      </c>
      <c r="V822" t="s">
        <v>3204</v>
      </c>
      <c r="X822" t="s">
        <v>3205</v>
      </c>
      <c r="Y822" t="s">
        <v>599</v>
      </c>
      <c r="Z822" t="s">
        <v>599</v>
      </c>
      <c r="AB822" t="s">
        <v>3177</v>
      </c>
      <c r="AE822" t="s">
        <v>3205</v>
      </c>
      <c r="AG822" t="s">
        <v>1303</v>
      </c>
      <c r="AI822" t="s">
        <v>29</v>
      </c>
      <c r="AK822" t="s">
        <v>3206</v>
      </c>
      <c r="AL822" t="s">
        <v>3152</v>
      </c>
      <c r="AN822">
        <v>0</v>
      </c>
      <c r="AO822" t="s">
        <v>1834</v>
      </c>
      <c r="AP822" t="s">
        <v>1834</v>
      </c>
      <c r="AQ822">
        <v>0</v>
      </c>
      <c r="AR822" t="s">
        <v>1758</v>
      </c>
    </row>
    <row r="823" spans="1:44" x14ac:dyDescent="0.25">
      <c r="A823" t="s">
        <v>3141</v>
      </c>
      <c r="D823" t="s">
        <v>3186</v>
      </c>
      <c r="E823" t="s">
        <v>3187</v>
      </c>
      <c r="F823" t="s">
        <v>422</v>
      </c>
      <c r="G823" t="str">
        <f>CONCATENATE(Master_Packing_Database[[#This Row],[Exp '#]],Master_Packing_Database[[#This Row],[Batch '#]])</f>
        <v>2073rd2nd</v>
      </c>
      <c r="H823" t="s">
        <v>3207</v>
      </c>
      <c r="I823" t="s">
        <v>3189</v>
      </c>
      <c r="J823" t="s">
        <v>117</v>
      </c>
      <c r="K823" t="s">
        <v>1042</v>
      </c>
      <c r="L823" t="s">
        <v>599</v>
      </c>
      <c r="M823" t="s">
        <v>599</v>
      </c>
      <c r="N823" t="s">
        <v>3208</v>
      </c>
      <c r="O823" t="s">
        <v>3209</v>
      </c>
      <c r="V823" t="s">
        <v>3201</v>
      </c>
      <c r="X823" t="s">
        <v>3210</v>
      </c>
      <c r="Y823" t="s">
        <v>599</v>
      </c>
      <c r="Z823" t="s">
        <v>835</v>
      </c>
      <c r="AB823" t="s">
        <v>3177</v>
      </c>
      <c r="AE823" t="s">
        <v>3210</v>
      </c>
      <c r="AG823" t="s">
        <v>1303</v>
      </c>
      <c r="AI823" t="s">
        <v>29</v>
      </c>
      <c r="AK823" t="s">
        <v>3206</v>
      </c>
      <c r="AL823" t="s">
        <v>3152</v>
      </c>
      <c r="AN823">
        <v>0</v>
      </c>
      <c r="AO823" t="s">
        <v>1834</v>
      </c>
      <c r="AP823" t="s">
        <v>1834</v>
      </c>
      <c r="AQ823">
        <v>0</v>
      </c>
      <c r="AR823" t="s">
        <v>1758</v>
      </c>
    </row>
    <row r="824" spans="1:44" x14ac:dyDescent="0.25">
      <c r="A824" t="s">
        <v>3141</v>
      </c>
      <c r="D824" t="s">
        <v>3170</v>
      </c>
      <c r="E824" t="s">
        <v>3199</v>
      </c>
      <c r="F824" t="s">
        <v>422</v>
      </c>
      <c r="G824" t="str">
        <f>CONCATENATE(Master_Packing_Database[[#This Row],[Exp '#]],Master_Packing_Database[[#This Row],[Batch '#]])</f>
        <v>2001st2nd</v>
      </c>
      <c r="H824" t="s">
        <v>3211</v>
      </c>
      <c r="I824" t="s">
        <v>3194</v>
      </c>
      <c r="J824" t="s">
        <v>117</v>
      </c>
      <c r="K824" t="s">
        <v>3173</v>
      </c>
      <c r="L824" t="s">
        <v>835</v>
      </c>
      <c r="M824" t="s">
        <v>835</v>
      </c>
      <c r="N824" t="s">
        <v>3212</v>
      </c>
      <c r="O824" t="s">
        <v>3213</v>
      </c>
      <c r="V824" t="s">
        <v>3214</v>
      </c>
      <c r="X824" t="s">
        <v>3214</v>
      </c>
      <c r="Y824" t="s">
        <v>1303</v>
      </c>
      <c r="Z824" t="s">
        <v>975</v>
      </c>
      <c r="AB824" t="s">
        <v>3176</v>
      </c>
      <c r="AE824" t="s">
        <v>3214</v>
      </c>
      <c r="AG824" t="s">
        <v>1303</v>
      </c>
      <c r="AI824" t="s">
        <v>29</v>
      </c>
      <c r="AK824" t="s">
        <v>3215</v>
      </c>
      <c r="AL824" t="s">
        <v>3152</v>
      </c>
      <c r="AN824">
        <v>0</v>
      </c>
      <c r="AO824" t="s">
        <v>1834</v>
      </c>
      <c r="AP824" t="s">
        <v>1834</v>
      </c>
      <c r="AQ824">
        <v>0</v>
      </c>
      <c r="AR824" t="s">
        <v>1758</v>
      </c>
    </row>
    <row r="825" spans="1:44" x14ac:dyDescent="0.25">
      <c r="A825" t="s">
        <v>3141</v>
      </c>
      <c r="D825" t="s">
        <v>3216</v>
      </c>
      <c r="E825" t="s">
        <v>3217</v>
      </c>
      <c r="F825" t="s">
        <v>1755</v>
      </c>
      <c r="G825" t="str">
        <f>CONCATENATE(Master_Packing_Database[[#This Row],[Exp '#]],Master_Packing_Database[[#This Row],[Batch '#]])</f>
        <v>2090th-</v>
      </c>
      <c r="H825" t="s">
        <v>3218</v>
      </c>
      <c r="I825" t="s">
        <v>3182</v>
      </c>
      <c r="J825" t="s">
        <v>117</v>
      </c>
      <c r="K825" t="s">
        <v>3219</v>
      </c>
      <c r="L825" t="s">
        <v>975</v>
      </c>
      <c r="M825" t="s">
        <v>116</v>
      </c>
      <c r="N825" t="s">
        <v>3220</v>
      </c>
      <c r="O825" t="s">
        <v>3221</v>
      </c>
      <c r="V825" t="s">
        <v>3222</v>
      </c>
      <c r="X825" t="s">
        <v>3222</v>
      </c>
      <c r="Y825" t="s">
        <v>1303</v>
      </c>
      <c r="Z825" t="s">
        <v>1303</v>
      </c>
      <c r="AB825" t="s">
        <v>3223</v>
      </c>
      <c r="AE825" t="s">
        <v>3222</v>
      </c>
      <c r="AG825" t="s">
        <v>1303</v>
      </c>
      <c r="AI825" t="s">
        <v>29</v>
      </c>
      <c r="AK825" t="s">
        <v>3215</v>
      </c>
      <c r="AL825" t="s">
        <v>3152</v>
      </c>
      <c r="AN825">
        <v>0</v>
      </c>
      <c r="AO825" t="s">
        <v>1834</v>
      </c>
      <c r="AP825" t="s">
        <v>1834</v>
      </c>
      <c r="AQ825">
        <v>0</v>
      </c>
      <c r="AR825" t="s">
        <v>1758</v>
      </c>
    </row>
    <row r="826" spans="1:44" x14ac:dyDescent="0.25">
      <c r="A826" t="s">
        <v>3141</v>
      </c>
      <c r="D826" t="s">
        <v>3224</v>
      </c>
      <c r="E826" t="s">
        <v>3225</v>
      </c>
      <c r="G826" t="str">
        <f>CONCATENATE(Master_Packing_Database[[#This Row],[Exp '#]],Master_Packing_Database[[#This Row],[Batch '#]])</f>
        <v>2057th</v>
      </c>
      <c r="H826" t="s">
        <v>3226</v>
      </c>
      <c r="I826" t="s">
        <v>3194</v>
      </c>
      <c r="J826" t="s">
        <v>117</v>
      </c>
      <c r="K826" t="s">
        <v>3227</v>
      </c>
      <c r="L826" t="s">
        <v>835</v>
      </c>
      <c r="M826" t="s">
        <v>835</v>
      </c>
      <c r="N826" t="s">
        <v>3228</v>
      </c>
      <c r="O826" t="s">
        <v>3229</v>
      </c>
      <c r="V826" t="s">
        <v>3230</v>
      </c>
      <c r="X826" t="s">
        <v>3231</v>
      </c>
      <c r="Y826" t="s">
        <v>599</v>
      </c>
      <c r="Z826" t="s">
        <v>116</v>
      </c>
      <c r="AB826" t="s">
        <v>3232</v>
      </c>
      <c r="AE826" t="s">
        <v>3233</v>
      </c>
      <c r="AG826" t="s">
        <v>116</v>
      </c>
      <c r="AI826" t="s">
        <v>29</v>
      </c>
      <c r="AK826" t="s">
        <v>3234</v>
      </c>
      <c r="AL826" t="s">
        <v>3152</v>
      </c>
      <c r="AN826">
        <v>0</v>
      </c>
      <c r="AO826" t="s">
        <v>1834</v>
      </c>
      <c r="AP826" t="s">
        <v>1834</v>
      </c>
      <c r="AQ826">
        <v>0</v>
      </c>
      <c r="AR826" t="s">
        <v>1758</v>
      </c>
    </row>
    <row r="827" spans="1:44" x14ac:dyDescent="0.25">
      <c r="A827" t="s">
        <v>3141</v>
      </c>
      <c r="D827" t="s">
        <v>3216</v>
      </c>
      <c r="E827" t="s">
        <v>3235</v>
      </c>
      <c r="F827" t="s">
        <v>1755</v>
      </c>
      <c r="G827" t="str">
        <f>CONCATENATE(Master_Packing_Database[[#This Row],[Exp '#]],Master_Packing_Database[[#This Row],[Batch '#]])</f>
        <v>2087th-</v>
      </c>
      <c r="H827" t="s">
        <v>3236</v>
      </c>
      <c r="I827" t="s">
        <v>3237</v>
      </c>
      <c r="J827" t="s">
        <v>366</v>
      </c>
      <c r="K827" t="s">
        <v>3238</v>
      </c>
      <c r="L827" t="s">
        <v>835</v>
      </c>
      <c r="M827" t="s">
        <v>835</v>
      </c>
      <c r="N827" t="s">
        <v>3239</v>
      </c>
      <c r="O827" t="s">
        <v>3240</v>
      </c>
      <c r="V827" t="s">
        <v>3241</v>
      </c>
      <c r="X827" t="s">
        <v>3242</v>
      </c>
      <c r="Y827" t="s">
        <v>975</v>
      </c>
      <c r="Z827" t="s">
        <v>835</v>
      </c>
      <c r="AB827" t="s">
        <v>3243</v>
      </c>
      <c r="AE827" t="s">
        <v>3242</v>
      </c>
      <c r="AG827" t="s">
        <v>1303</v>
      </c>
      <c r="AI827" t="s">
        <v>29</v>
      </c>
      <c r="AK827" t="s">
        <v>3244</v>
      </c>
      <c r="AL827" t="s">
        <v>3152</v>
      </c>
      <c r="AN827">
        <v>0</v>
      </c>
      <c r="AO827" t="s">
        <v>1834</v>
      </c>
      <c r="AP827" t="s">
        <v>1834</v>
      </c>
      <c r="AQ827">
        <v>0</v>
      </c>
      <c r="AR827" t="s">
        <v>1758</v>
      </c>
    </row>
    <row r="828" spans="1:44" x14ac:dyDescent="0.25">
      <c r="A828" t="s">
        <v>3141</v>
      </c>
      <c r="D828" t="s">
        <v>3216</v>
      </c>
      <c r="E828" t="s">
        <v>3245</v>
      </c>
      <c r="F828" t="s">
        <v>1755</v>
      </c>
      <c r="G828" t="str">
        <f>CONCATENATE(Master_Packing_Database[[#This Row],[Exp '#]],Master_Packing_Database[[#This Row],[Batch '#]])</f>
        <v>2092nd-</v>
      </c>
      <c r="H828" t="s">
        <v>3246</v>
      </c>
      <c r="I828" t="s">
        <v>3247</v>
      </c>
      <c r="J828" t="s">
        <v>366</v>
      </c>
      <c r="K828" t="s">
        <v>3248</v>
      </c>
      <c r="L828" t="s">
        <v>1016</v>
      </c>
      <c r="M828" t="s">
        <v>1016</v>
      </c>
      <c r="N828" t="s">
        <v>3249</v>
      </c>
      <c r="O828" t="s">
        <v>3250</v>
      </c>
      <c r="V828" t="s">
        <v>3251</v>
      </c>
      <c r="X828" t="s">
        <v>3252</v>
      </c>
      <c r="Y828" t="s">
        <v>975</v>
      </c>
      <c r="Z828" t="s">
        <v>544</v>
      </c>
      <c r="AB828" t="s">
        <v>3253</v>
      </c>
      <c r="AE828" t="s">
        <v>3252</v>
      </c>
      <c r="AG828" t="s">
        <v>1303</v>
      </c>
      <c r="AI828" t="s">
        <v>29</v>
      </c>
      <c r="AK828" t="s">
        <v>3254</v>
      </c>
      <c r="AL828" t="s">
        <v>3152</v>
      </c>
      <c r="AN828">
        <v>0</v>
      </c>
      <c r="AO828" t="s">
        <v>1834</v>
      </c>
      <c r="AP828" t="s">
        <v>1834</v>
      </c>
      <c r="AQ828">
        <v>0</v>
      </c>
      <c r="AR828" t="s">
        <v>1758</v>
      </c>
    </row>
    <row r="829" spans="1:44" x14ac:dyDescent="0.25">
      <c r="A829" t="s">
        <v>3141</v>
      </c>
      <c r="D829" t="s">
        <v>3142</v>
      </c>
      <c r="E829" t="s">
        <v>3255</v>
      </c>
      <c r="G829" t="str">
        <f>CONCATENATE(Master_Packing_Database[[#This Row],[Exp '#]],Master_Packing_Database[[#This Row],[Batch '#]])</f>
        <v>2070th</v>
      </c>
      <c r="H829" t="s">
        <v>3256</v>
      </c>
      <c r="I829" t="s">
        <v>3257</v>
      </c>
      <c r="J829" t="s">
        <v>117</v>
      </c>
      <c r="K829" t="s">
        <v>3258</v>
      </c>
      <c r="L829" t="s">
        <v>599</v>
      </c>
      <c r="M829" t="s">
        <v>599</v>
      </c>
      <c r="N829" t="s">
        <v>3259</v>
      </c>
      <c r="O829" t="s">
        <v>3260</v>
      </c>
      <c r="V829" t="s">
        <v>3261</v>
      </c>
      <c r="X829" t="s">
        <v>3262</v>
      </c>
      <c r="Y829" t="s">
        <v>3263</v>
      </c>
      <c r="Z829" t="s">
        <v>1303</v>
      </c>
      <c r="AB829" t="s">
        <v>3233</v>
      </c>
      <c r="AE829" t="s">
        <v>3262</v>
      </c>
      <c r="AG829" t="s">
        <v>1303</v>
      </c>
      <c r="AI829" t="s">
        <v>29</v>
      </c>
      <c r="AK829" t="s">
        <v>3264</v>
      </c>
      <c r="AL829" t="s">
        <v>3152</v>
      </c>
      <c r="AN829">
        <v>0</v>
      </c>
      <c r="AO829" t="s">
        <v>1834</v>
      </c>
      <c r="AP829" t="s">
        <v>1834</v>
      </c>
      <c r="AQ829">
        <v>0</v>
      </c>
      <c r="AR829" t="s">
        <v>1758</v>
      </c>
    </row>
    <row r="830" spans="1:44" x14ac:dyDescent="0.25">
      <c r="A830" t="s">
        <v>3141</v>
      </c>
      <c r="D830" t="s">
        <v>3265</v>
      </c>
      <c r="E830" t="s">
        <v>3266</v>
      </c>
      <c r="G830" t="str">
        <f>CONCATENATE(Master_Packing_Database[[#This Row],[Exp '#]],Master_Packing_Database[[#This Row],[Batch '#]])</f>
        <v>2066th</v>
      </c>
      <c r="H830" t="s">
        <v>3267</v>
      </c>
      <c r="I830" t="s">
        <v>3268</v>
      </c>
      <c r="J830" t="s">
        <v>117</v>
      </c>
      <c r="K830" t="s">
        <v>3269</v>
      </c>
      <c r="L830" t="s">
        <v>116</v>
      </c>
      <c r="M830" t="s">
        <v>116</v>
      </c>
      <c r="N830" t="s">
        <v>3270</v>
      </c>
      <c r="O830" t="s">
        <v>3271</v>
      </c>
      <c r="V830" t="s">
        <v>3272</v>
      </c>
      <c r="X830" t="s">
        <v>3262</v>
      </c>
      <c r="Y830" t="s">
        <v>3273</v>
      </c>
      <c r="Z830" t="s">
        <v>1303</v>
      </c>
      <c r="AB830" t="s">
        <v>3274</v>
      </c>
      <c r="AE830" t="s">
        <v>3262</v>
      </c>
      <c r="AG830" t="s">
        <v>1303</v>
      </c>
      <c r="AI830" t="s">
        <v>29</v>
      </c>
      <c r="AK830" t="s">
        <v>3264</v>
      </c>
      <c r="AL830" t="s">
        <v>3152</v>
      </c>
      <c r="AN830">
        <v>0</v>
      </c>
      <c r="AO830" t="s">
        <v>1834</v>
      </c>
      <c r="AP830" t="s">
        <v>1834</v>
      </c>
      <c r="AQ830">
        <v>0</v>
      </c>
      <c r="AR830" t="s">
        <v>1758</v>
      </c>
    </row>
    <row r="831" spans="1:44" x14ac:dyDescent="0.25">
      <c r="A831" t="s">
        <v>3141</v>
      </c>
      <c r="D831" t="s">
        <v>3216</v>
      </c>
      <c r="E831" t="s">
        <v>3275</v>
      </c>
      <c r="F831" t="s">
        <v>1755</v>
      </c>
      <c r="G831" t="str">
        <f>CONCATENATE(Master_Packing_Database[[#This Row],[Exp '#]],Master_Packing_Database[[#This Row],[Batch '#]])</f>
        <v>2089th-</v>
      </c>
      <c r="H831" t="s">
        <v>3276</v>
      </c>
      <c r="I831" t="s">
        <v>3277</v>
      </c>
      <c r="J831" t="s">
        <v>117</v>
      </c>
      <c r="K831" t="s">
        <v>3278</v>
      </c>
      <c r="L831" t="s">
        <v>544</v>
      </c>
      <c r="M831" t="s">
        <v>835</v>
      </c>
      <c r="N831" t="s">
        <v>1081</v>
      </c>
      <c r="O831" t="s">
        <v>1443</v>
      </c>
      <c r="V831" t="s">
        <v>3279</v>
      </c>
      <c r="X831" t="s">
        <v>3241</v>
      </c>
      <c r="Y831" t="s">
        <v>975</v>
      </c>
      <c r="Z831" t="s">
        <v>970</v>
      </c>
      <c r="AB831" t="s">
        <v>3280</v>
      </c>
      <c r="AE831" t="s">
        <v>3241</v>
      </c>
      <c r="AG831" t="s">
        <v>1303</v>
      </c>
      <c r="AI831" t="s">
        <v>29</v>
      </c>
      <c r="AK831" t="s">
        <v>3244</v>
      </c>
      <c r="AL831" t="s">
        <v>3152</v>
      </c>
      <c r="AN831">
        <v>0</v>
      </c>
      <c r="AO831" t="s">
        <v>1834</v>
      </c>
      <c r="AP831" t="s">
        <v>1834</v>
      </c>
      <c r="AQ831">
        <v>0</v>
      </c>
      <c r="AR831" t="s">
        <v>1758</v>
      </c>
    </row>
    <row r="832" spans="1:44" x14ac:dyDescent="0.25">
      <c r="A832" t="s">
        <v>3141</v>
      </c>
      <c r="D832" t="s">
        <v>3281</v>
      </c>
      <c r="E832" t="s">
        <v>3282</v>
      </c>
      <c r="F832" t="s">
        <v>761</v>
      </c>
      <c r="G832" t="str">
        <f>CONCATENATE(Master_Packing_Database[[#This Row],[Exp '#]],Master_Packing_Database[[#This Row],[Batch '#]])</f>
        <v>2083rd1st</v>
      </c>
      <c r="H832" t="s">
        <v>3283</v>
      </c>
      <c r="I832" t="s">
        <v>3284</v>
      </c>
      <c r="J832" t="s">
        <v>117</v>
      </c>
      <c r="K832" t="s">
        <v>3285</v>
      </c>
      <c r="L832" t="s">
        <v>116</v>
      </c>
      <c r="M832" t="s">
        <v>116</v>
      </c>
      <c r="N832" t="s">
        <v>3286</v>
      </c>
      <c r="O832" t="s">
        <v>3287</v>
      </c>
      <c r="V832" t="s">
        <v>3261</v>
      </c>
      <c r="X832" t="s">
        <v>3262</v>
      </c>
      <c r="Y832" t="s">
        <v>3263</v>
      </c>
      <c r="Z832" t="s">
        <v>1303</v>
      </c>
      <c r="AB832" t="s">
        <v>3251</v>
      </c>
      <c r="AE832" t="s">
        <v>3262</v>
      </c>
      <c r="AG832" t="s">
        <v>1303</v>
      </c>
      <c r="AI832" t="s">
        <v>29</v>
      </c>
      <c r="AK832" t="s">
        <v>3264</v>
      </c>
      <c r="AL832" t="s">
        <v>3152</v>
      </c>
      <c r="AN832">
        <v>0</v>
      </c>
      <c r="AO832" t="s">
        <v>1834</v>
      </c>
      <c r="AP832" t="s">
        <v>1834</v>
      </c>
      <c r="AQ832">
        <v>0</v>
      </c>
      <c r="AR832" t="s">
        <v>1758</v>
      </c>
    </row>
    <row r="833" spans="1:44" x14ac:dyDescent="0.25">
      <c r="A833" t="s">
        <v>3141</v>
      </c>
      <c r="D833" t="s">
        <v>3265</v>
      </c>
      <c r="E833" t="s">
        <v>3288</v>
      </c>
      <c r="F833" t="s">
        <v>1755</v>
      </c>
      <c r="G833" t="str">
        <f>CONCATENATE(Master_Packing_Database[[#This Row],[Exp '#]],Master_Packing_Database[[#This Row],[Batch '#]])</f>
        <v>2056th-</v>
      </c>
      <c r="H833" t="s">
        <v>3289</v>
      </c>
      <c r="I833" t="s">
        <v>295</v>
      </c>
      <c r="J833" t="s">
        <v>117</v>
      </c>
      <c r="K833" t="s">
        <v>3290</v>
      </c>
      <c r="L833" t="s">
        <v>116</v>
      </c>
      <c r="M833" t="s">
        <v>116</v>
      </c>
      <c r="N833" t="s">
        <v>3291</v>
      </c>
      <c r="O833" t="s">
        <v>3292</v>
      </c>
      <c r="V833" t="s">
        <v>3293</v>
      </c>
      <c r="X833" t="s">
        <v>3294</v>
      </c>
      <c r="Y833" t="s">
        <v>3295</v>
      </c>
      <c r="Z833" t="s">
        <v>1303</v>
      </c>
      <c r="AB833" t="s">
        <v>3280</v>
      </c>
      <c r="AE833" t="s">
        <v>3294</v>
      </c>
      <c r="AG833" t="s">
        <v>1303</v>
      </c>
      <c r="AI833" t="s">
        <v>29</v>
      </c>
      <c r="AK833" t="s">
        <v>3296</v>
      </c>
      <c r="AL833" t="s">
        <v>3152</v>
      </c>
      <c r="AN833">
        <v>0</v>
      </c>
      <c r="AO833" t="s">
        <v>1834</v>
      </c>
      <c r="AP833" t="s">
        <v>1834</v>
      </c>
      <c r="AQ833">
        <v>0</v>
      </c>
      <c r="AR833" t="s">
        <v>1758</v>
      </c>
    </row>
    <row r="834" spans="1:44" x14ac:dyDescent="0.25">
      <c r="A834" t="s">
        <v>3141</v>
      </c>
      <c r="D834" t="s">
        <v>3297</v>
      </c>
      <c r="E834" t="s">
        <v>3298</v>
      </c>
      <c r="F834" t="s">
        <v>1755</v>
      </c>
      <c r="G834" t="str">
        <f>CONCATENATE(Master_Packing_Database[[#This Row],[Exp '#]],Master_Packing_Database[[#This Row],[Batch '#]])</f>
        <v>2096th-</v>
      </c>
      <c r="H834" t="s">
        <v>3299</v>
      </c>
      <c r="I834" t="s">
        <v>3300</v>
      </c>
      <c r="J834" t="s">
        <v>366</v>
      </c>
      <c r="K834" t="s">
        <v>1042</v>
      </c>
      <c r="L834" t="s">
        <v>975</v>
      </c>
      <c r="M834" t="s">
        <v>116</v>
      </c>
      <c r="N834" t="s">
        <v>3301</v>
      </c>
      <c r="O834" t="s">
        <v>3302</v>
      </c>
      <c r="V834" t="s">
        <v>3261</v>
      </c>
      <c r="X834" t="s">
        <v>3294</v>
      </c>
      <c r="Y834" t="s">
        <v>606</v>
      </c>
      <c r="Z834" t="s">
        <v>1303</v>
      </c>
      <c r="AB834" t="s">
        <v>3233</v>
      </c>
      <c r="AE834" t="s">
        <v>3294</v>
      </c>
      <c r="AG834" t="s">
        <v>1303</v>
      </c>
      <c r="AI834" t="s">
        <v>29</v>
      </c>
      <c r="AK834" t="s">
        <v>3296</v>
      </c>
      <c r="AL834" t="s">
        <v>3152</v>
      </c>
      <c r="AN834">
        <v>0</v>
      </c>
      <c r="AO834" t="s">
        <v>1834</v>
      </c>
      <c r="AP834" t="s">
        <v>1834</v>
      </c>
      <c r="AQ834">
        <v>0</v>
      </c>
      <c r="AR834" t="s">
        <v>1758</v>
      </c>
    </row>
    <row r="835" spans="1:44" x14ac:dyDescent="0.25">
      <c r="A835" t="s">
        <v>3141</v>
      </c>
      <c r="D835" t="s">
        <v>3303</v>
      </c>
      <c r="E835" t="s">
        <v>3304</v>
      </c>
      <c r="G835" t="str">
        <f>CONCATENATE(Master_Packing_Database[[#This Row],[Exp '#]],Master_Packing_Database[[#This Row],[Batch '#]])</f>
        <v>2098th</v>
      </c>
      <c r="H835" t="s">
        <v>3305</v>
      </c>
      <c r="I835" t="s">
        <v>3189</v>
      </c>
      <c r="J835" t="s">
        <v>117</v>
      </c>
      <c r="K835" t="s">
        <v>1059</v>
      </c>
      <c r="L835" t="s">
        <v>544</v>
      </c>
      <c r="M835" t="s">
        <v>544</v>
      </c>
      <c r="N835" t="s">
        <v>3306</v>
      </c>
      <c r="O835" t="s">
        <v>3307</v>
      </c>
      <c r="V835" t="s">
        <v>3308</v>
      </c>
      <c r="X835" t="s">
        <v>3309</v>
      </c>
      <c r="Y835" t="s">
        <v>849</v>
      </c>
      <c r="Z835" t="s">
        <v>599</v>
      </c>
      <c r="AB835" t="s">
        <v>3233</v>
      </c>
      <c r="AE835" t="s">
        <v>3309</v>
      </c>
      <c r="AG835" t="s">
        <v>1303</v>
      </c>
      <c r="AI835" t="s">
        <v>29</v>
      </c>
      <c r="AK835" t="s">
        <v>3310</v>
      </c>
      <c r="AL835" t="s">
        <v>3152</v>
      </c>
      <c r="AN835">
        <v>0</v>
      </c>
      <c r="AO835" t="s">
        <v>1834</v>
      </c>
      <c r="AP835" t="s">
        <v>1834</v>
      </c>
      <c r="AQ835">
        <v>0</v>
      </c>
      <c r="AR835" t="s">
        <v>1758</v>
      </c>
    </row>
    <row r="836" spans="1:44" x14ac:dyDescent="0.25">
      <c r="A836" t="s">
        <v>3141</v>
      </c>
      <c r="D836" t="s">
        <v>3164</v>
      </c>
      <c r="E836" t="s">
        <v>3311</v>
      </c>
      <c r="F836" t="s">
        <v>1755</v>
      </c>
      <c r="G836" t="str">
        <f>CONCATENATE(Master_Packing_Database[[#This Row],[Exp '#]],Master_Packing_Database[[#This Row],[Batch '#]])</f>
        <v>2048th-</v>
      </c>
      <c r="H836" t="s">
        <v>3312</v>
      </c>
      <c r="I836" t="s">
        <v>3313</v>
      </c>
      <c r="J836" t="s">
        <v>366</v>
      </c>
      <c r="K836" t="s">
        <v>3314</v>
      </c>
      <c r="L836" t="s">
        <v>116</v>
      </c>
      <c r="M836" t="s">
        <v>116</v>
      </c>
      <c r="N836" t="s">
        <v>548</v>
      </c>
      <c r="O836" t="s">
        <v>3315</v>
      </c>
      <c r="V836" t="s">
        <v>3316</v>
      </c>
      <c r="X836" t="s">
        <v>3317</v>
      </c>
      <c r="Y836" t="s">
        <v>707</v>
      </c>
      <c r="Z836" t="s">
        <v>544</v>
      </c>
      <c r="AB836" t="s">
        <v>3318</v>
      </c>
      <c r="AE836" t="s">
        <v>3317</v>
      </c>
      <c r="AG836" t="s">
        <v>1303</v>
      </c>
      <c r="AI836" t="s">
        <v>29</v>
      </c>
      <c r="AK836" t="s">
        <v>3319</v>
      </c>
      <c r="AL836" t="s">
        <v>3152</v>
      </c>
      <c r="AN836">
        <v>0</v>
      </c>
      <c r="AO836" t="s">
        <v>1834</v>
      </c>
      <c r="AP836" t="s">
        <v>1834</v>
      </c>
      <c r="AQ836">
        <v>0</v>
      </c>
      <c r="AR836" t="s">
        <v>1758</v>
      </c>
    </row>
    <row r="837" spans="1:44" x14ac:dyDescent="0.25">
      <c r="A837" t="s">
        <v>3141</v>
      </c>
      <c r="D837" t="s">
        <v>3216</v>
      </c>
      <c r="E837" t="s">
        <v>3320</v>
      </c>
      <c r="F837" t="s">
        <v>1755</v>
      </c>
      <c r="G837" t="str">
        <f>CONCATENATE(Master_Packing_Database[[#This Row],[Exp '#]],Master_Packing_Database[[#This Row],[Batch '#]])</f>
        <v>2116th-</v>
      </c>
      <c r="H837" t="s">
        <v>3321</v>
      </c>
      <c r="I837" t="s">
        <v>3322</v>
      </c>
      <c r="J837" t="s">
        <v>366</v>
      </c>
      <c r="K837" t="s">
        <v>1147</v>
      </c>
      <c r="L837" t="s">
        <v>912</v>
      </c>
      <c r="M837" t="s">
        <v>116</v>
      </c>
      <c r="N837" t="s">
        <v>684</v>
      </c>
      <c r="O837" t="s">
        <v>1161</v>
      </c>
      <c r="V837" t="s">
        <v>3323</v>
      </c>
      <c r="X837" t="s">
        <v>3324</v>
      </c>
      <c r="Y837" t="s">
        <v>835</v>
      </c>
      <c r="Z837" t="s">
        <v>975</v>
      </c>
      <c r="AB837" t="s">
        <v>3309</v>
      </c>
      <c r="AE837" t="s">
        <v>3324</v>
      </c>
      <c r="AG837" t="s">
        <v>1303</v>
      </c>
      <c r="AI837" t="s">
        <v>29</v>
      </c>
      <c r="AK837" t="s">
        <v>3319</v>
      </c>
      <c r="AL837" t="s">
        <v>3152</v>
      </c>
      <c r="AN837">
        <v>0</v>
      </c>
      <c r="AO837" t="s">
        <v>1834</v>
      </c>
      <c r="AP837" t="s">
        <v>1834</v>
      </c>
      <c r="AQ837">
        <v>0</v>
      </c>
      <c r="AR837" t="s">
        <v>1758</v>
      </c>
    </row>
    <row r="838" spans="1:44" x14ac:dyDescent="0.25">
      <c r="A838" t="s">
        <v>3141</v>
      </c>
      <c r="D838" t="s">
        <v>3325</v>
      </c>
      <c r="E838" t="s">
        <v>3326</v>
      </c>
      <c r="G838" t="str">
        <f>CONCATENATE(Master_Packing_Database[[#This Row],[Exp '#]],Master_Packing_Database[[#This Row],[Batch '#]])</f>
        <v>2084th</v>
      </c>
      <c r="H838" t="s">
        <v>3327</v>
      </c>
      <c r="I838" t="s">
        <v>3328</v>
      </c>
      <c r="J838" t="s">
        <v>117</v>
      </c>
      <c r="K838" t="s">
        <v>1042</v>
      </c>
      <c r="L838" t="s">
        <v>835</v>
      </c>
      <c r="M838" t="s">
        <v>835</v>
      </c>
      <c r="N838" t="s">
        <v>3329</v>
      </c>
      <c r="O838" t="s">
        <v>3330</v>
      </c>
      <c r="V838" t="s">
        <v>3331</v>
      </c>
      <c r="X838" t="s">
        <v>3332</v>
      </c>
      <c r="Y838" t="s">
        <v>975</v>
      </c>
      <c r="Z838" t="s">
        <v>116</v>
      </c>
      <c r="AB838" t="s">
        <v>3333</v>
      </c>
      <c r="AE838" t="s">
        <v>3332</v>
      </c>
      <c r="AG838" t="s">
        <v>1303</v>
      </c>
      <c r="AI838" t="s">
        <v>29</v>
      </c>
      <c r="AK838" t="s">
        <v>3319</v>
      </c>
      <c r="AL838" t="s">
        <v>3152</v>
      </c>
      <c r="AN838">
        <v>0</v>
      </c>
      <c r="AO838" t="s">
        <v>1834</v>
      </c>
      <c r="AP838" t="s">
        <v>1834</v>
      </c>
      <c r="AQ838">
        <v>0</v>
      </c>
      <c r="AR838" t="s">
        <v>1758</v>
      </c>
    </row>
    <row r="839" spans="1:44" x14ac:dyDescent="0.25">
      <c r="A839" t="s">
        <v>3141</v>
      </c>
      <c r="D839" t="s">
        <v>3281</v>
      </c>
      <c r="E839" t="s">
        <v>3282</v>
      </c>
      <c r="F839" t="s">
        <v>422</v>
      </c>
      <c r="G839" t="str">
        <f>CONCATENATE(Master_Packing_Database[[#This Row],[Exp '#]],Master_Packing_Database[[#This Row],[Batch '#]])</f>
        <v>2083rd2nd</v>
      </c>
      <c r="H839" t="s">
        <v>3334</v>
      </c>
      <c r="I839" t="s">
        <v>3284</v>
      </c>
      <c r="J839" t="s">
        <v>117</v>
      </c>
      <c r="K839" t="s">
        <v>3335</v>
      </c>
      <c r="L839" t="s">
        <v>116</v>
      </c>
      <c r="M839" t="s">
        <v>116</v>
      </c>
      <c r="N839" t="s">
        <v>3286</v>
      </c>
      <c r="O839" t="s">
        <v>3287</v>
      </c>
      <c r="V839" t="s">
        <v>3336</v>
      </c>
      <c r="X839" t="s">
        <v>3332</v>
      </c>
      <c r="Y839" t="s">
        <v>116</v>
      </c>
      <c r="Z839" t="s">
        <v>116</v>
      </c>
      <c r="AB839" t="s">
        <v>3333</v>
      </c>
      <c r="AE839" t="s">
        <v>3332</v>
      </c>
      <c r="AG839" t="s">
        <v>1303</v>
      </c>
      <c r="AI839" t="s">
        <v>29</v>
      </c>
      <c r="AK839" t="s">
        <v>3319</v>
      </c>
      <c r="AL839" t="s">
        <v>3152</v>
      </c>
      <c r="AN839">
        <v>0</v>
      </c>
      <c r="AO839" t="s">
        <v>1834</v>
      </c>
      <c r="AP839" t="s">
        <v>1834</v>
      </c>
      <c r="AQ839">
        <v>0</v>
      </c>
      <c r="AR839" t="s">
        <v>1758</v>
      </c>
    </row>
    <row r="840" spans="1:44" x14ac:dyDescent="0.25">
      <c r="A840" t="s">
        <v>3141</v>
      </c>
      <c r="D840" t="s">
        <v>3281</v>
      </c>
      <c r="E840" t="s">
        <v>3337</v>
      </c>
      <c r="F840" t="s">
        <v>1755</v>
      </c>
      <c r="G840" t="str">
        <f>CONCATENATE(Master_Packing_Database[[#This Row],[Exp '#]],Master_Packing_Database[[#This Row],[Batch '#]])</f>
        <v>2141st-</v>
      </c>
      <c r="H840" t="s">
        <v>3338</v>
      </c>
      <c r="I840" t="s">
        <v>3339</v>
      </c>
      <c r="J840" t="s">
        <v>366</v>
      </c>
      <c r="K840" t="s">
        <v>830</v>
      </c>
      <c r="L840" t="s">
        <v>3340</v>
      </c>
      <c r="M840" t="s">
        <v>116</v>
      </c>
      <c r="N840" t="s">
        <v>3341</v>
      </c>
      <c r="O840" t="s">
        <v>2680</v>
      </c>
      <c r="V840" t="s">
        <v>3323</v>
      </c>
      <c r="X840" t="s">
        <v>3342</v>
      </c>
      <c r="Y840" t="s">
        <v>970</v>
      </c>
      <c r="Z840" t="s">
        <v>1303</v>
      </c>
      <c r="AB840" t="s">
        <v>3309</v>
      </c>
      <c r="AE840" t="s">
        <v>3342</v>
      </c>
      <c r="AG840" t="s">
        <v>1303</v>
      </c>
      <c r="AI840" t="s">
        <v>29</v>
      </c>
      <c r="AK840" t="s">
        <v>3319</v>
      </c>
      <c r="AL840" t="s">
        <v>3152</v>
      </c>
      <c r="AN840">
        <v>0</v>
      </c>
      <c r="AO840" t="s">
        <v>1834</v>
      </c>
      <c r="AP840" t="s">
        <v>1834</v>
      </c>
      <c r="AQ840">
        <v>0</v>
      </c>
      <c r="AR840" t="s">
        <v>1758</v>
      </c>
    </row>
    <row r="841" spans="1:44" x14ac:dyDescent="0.25">
      <c r="A841" t="s">
        <v>3141</v>
      </c>
      <c r="D841" t="s">
        <v>3170</v>
      </c>
      <c r="E841" t="s">
        <v>3171</v>
      </c>
      <c r="F841" t="s">
        <v>3343</v>
      </c>
      <c r="G841" t="str">
        <f>CONCATENATE(Master_Packing_Database[[#This Row],[Exp '#]],Master_Packing_Database[[#This Row],[Batch '#]])</f>
        <v>2001th5th</v>
      </c>
      <c r="H841" t="s">
        <v>3344</v>
      </c>
      <c r="I841" t="s">
        <v>3194</v>
      </c>
      <c r="J841" t="s">
        <v>117</v>
      </c>
      <c r="K841" t="s">
        <v>3345</v>
      </c>
      <c r="L841" t="s">
        <v>116</v>
      </c>
      <c r="M841" t="s">
        <v>116</v>
      </c>
      <c r="N841" t="s">
        <v>3346</v>
      </c>
      <c r="O841" t="s">
        <v>3347</v>
      </c>
      <c r="V841" t="s">
        <v>3323</v>
      </c>
      <c r="X841" t="s">
        <v>3348</v>
      </c>
      <c r="Y841" t="s">
        <v>1030</v>
      </c>
      <c r="Z841" t="s">
        <v>3349</v>
      </c>
      <c r="AB841" t="s">
        <v>3318</v>
      </c>
      <c r="AE841" t="s">
        <v>3348</v>
      </c>
      <c r="AG841" t="s">
        <v>1303</v>
      </c>
      <c r="AI841" t="s">
        <v>29</v>
      </c>
      <c r="AK841" t="s">
        <v>3350</v>
      </c>
      <c r="AL841" t="s">
        <v>3152</v>
      </c>
      <c r="AN841">
        <v>0</v>
      </c>
      <c r="AO841" t="s">
        <v>1834</v>
      </c>
      <c r="AP841" t="s">
        <v>1834</v>
      </c>
      <c r="AQ841">
        <v>0</v>
      </c>
      <c r="AR841" t="s">
        <v>1758</v>
      </c>
    </row>
    <row r="842" spans="1:44" x14ac:dyDescent="0.25">
      <c r="A842" t="s">
        <v>3141</v>
      </c>
      <c r="D842" t="s">
        <v>3281</v>
      </c>
      <c r="E842" t="s">
        <v>3282</v>
      </c>
      <c r="F842" t="s">
        <v>142</v>
      </c>
      <c r="G842" t="str">
        <f>CONCATENATE(Master_Packing_Database[[#This Row],[Exp '#]],Master_Packing_Database[[#This Row],[Batch '#]])</f>
        <v>2083rd3rd</v>
      </c>
      <c r="H842" t="s">
        <v>3351</v>
      </c>
      <c r="I842" t="s">
        <v>3284</v>
      </c>
      <c r="J842" t="s">
        <v>117</v>
      </c>
      <c r="K842" t="s">
        <v>3335</v>
      </c>
      <c r="L842" t="s">
        <v>116</v>
      </c>
      <c r="M842" t="s">
        <v>116</v>
      </c>
      <c r="N842" t="s">
        <v>3352</v>
      </c>
      <c r="O842" t="s">
        <v>3353</v>
      </c>
      <c r="V842" t="s">
        <v>3323</v>
      </c>
      <c r="X842" t="s">
        <v>3354</v>
      </c>
      <c r="Y842" t="s">
        <v>2564</v>
      </c>
      <c r="Z842" t="s">
        <v>3355</v>
      </c>
      <c r="AB842" t="s">
        <v>3333</v>
      </c>
      <c r="AE842" t="s">
        <v>3354</v>
      </c>
      <c r="AG842" t="s">
        <v>1303</v>
      </c>
      <c r="AI842" t="s">
        <v>29</v>
      </c>
      <c r="AK842" t="s">
        <v>3356</v>
      </c>
      <c r="AL842" t="s">
        <v>3152</v>
      </c>
      <c r="AN842">
        <v>0</v>
      </c>
      <c r="AO842" t="s">
        <v>1834</v>
      </c>
      <c r="AP842" t="s">
        <v>1834</v>
      </c>
      <c r="AQ842">
        <v>0</v>
      </c>
      <c r="AR842" t="s">
        <v>1758</v>
      </c>
    </row>
    <row r="843" spans="1:44" x14ac:dyDescent="0.25">
      <c r="A843" t="s">
        <v>3141</v>
      </c>
      <c r="D843" t="s">
        <v>3357</v>
      </c>
      <c r="E843" t="s">
        <v>3358</v>
      </c>
      <c r="F843" t="s">
        <v>761</v>
      </c>
      <c r="G843" t="str">
        <f>CONCATENATE(Master_Packing_Database[[#This Row],[Exp '#]],Master_Packing_Database[[#This Row],[Batch '#]])</f>
        <v>2054th1st</v>
      </c>
      <c r="H843" t="s">
        <v>3359</v>
      </c>
      <c r="I843" t="s">
        <v>3360</v>
      </c>
      <c r="J843" t="s">
        <v>117</v>
      </c>
      <c r="K843" t="s">
        <v>3361</v>
      </c>
      <c r="L843" t="s">
        <v>599</v>
      </c>
      <c r="M843" t="s">
        <v>599</v>
      </c>
      <c r="N843" t="s">
        <v>3362</v>
      </c>
      <c r="O843" t="s">
        <v>3363</v>
      </c>
      <c r="V843" t="s">
        <v>3364</v>
      </c>
      <c r="X843" t="s">
        <v>3365</v>
      </c>
      <c r="Y843" t="s">
        <v>1456</v>
      </c>
      <c r="Z843" t="s">
        <v>3366</v>
      </c>
      <c r="AB843" t="s">
        <v>3367</v>
      </c>
      <c r="AE843" t="s">
        <v>3368</v>
      </c>
      <c r="AG843" t="s">
        <v>599</v>
      </c>
      <c r="AI843" t="s">
        <v>29</v>
      </c>
      <c r="AK843" t="s">
        <v>3356</v>
      </c>
      <c r="AL843" t="s">
        <v>3152</v>
      </c>
      <c r="AN843">
        <v>0</v>
      </c>
      <c r="AO843" t="s">
        <v>1834</v>
      </c>
      <c r="AP843" t="s">
        <v>1834</v>
      </c>
      <c r="AQ843">
        <v>0</v>
      </c>
      <c r="AR843" t="s">
        <v>1758</v>
      </c>
    </row>
    <row r="844" spans="1:44" x14ac:dyDescent="0.25">
      <c r="A844" t="s">
        <v>3141</v>
      </c>
      <c r="D844" t="s">
        <v>3142</v>
      </c>
      <c r="E844" t="s">
        <v>3369</v>
      </c>
      <c r="F844" t="s">
        <v>422</v>
      </c>
      <c r="G844" t="str">
        <f>CONCATENATE(Master_Packing_Database[[#This Row],[Exp '#]],Master_Packing_Database[[#This Row],[Batch '#]])</f>
        <v>2102nd2nd</v>
      </c>
      <c r="H844" t="s">
        <v>3370</v>
      </c>
      <c r="I844" t="s">
        <v>3371</v>
      </c>
      <c r="J844" t="s">
        <v>366</v>
      </c>
      <c r="K844" t="s">
        <v>3372</v>
      </c>
      <c r="L844" t="s">
        <v>3373</v>
      </c>
      <c r="M844" t="s">
        <v>599</v>
      </c>
      <c r="N844" t="s">
        <v>3374</v>
      </c>
      <c r="O844" t="s">
        <v>3375</v>
      </c>
      <c r="V844" t="s">
        <v>3367</v>
      </c>
      <c r="X844" t="s">
        <v>3376</v>
      </c>
      <c r="Y844" t="s">
        <v>376</v>
      </c>
      <c r="Z844" t="s">
        <v>3377</v>
      </c>
      <c r="AB844" t="s">
        <v>3323</v>
      </c>
      <c r="AE844" t="s">
        <v>3376</v>
      </c>
      <c r="AG844" t="s">
        <v>1303</v>
      </c>
      <c r="AI844" t="s">
        <v>29</v>
      </c>
      <c r="AK844" t="s">
        <v>3378</v>
      </c>
      <c r="AL844" t="s">
        <v>3152</v>
      </c>
      <c r="AN844">
        <v>0</v>
      </c>
      <c r="AO844" t="s">
        <v>1834</v>
      </c>
      <c r="AP844" t="s">
        <v>1834</v>
      </c>
      <c r="AQ844">
        <v>0</v>
      </c>
      <c r="AR844" t="s">
        <v>1758</v>
      </c>
    </row>
    <row r="845" spans="1:44" x14ac:dyDescent="0.25">
      <c r="A845" t="s">
        <v>3141</v>
      </c>
      <c r="D845" t="s">
        <v>3357</v>
      </c>
      <c r="E845" t="s">
        <v>3379</v>
      </c>
      <c r="F845" t="s">
        <v>761</v>
      </c>
      <c r="G845" t="str">
        <f>CONCATENATE(Master_Packing_Database[[#This Row],[Exp '#]],Master_Packing_Database[[#This Row],[Batch '#]])</f>
        <v>2067th1st</v>
      </c>
      <c r="H845" t="s">
        <v>3380</v>
      </c>
      <c r="I845" t="s">
        <v>3194</v>
      </c>
      <c r="J845" t="s">
        <v>117</v>
      </c>
      <c r="K845" t="s">
        <v>3227</v>
      </c>
      <c r="L845" t="s">
        <v>835</v>
      </c>
      <c r="M845" t="s">
        <v>835</v>
      </c>
      <c r="N845" t="s">
        <v>3381</v>
      </c>
      <c r="O845" t="s">
        <v>3382</v>
      </c>
      <c r="V845" t="s">
        <v>3383</v>
      </c>
      <c r="X845" t="s">
        <v>3384</v>
      </c>
      <c r="Y845" t="s">
        <v>3385</v>
      </c>
      <c r="Z845" t="s">
        <v>3386</v>
      </c>
      <c r="AB845" t="s">
        <v>3384</v>
      </c>
      <c r="AE845" t="s">
        <v>3384</v>
      </c>
      <c r="AG845" t="s">
        <v>1303</v>
      </c>
      <c r="AI845" t="s">
        <v>29</v>
      </c>
      <c r="AK845" t="s">
        <v>3378</v>
      </c>
      <c r="AL845" t="s">
        <v>3152</v>
      </c>
      <c r="AN845">
        <v>0</v>
      </c>
      <c r="AO845" t="s">
        <v>1834</v>
      </c>
      <c r="AP845" t="s">
        <v>1834</v>
      </c>
      <c r="AQ845">
        <v>0</v>
      </c>
      <c r="AR845" t="s">
        <v>1758</v>
      </c>
    </row>
    <row r="846" spans="1:44" x14ac:dyDescent="0.25">
      <c r="A846" t="s">
        <v>3141</v>
      </c>
      <c r="D846" t="s">
        <v>3387</v>
      </c>
      <c r="E846" t="s">
        <v>3388</v>
      </c>
      <c r="F846" t="s">
        <v>761</v>
      </c>
      <c r="G846" t="str">
        <f>CONCATENATE(Master_Packing_Database[[#This Row],[Exp '#]],Master_Packing_Database[[#This Row],[Batch '#]])</f>
        <v>2112nd1st</v>
      </c>
      <c r="H846" t="s">
        <v>3389</v>
      </c>
      <c r="I846" t="s">
        <v>3189</v>
      </c>
      <c r="J846" t="s">
        <v>117</v>
      </c>
      <c r="K846" t="s">
        <v>3173</v>
      </c>
      <c r="L846" t="s">
        <v>116</v>
      </c>
      <c r="M846" t="s">
        <v>116</v>
      </c>
      <c r="N846" t="s">
        <v>3390</v>
      </c>
      <c r="O846" t="s">
        <v>1351</v>
      </c>
      <c r="V846" t="s">
        <v>3354</v>
      </c>
      <c r="X846" t="s">
        <v>3391</v>
      </c>
      <c r="Y846" t="s">
        <v>3392</v>
      </c>
      <c r="Z846" t="s">
        <v>3393</v>
      </c>
      <c r="AB846" t="s">
        <v>3394</v>
      </c>
      <c r="AE846" t="s">
        <v>3391</v>
      </c>
      <c r="AG846" t="s">
        <v>1303</v>
      </c>
      <c r="AI846" t="s">
        <v>29</v>
      </c>
      <c r="AK846" t="s">
        <v>3395</v>
      </c>
      <c r="AL846" t="s">
        <v>3152</v>
      </c>
      <c r="AN846">
        <v>0</v>
      </c>
      <c r="AO846" t="s">
        <v>1834</v>
      </c>
      <c r="AP846" t="s">
        <v>1834</v>
      </c>
      <c r="AQ846">
        <v>0</v>
      </c>
      <c r="AR846" t="s">
        <v>1758</v>
      </c>
    </row>
    <row r="847" spans="1:44" x14ac:dyDescent="0.25">
      <c r="A847" t="s">
        <v>3141</v>
      </c>
      <c r="D847" t="s">
        <v>3325</v>
      </c>
      <c r="E847" t="s">
        <v>3396</v>
      </c>
      <c r="F847" t="s">
        <v>761</v>
      </c>
      <c r="G847" t="str">
        <f>CONCATENATE(Master_Packing_Database[[#This Row],[Exp '#]],Master_Packing_Database[[#This Row],[Batch '#]])</f>
        <v>2086th1st</v>
      </c>
      <c r="H847" t="s">
        <v>3397</v>
      </c>
      <c r="I847" t="s">
        <v>3398</v>
      </c>
      <c r="J847" t="s">
        <v>117</v>
      </c>
      <c r="K847" t="s">
        <v>3399</v>
      </c>
      <c r="L847" t="s">
        <v>835</v>
      </c>
      <c r="M847" t="s">
        <v>835</v>
      </c>
      <c r="N847" t="s">
        <v>3400</v>
      </c>
      <c r="O847" t="s">
        <v>3401</v>
      </c>
      <c r="V847" t="s">
        <v>3354</v>
      </c>
      <c r="X847" t="s">
        <v>3402</v>
      </c>
      <c r="Y847" t="s">
        <v>849</v>
      </c>
      <c r="Z847" t="s">
        <v>3403</v>
      </c>
      <c r="AB847" t="s">
        <v>3404</v>
      </c>
      <c r="AE847" t="s">
        <v>3402</v>
      </c>
      <c r="AG847" t="s">
        <v>1303</v>
      </c>
      <c r="AH847" t="s">
        <v>544</v>
      </c>
      <c r="AI847" t="s">
        <v>29</v>
      </c>
      <c r="AK847" t="s">
        <v>3395</v>
      </c>
      <c r="AL847" t="s">
        <v>3152</v>
      </c>
      <c r="AN847">
        <v>0</v>
      </c>
      <c r="AO847" t="s">
        <v>1834</v>
      </c>
      <c r="AP847" t="s">
        <v>1834</v>
      </c>
      <c r="AQ847">
        <v>0</v>
      </c>
      <c r="AR847" t="s">
        <v>1758</v>
      </c>
    </row>
    <row r="848" spans="1:44" x14ac:dyDescent="0.25">
      <c r="A848" t="s">
        <v>3141</v>
      </c>
      <c r="D848" t="s">
        <v>3405</v>
      </c>
      <c r="E848" t="s">
        <v>3406</v>
      </c>
      <c r="F848" t="s">
        <v>1755</v>
      </c>
      <c r="G848" t="str">
        <f>CONCATENATE(Master_Packing_Database[[#This Row],[Exp '#]],Master_Packing_Database[[#This Row],[Batch '#]])</f>
        <v>2095th-</v>
      </c>
      <c r="H848" t="s">
        <v>3407</v>
      </c>
      <c r="I848" t="s">
        <v>3408</v>
      </c>
      <c r="J848" t="s">
        <v>117</v>
      </c>
      <c r="K848" t="s">
        <v>3158</v>
      </c>
      <c r="L848" t="s">
        <v>116</v>
      </c>
      <c r="M848" t="s">
        <v>116</v>
      </c>
      <c r="N848" t="s">
        <v>3409</v>
      </c>
      <c r="O848" t="s">
        <v>3410</v>
      </c>
      <c r="V848" t="s">
        <v>3367</v>
      </c>
      <c r="X848" t="s">
        <v>3411</v>
      </c>
      <c r="Y848" t="s">
        <v>3412</v>
      </c>
      <c r="Z848" t="s">
        <v>3413</v>
      </c>
      <c r="AB848" t="s">
        <v>3414</v>
      </c>
      <c r="AE848" t="s">
        <v>3411</v>
      </c>
      <c r="AG848" t="s">
        <v>1303</v>
      </c>
      <c r="AI848" t="s">
        <v>29</v>
      </c>
      <c r="AK848" t="s">
        <v>3395</v>
      </c>
      <c r="AL848" t="s">
        <v>3152</v>
      </c>
      <c r="AN848">
        <v>0</v>
      </c>
      <c r="AO848" t="s">
        <v>1834</v>
      </c>
      <c r="AP848" t="s">
        <v>1834</v>
      </c>
      <c r="AQ848">
        <v>0</v>
      </c>
      <c r="AR848" t="s">
        <v>1758</v>
      </c>
    </row>
    <row r="849" spans="1:44" x14ac:dyDescent="0.25">
      <c r="A849" t="s">
        <v>3141</v>
      </c>
      <c r="D849" t="s">
        <v>3357</v>
      </c>
      <c r="E849" t="s">
        <v>3415</v>
      </c>
      <c r="F849" t="s">
        <v>1755</v>
      </c>
      <c r="G849" t="str">
        <f>CONCATENATE(Master_Packing_Database[[#This Row],[Exp '#]],Master_Packing_Database[[#This Row],[Batch '#]])</f>
        <v>2133rd-</v>
      </c>
      <c r="H849" t="s">
        <v>3416</v>
      </c>
      <c r="I849" t="s">
        <v>3247</v>
      </c>
      <c r="J849" t="s">
        <v>366</v>
      </c>
      <c r="K849" t="s">
        <v>1042</v>
      </c>
      <c r="L849" t="s">
        <v>835</v>
      </c>
      <c r="M849" t="s">
        <v>835</v>
      </c>
      <c r="N849" t="s">
        <v>3417</v>
      </c>
      <c r="O849" t="s">
        <v>3418</v>
      </c>
      <c r="V849" t="s">
        <v>3419</v>
      </c>
      <c r="X849" t="s">
        <v>3419</v>
      </c>
      <c r="Y849" t="s">
        <v>1303</v>
      </c>
      <c r="Z849" t="s">
        <v>3420</v>
      </c>
      <c r="AB849" t="s">
        <v>3421</v>
      </c>
      <c r="AE849" t="s">
        <v>3419</v>
      </c>
      <c r="AG849" t="s">
        <v>1303</v>
      </c>
      <c r="AI849" t="s">
        <v>29</v>
      </c>
      <c r="AK849" t="s">
        <v>3422</v>
      </c>
      <c r="AL849" t="s">
        <v>3152</v>
      </c>
      <c r="AN849">
        <v>0</v>
      </c>
      <c r="AO849" t="s">
        <v>1834</v>
      </c>
      <c r="AP849" t="s">
        <v>1834</v>
      </c>
      <c r="AQ849">
        <v>0</v>
      </c>
      <c r="AR849" t="s">
        <v>1758</v>
      </c>
    </row>
    <row r="850" spans="1:44" x14ac:dyDescent="0.25">
      <c r="A850" t="s">
        <v>3141</v>
      </c>
      <c r="D850" t="s">
        <v>3142</v>
      </c>
      <c r="E850" t="s">
        <v>3423</v>
      </c>
      <c r="F850" t="s">
        <v>1755</v>
      </c>
      <c r="G850" t="str">
        <f>CONCATENATE(Master_Packing_Database[[#This Row],[Exp '#]],Master_Packing_Database[[#This Row],[Batch '#]])</f>
        <v>2109th-</v>
      </c>
      <c r="H850" t="s">
        <v>3424</v>
      </c>
      <c r="I850" t="s">
        <v>3425</v>
      </c>
      <c r="J850" t="s">
        <v>117</v>
      </c>
      <c r="K850" t="s">
        <v>3426</v>
      </c>
      <c r="L850" t="s">
        <v>116</v>
      </c>
      <c r="M850" t="s">
        <v>116</v>
      </c>
      <c r="N850" t="s">
        <v>3427</v>
      </c>
      <c r="O850" t="s">
        <v>3428</v>
      </c>
      <c r="V850" t="s">
        <v>3383</v>
      </c>
      <c r="X850" t="s">
        <v>3429</v>
      </c>
      <c r="Y850" t="s">
        <v>3430</v>
      </c>
      <c r="Z850" t="s">
        <v>3431</v>
      </c>
      <c r="AB850" t="s">
        <v>3402</v>
      </c>
      <c r="AE850" t="s">
        <v>3429</v>
      </c>
      <c r="AG850" t="s">
        <v>1303</v>
      </c>
      <c r="AH850" t="s">
        <v>599</v>
      </c>
      <c r="AI850" t="s">
        <v>29</v>
      </c>
      <c r="AK850" t="s">
        <v>3422</v>
      </c>
      <c r="AL850" t="s">
        <v>3152</v>
      </c>
      <c r="AN850">
        <v>0</v>
      </c>
      <c r="AO850" t="s">
        <v>1834</v>
      </c>
      <c r="AP850" t="s">
        <v>1834</v>
      </c>
      <c r="AQ850">
        <v>0</v>
      </c>
      <c r="AR850" t="s">
        <v>1758</v>
      </c>
    </row>
    <row r="851" spans="1:44" x14ac:dyDescent="0.25">
      <c r="A851" t="s">
        <v>3141</v>
      </c>
      <c r="D851" t="s">
        <v>3432</v>
      </c>
      <c r="E851" t="s">
        <v>3433</v>
      </c>
      <c r="F851" t="s">
        <v>1755</v>
      </c>
      <c r="G851" t="str">
        <f>CONCATENATE(Master_Packing_Database[[#This Row],[Exp '#]],Master_Packing_Database[[#This Row],[Batch '#]])</f>
        <v>2122nd-</v>
      </c>
      <c r="H851" t="s">
        <v>3434</v>
      </c>
      <c r="I851" t="s">
        <v>497</v>
      </c>
      <c r="J851" t="s">
        <v>366</v>
      </c>
      <c r="K851" t="s">
        <v>3435</v>
      </c>
      <c r="L851" t="s">
        <v>835</v>
      </c>
      <c r="M851" t="s">
        <v>116</v>
      </c>
      <c r="N851" t="s">
        <v>3436</v>
      </c>
      <c r="O851" t="s">
        <v>852</v>
      </c>
      <c r="V851" t="s">
        <v>3332</v>
      </c>
      <c r="X851" t="s">
        <v>3429</v>
      </c>
      <c r="Y851" t="s">
        <v>151</v>
      </c>
      <c r="Z851" t="s">
        <v>3431</v>
      </c>
      <c r="AB851" t="s">
        <v>3402</v>
      </c>
      <c r="AE851" t="s">
        <v>3429</v>
      </c>
      <c r="AG851" t="s">
        <v>1303</v>
      </c>
      <c r="AH851" t="s">
        <v>975</v>
      </c>
      <c r="AI851" t="s">
        <v>29</v>
      </c>
      <c r="AK851" t="s">
        <v>3422</v>
      </c>
      <c r="AL851" t="s">
        <v>3152</v>
      </c>
      <c r="AN851">
        <v>0</v>
      </c>
      <c r="AO851" t="s">
        <v>1834</v>
      </c>
      <c r="AP851" t="s">
        <v>1834</v>
      </c>
      <c r="AQ851">
        <v>0</v>
      </c>
      <c r="AR851" t="s">
        <v>1758</v>
      </c>
    </row>
    <row r="852" spans="1:44" x14ac:dyDescent="0.25">
      <c r="A852" t="s">
        <v>3141</v>
      </c>
      <c r="D852" t="s">
        <v>3387</v>
      </c>
      <c r="E852" t="s">
        <v>3388</v>
      </c>
      <c r="F852" t="s">
        <v>422</v>
      </c>
      <c r="G852" t="str">
        <f>CONCATENATE(Master_Packing_Database[[#This Row],[Exp '#]],Master_Packing_Database[[#This Row],[Batch '#]])</f>
        <v>2112nd2nd</v>
      </c>
      <c r="H852" t="s">
        <v>3437</v>
      </c>
      <c r="I852" t="s">
        <v>3438</v>
      </c>
      <c r="J852" t="s">
        <v>117</v>
      </c>
      <c r="K852" t="s">
        <v>3173</v>
      </c>
      <c r="L852" t="s">
        <v>3439</v>
      </c>
      <c r="M852" t="s">
        <v>975</v>
      </c>
      <c r="N852" t="s">
        <v>3440</v>
      </c>
      <c r="O852" t="s">
        <v>3441</v>
      </c>
      <c r="V852" t="s">
        <v>3354</v>
      </c>
      <c r="X852" t="s">
        <v>3442</v>
      </c>
      <c r="Y852" t="s">
        <v>606</v>
      </c>
      <c r="Z852" t="s">
        <v>3443</v>
      </c>
      <c r="AB852" t="s">
        <v>3444</v>
      </c>
      <c r="AE852" t="s">
        <v>3445</v>
      </c>
      <c r="AG852" t="s">
        <v>835</v>
      </c>
      <c r="AH852" t="s">
        <v>975</v>
      </c>
      <c r="AI852" t="s">
        <v>29</v>
      </c>
      <c r="AK852" t="s">
        <v>3446</v>
      </c>
      <c r="AL852" t="s">
        <v>3152</v>
      </c>
      <c r="AN852">
        <v>0</v>
      </c>
      <c r="AO852" t="s">
        <v>1834</v>
      </c>
      <c r="AP852" t="s">
        <v>1834</v>
      </c>
      <c r="AQ852">
        <v>0</v>
      </c>
      <c r="AR852" t="s">
        <v>1758</v>
      </c>
    </row>
    <row r="853" spans="1:44" x14ac:dyDescent="0.25">
      <c r="A853" t="s">
        <v>3141</v>
      </c>
      <c r="D853" t="s">
        <v>3325</v>
      </c>
      <c r="E853" t="s">
        <v>3396</v>
      </c>
      <c r="F853" t="s">
        <v>142</v>
      </c>
      <c r="G853" t="str">
        <f>CONCATENATE(Master_Packing_Database[[#This Row],[Exp '#]],Master_Packing_Database[[#This Row],[Batch '#]])</f>
        <v>2086th3rd</v>
      </c>
      <c r="H853" t="s">
        <v>3447</v>
      </c>
      <c r="I853" t="s">
        <v>3398</v>
      </c>
      <c r="J853" t="s">
        <v>117</v>
      </c>
      <c r="K853" t="s">
        <v>3399</v>
      </c>
      <c r="L853" t="s">
        <v>835</v>
      </c>
      <c r="M853" t="s">
        <v>835</v>
      </c>
      <c r="N853" t="s">
        <v>3448</v>
      </c>
      <c r="O853" t="s">
        <v>3449</v>
      </c>
      <c r="V853" t="s">
        <v>3367</v>
      </c>
      <c r="X853" t="s">
        <v>3442</v>
      </c>
      <c r="Y853" t="s">
        <v>383</v>
      </c>
      <c r="Z853" t="s">
        <v>3450</v>
      </c>
      <c r="AB853" t="s">
        <v>3444</v>
      </c>
      <c r="AE853" t="s">
        <v>3442</v>
      </c>
      <c r="AG853" t="s">
        <v>1303</v>
      </c>
      <c r="AH853" t="s">
        <v>975</v>
      </c>
      <c r="AI853" t="s">
        <v>29</v>
      </c>
      <c r="AK853" t="s">
        <v>3446</v>
      </c>
      <c r="AL853" t="s">
        <v>3152</v>
      </c>
      <c r="AN853">
        <v>0</v>
      </c>
      <c r="AO853" t="s">
        <v>1834</v>
      </c>
      <c r="AP853" t="s">
        <v>1834</v>
      </c>
      <c r="AQ853">
        <v>0</v>
      </c>
      <c r="AR853" t="s">
        <v>1758</v>
      </c>
    </row>
    <row r="854" spans="1:44" x14ac:dyDescent="0.25">
      <c r="A854" t="s">
        <v>3141</v>
      </c>
      <c r="D854" t="s">
        <v>3281</v>
      </c>
      <c r="E854" t="s">
        <v>3451</v>
      </c>
      <c r="F854" t="s">
        <v>761</v>
      </c>
      <c r="G854" t="str">
        <f>CONCATENATE(Master_Packing_Database[[#This Row],[Exp '#]],Master_Packing_Database[[#This Row],[Batch '#]])</f>
        <v>2085th1st</v>
      </c>
      <c r="H854" t="s">
        <v>3452</v>
      </c>
      <c r="I854" t="s">
        <v>3194</v>
      </c>
      <c r="J854" t="s">
        <v>117</v>
      </c>
      <c r="K854" t="s">
        <v>1042</v>
      </c>
      <c r="L854" t="s">
        <v>116</v>
      </c>
      <c r="M854" t="s">
        <v>116</v>
      </c>
      <c r="N854" t="s">
        <v>3453</v>
      </c>
      <c r="O854" t="s">
        <v>3454</v>
      </c>
      <c r="V854" t="s">
        <v>3455</v>
      </c>
      <c r="X854" t="s">
        <v>3456</v>
      </c>
      <c r="Y854" t="s">
        <v>599</v>
      </c>
      <c r="Z854" t="s">
        <v>3457</v>
      </c>
      <c r="AB854" t="s">
        <v>3458</v>
      </c>
      <c r="AE854" t="s">
        <v>3456</v>
      </c>
      <c r="AG854" t="s">
        <v>1303</v>
      </c>
      <c r="AH854" t="s">
        <v>599</v>
      </c>
      <c r="AI854" t="s">
        <v>29</v>
      </c>
      <c r="AK854" t="s">
        <v>3459</v>
      </c>
      <c r="AL854" t="s">
        <v>3152</v>
      </c>
      <c r="AN854">
        <v>0</v>
      </c>
      <c r="AO854" t="s">
        <v>1834</v>
      </c>
      <c r="AP854" t="s">
        <v>1834</v>
      </c>
      <c r="AQ854">
        <v>0</v>
      </c>
      <c r="AR854" t="s">
        <v>1758</v>
      </c>
    </row>
    <row r="855" spans="1:44" x14ac:dyDescent="0.25">
      <c r="A855" t="s">
        <v>3141</v>
      </c>
      <c r="D855" t="s">
        <v>3281</v>
      </c>
      <c r="E855" t="s">
        <v>3451</v>
      </c>
      <c r="F855" t="s">
        <v>422</v>
      </c>
      <c r="G855" t="str">
        <f>CONCATENATE(Master_Packing_Database[[#This Row],[Exp '#]],Master_Packing_Database[[#This Row],[Batch '#]])</f>
        <v>2085th2nd</v>
      </c>
      <c r="H855" t="s">
        <v>3460</v>
      </c>
      <c r="I855" t="s">
        <v>3194</v>
      </c>
      <c r="J855" t="s">
        <v>117</v>
      </c>
      <c r="K855" t="s">
        <v>1042</v>
      </c>
      <c r="L855" t="s">
        <v>599</v>
      </c>
      <c r="M855" t="s">
        <v>599</v>
      </c>
      <c r="N855" t="s">
        <v>3461</v>
      </c>
      <c r="O855" t="s">
        <v>3462</v>
      </c>
      <c r="V855" t="s">
        <v>3455</v>
      </c>
      <c r="X855" t="s">
        <v>3456</v>
      </c>
      <c r="Y855" t="s">
        <v>599</v>
      </c>
      <c r="Z855" t="s">
        <v>3457</v>
      </c>
      <c r="AB855" t="s">
        <v>3458</v>
      </c>
      <c r="AE855" t="s">
        <v>3456</v>
      </c>
      <c r="AG855" t="s">
        <v>1303</v>
      </c>
      <c r="AH855" t="s">
        <v>975</v>
      </c>
      <c r="AI855" t="s">
        <v>29</v>
      </c>
      <c r="AK855" t="s">
        <v>3459</v>
      </c>
      <c r="AL855" t="s">
        <v>3152</v>
      </c>
      <c r="AN855">
        <v>0</v>
      </c>
      <c r="AO855" t="s">
        <v>1834</v>
      </c>
      <c r="AP855" t="s">
        <v>1834</v>
      </c>
      <c r="AQ855">
        <v>0</v>
      </c>
      <c r="AR855" t="s">
        <v>1758</v>
      </c>
    </row>
    <row r="856" spans="1:44" x14ac:dyDescent="0.25">
      <c r="A856" t="s">
        <v>3141</v>
      </c>
      <c r="D856" t="s">
        <v>3357</v>
      </c>
      <c r="E856" t="s">
        <v>3379</v>
      </c>
      <c r="F856" t="s">
        <v>422</v>
      </c>
      <c r="G856" t="str">
        <f>CONCATENATE(Master_Packing_Database[[#This Row],[Exp '#]],Master_Packing_Database[[#This Row],[Batch '#]])</f>
        <v>2067th2nd</v>
      </c>
      <c r="H856" t="s">
        <v>3463</v>
      </c>
      <c r="I856" t="s">
        <v>3194</v>
      </c>
      <c r="J856" t="s">
        <v>117</v>
      </c>
      <c r="K856" t="s">
        <v>3227</v>
      </c>
      <c r="L856" t="s">
        <v>835</v>
      </c>
      <c r="M856" t="s">
        <v>835</v>
      </c>
      <c r="N856" t="s">
        <v>3464</v>
      </c>
      <c r="O856" t="s">
        <v>3465</v>
      </c>
      <c r="V856" t="s">
        <v>3383</v>
      </c>
      <c r="X856" t="s">
        <v>3456</v>
      </c>
      <c r="Y856" t="s">
        <v>3263</v>
      </c>
      <c r="Z856" t="s">
        <v>3457</v>
      </c>
      <c r="AB856" t="s">
        <v>3458</v>
      </c>
      <c r="AE856" t="s">
        <v>3456</v>
      </c>
      <c r="AG856" t="s">
        <v>1303</v>
      </c>
      <c r="AH856" t="s">
        <v>599</v>
      </c>
      <c r="AI856" t="s">
        <v>29</v>
      </c>
      <c r="AK856" t="s">
        <v>3459</v>
      </c>
      <c r="AL856" t="s">
        <v>3152</v>
      </c>
      <c r="AN856">
        <v>0</v>
      </c>
      <c r="AO856" t="s">
        <v>1834</v>
      </c>
      <c r="AP856" t="s">
        <v>1834</v>
      </c>
      <c r="AQ856">
        <v>0</v>
      </c>
      <c r="AR856" t="s">
        <v>1758</v>
      </c>
    </row>
    <row r="857" spans="1:44" x14ac:dyDescent="0.25">
      <c r="A857" t="s">
        <v>3141</v>
      </c>
      <c r="D857" t="s">
        <v>3466</v>
      </c>
      <c r="E857" t="s">
        <v>3467</v>
      </c>
      <c r="F857" t="s">
        <v>1755</v>
      </c>
      <c r="G857" t="str">
        <f>CONCATENATE(Master_Packing_Database[[#This Row],[Exp '#]],Master_Packing_Database[[#This Row],[Batch '#]])</f>
        <v>2099th-</v>
      </c>
      <c r="H857" t="s">
        <v>3468</v>
      </c>
      <c r="I857" t="s">
        <v>3398</v>
      </c>
      <c r="J857" t="s">
        <v>117</v>
      </c>
      <c r="K857" t="s">
        <v>3469</v>
      </c>
      <c r="L857" t="s">
        <v>116</v>
      </c>
      <c r="M857" t="s">
        <v>116</v>
      </c>
      <c r="N857" t="s">
        <v>3470</v>
      </c>
      <c r="O857" t="s">
        <v>3471</v>
      </c>
      <c r="V857" t="s">
        <v>3419</v>
      </c>
      <c r="X857" t="s">
        <v>3472</v>
      </c>
      <c r="Y857" t="s">
        <v>1072</v>
      </c>
      <c r="Z857" t="s">
        <v>3473</v>
      </c>
      <c r="AB857" t="s">
        <v>3442</v>
      </c>
      <c r="AE857" t="s">
        <v>3474</v>
      </c>
      <c r="AG857" t="s">
        <v>116</v>
      </c>
      <c r="AH857" t="s">
        <v>599</v>
      </c>
      <c r="AI857" t="s">
        <v>29</v>
      </c>
      <c r="AK857" t="s">
        <v>3459</v>
      </c>
      <c r="AL857" t="s">
        <v>3152</v>
      </c>
      <c r="AN857">
        <v>0</v>
      </c>
      <c r="AO857" t="s">
        <v>1834</v>
      </c>
      <c r="AP857" t="s">
        <v>1834</v>
      </c>
      <c r="AQ857">
        <v>0</v>
      </c>
      <c r="AR857" t="s">
        <v>1758</v>
      </c>
    </row>
    <row r="858" spans="1:44" x14ac:dyDescent="0.25">
      <c r="A858" t="s">
        <v>3141</v>
      </c>
      <c r="D858" t="s">
        <v>3325</v>
      </c>
      <c r="E858" t="s">
        <v>3396</v>
      </c>
      <c r="F858" t="s">
        <v>422</v>
      </c>
      <c r="G858" t="str">
        <f>CONCATENATE(Master_Packing_Database[[#This Row],[Exp '#]],Master_Packing_Database[[#This Row],[Batch '#]])</f>
        <v>2086th2nd</v>
      </c>
      <c r="H858" t="s">
        <v>3475</v>
      </c>
      <c r="I858" t="s">
        <v>3398</v>
      </c>
      <c r="J858" t="s">
        <v>117</v>
      </c>
      <c r="K858" t="s">
        <v>3399</v>
      </c>
      <c r="L858" t="s">
        <v>599</v>
      </c>
      <c r="M858" t="s">
        <v>599</v>
      </c>
      <c r="N858" t="s">
        <v>3476</v>
      </c>
      <c r="O858" t="s">
        <v>3477</v>
      </c>
      <c r="V858" t="s">
        <v>3367</v>
      </c>
      <c r="X858" t="s">
        <v>3478</v>
      </c>
      <c r="Y858" t="s">
        <v>453</v>
      </c>
      <c r="Z858" t="s">
        <v>3479</v>
      </c>
      <c r="AB858" t="s">
        <v>3445</v>
      </c>
      <c r="AE858" t="s">
        <v>3478</v>
      </c>
      <c r="AG858" t="s">
        <v>1303</v>
      </c>
      <c r="AH858" t="s">
        <v>975</v>
      </c>
      <c r="AI858" t="s">
        <v>29</v>
      </c>
      <c r="AK858" t="s">
        <v>3480</v>
      </c>
      <c r="AL858" t="s">
        <v>3152</v>
      </c>
      <c r="AN858">
        <v>0</v>
      </c>
      <c r="AO858" t="s">
        <v>1834</v>
      </c>
      <c r="AP858" t="s">
        <v>1834</v>
      </c>
      <c r="AQ858">
        <v>0</v>
      </c>
      <c r="AR858" t="s">
        <v>1758</v>
      </c>
    </row>
    <row r="859" spans="1:44" x14ac:dyDescent="0.25">
      <c r="A859" t="s">
        <v>3141</v>
      </c>
      <c r="D859" t="s">
        <v>3281</v>
      </c>
      <c r="E859" t="s">
        <v>3451</v>
      </c>
      <c r="F859" t="s">
        <v>142</v>
      </c>
      <c r="G859" t="str">
        <f>CONCATENATE(Master_Packing_Database[[#This Row],[Exp '#]],Master_Packing_Database[[#This Row],[Batch '#]])</f>
        <v>2085th3rd</v>
      </c>
      <c r="H859" t="s">
        <v>3481</v>
      </c>
      <c r="I859" t="s">
        <v>3194</v>
      </c>
      <c r="J859" t="s">
        <v>117</v>
      </c>
      <c r="K859" t="s">
        <v>1042</v>
      </c>
      <c r="L859" t="s">
        <v>835</v>
      </c>
      <c r="M859" t="s">
        <v>835</v>
      </c>
      <c r="N859" t="s">
        <v>3482</v>
      </c>
      <c r="O859" t="s">
        <v>3483</v>
      </c>
      <c r="V859" t="s">
        <v>3484</v>
      </c>
      <c r="X859" t="s">
        <v>3485</v>
      </c>
      <c r="Y859" t="s">
        <v>1030</v>
      </c>
      <c r="Z859" t="s">
        <v>1113</v>
      </c>
      <c r="AB859" t="s">
        <v>3486</v>
      </c>
      <c r="AE859" t="s">
        <v>3485</v>
      </c>
      <c r="AG859" t="s">
        <v>1303</v>
      </c>
      <c r="AH859" t="s">
        <v>1072</v>
      </c>
      <c r="AI859" t="s">
        <v>29</v>
      </c>
      <c r="AK859" t="s">
        <v>3487</v>
      </c>
      <c r="AL859" t="s">
        <v>3152</v>
      </c>
      <c r="AN859">
        <v>0</v>
      </c>
      <c r="AO859" t="s">
        <v>1834</v>
      </c>
      <c r="AP859" t="s">
        <v>1834</v>
      </c>
      <c r="AQ859">
        <v>0</v>
      </c>
      <c r="AR859" t="s">
        <v>1758</v>
      </c>
    </row>
    <row r="860" spans="1:44" x14ac:dyDescent="0.25">
      <c r="A860" t="s">
        <v>3141</v>
      </c>
      <c r="D860" t="s">
        <v>3405</v>
      </c>
      <c r="E860" t="s">
        <v>3488</v>
      </c>
      <c r="F860" t="s">
        <v>1755</v>
      </c>
      <c r="G860" t="str">
        <f>CONCATENATE(Master_Packing_Database[[#This Row],[Exp '#]],Master_Packing_Database[[#This Row],[Batch '#]])</f>
        <v>2114th-</v>
      </c>
      <c r="H860" t="s">
        <v>3489</v>
      </c>
      <c r="I860" t="s">
        <v>3490</v>
      </c>
      <c r="J860" t="s">
        <v>117</v>
      </c>
      <c r="K860" t="s">
        <v>3173</v>
      </c>
      <c r="L860" t="s">
        <v>599</v>
      </c>
      <c r="M860" t="s">
        <v>599</v>
      </c>
      <c r="N860" t="s">
        <v>3491</v>
      </c>
      <c r="O860" t="s">
        <v>3492</v>
      </c>
      <c r="V860" t="s">
        <v>3484</v>
      </c>
      <c r="X860" t="s">
        <v>3493</v>
      </c>
      <c r="Y860" t="s">
        <v>912</v>
      </c>
      <c r="Z860" t="s">
        <v>3494</v>
      </c>
      <c r="AB860" t="s">
        <v>3495</v>
      </c>
      <c r="AE860" t="s">
        <v>3493</v>
      </c>
      <c r="AG860" t="s">
        <v>1303</v>
      </c>
      <c r="AH860" t="s">
        <v>975</v>
      </c>
      <c r="AI860" t="s">
        <v>29</v>
      </c>
      <c r="AK860" t="s">
        <v>3487</v>
      </c>
      <c r="AL860" t="s">
        <v>3152</v>
      </c>
      <c r="AN860">
        <v>0</v>
      </c>
      <c r="AO860" t="s">
        <v>1834</v>
      </c>
      <c r="AP860" t="s">
        <v>1834</v>
      </c>
      <c r="AQ860">
        <v>0</v>
      </c>
      <c r="AR860" t="s">
        <v>1758</v>
      </c>
    </row>
    <row r="861" spans="1:44" x14ac:dyDescent="0.25">
      <c r="A861" t="s">
        <v>3141</v>
      </c>
      <c r="D861" t="s">
        <v>3303</v>
      </c>
      <c r="E861" t="s">
        <v>3304</v>
      </c>
      <c r="G861" t="str">
        <f>CONCATENATE(Master_Packing_Database[[#This Row],[Exp '#]],Master_Packing_Database[[#This Row],[Batch '#]])</f>
        <v>2098th</v>
      </c>
      <c r="H861" t="s">
        <v>3496</v>
      </c>
      <c r="I861" t="s">
        <v>3497</v>
      </c>
      <c r="J861" t="s">
        <v>117</v>
      </c>
      <c r="K861" t="s">
        <v>1059</v>
      </c>
      <c r="L861" t="s">
        <v>599</v>
      </c>
      <c r="M861" t="s">
        <v>116</v>
      </c>
      <c r="N861" t="s">
        <v>3498</v>
      </c>
      <c r="O861" t="s">
        <v>3499</v>
      </c>
      <c r="V861" t="s">
        <v>3383</v>
      </c>
      <c r="X861" t="s">
        <v>3384</v>
      </c>
      <c r="Y861" t="s">
        <v>3385</v>
      </c>
      <c r="Z861" t="s">
        <v>3500</v>
      </c>
      <c r="AB861" t="s">
        <v>3384</v>
      </c>
      <c r="AE861" t="s">
        <v>3501</v>
      </c>
      <c r="AG861" t="s">
        <v>116</v>
      </c>
      <c r="AH861" t="s">
        <v>116</v>
      </c>
      <c r="AI861" t="s">
        <v>29</v>
      </c>
      <c r="AK861" t="s">
        <v>3487</v>
      </c>
      <c r="AL861" t="s">
        <v>3152</v>
      </c>
      <c r="AN861">
        <v>0</v>
      </c>
      <c r="AO861" t="s">
        <v>1834</v>
      </c>
      <c r="AP861" t="s">
        <v>1834</v>
      </c>
      <c r="AQ861">
        <v>0</v>
      </c>
      <c r="AR861" t="s">
        <v>1758</v>
      </c>
    </row>
    <row r="862" spans="1:44" x14ac:dyDescent="0.25">
      <c r="A862" t="s">
        <v>3141</v>
      </c>
      <c r="D862" t="s">
        <v>3303</v>
      </c>
      <c r="E862" t="s">
        <v>3502</v>
      </c>
      <c r="F862" t="s">
        <v>761</v>
      </c>
      <c r="G862" t="str">
        <f>CONCATENATE(Master_Packing_Database[[#This Row],[Exp '#]],Master_Packing_Database[[#This Row],[Batch '#]])</f>
        <v>2097th1st</v>
      </c>
      <c r="H862" t="s">
        <v>3503</v>
      </c>
      <c r="I862" t="s">
        <v>3504</v>
      </c>
      <c r="J862" t="s">
        <v>117</v>
      </c>
      <c r="K862" t="s">
        <v>1059</v>
      </c>
      <c r="L862" t="s">
        <v>116</v>
      </c>
      <c r="M862" t="s">
        <v>116</v>
      </c>
      <c r="N862" t="s">
        <v>3505</v>
      </c>
      <c r="O862" t="s">
        <v>3506</v>
      </c>
      <c r="V862" t="s">
        <v>3507</v>
      </c>
      <c r="X862" t="s">
        <v>3493</v>
      </c>
      <c r="Y862" t="s">
        <v>2654</v>
      </c>
      <c r="Z862" t="s">
        <v>3494</v>
      </c>
      <c r="AB862" t="s">
        <v>3508</v>
      </c>
      <c r="AE862" t="s">
        <v>3493</v>
      </c>
      <c r="AG862" t="s">
        <v>1303</v>
      </c>
      <c r="AH862" t="s">
        <v>599</v>
      </c>
      <c r="AI862" t="s">
        <v>29</v>
      </c>
      <c r="AK862" t="s">
        <v>3487</v>
      </c>
      <c r="AL862" t="s">
        <v>3152</v>
      </c>
      <c r="AN862">
        <v>0</v>
      </c>
      <c r="AO862" t="s">
        <v>1834</v>
      </c>
      <c r="AP862" t="s">
        <v>1834</v>
      </c>
      <c r="AQ862">
        <v>0</v>
      </c>
      <c r="AR862" t="s">
        <v>1758</v>
      </c>
    </row>
    <row r="863" spans="1:44" x14ac:dyDescent="0.25">
      <c r="A863" t="s">
        <v>3141</v>
      </c>
      <c r="D863" t="s">
        <v>3179</v>
      </c>
      <c r="E863" t="s">
        <v>3509</v>
      </c>
      <c r="F863" t="s">
        <v>1755</v>
      </c>
      <c r="G863" t="str">
        <f>CONCATENATE(Master_Packing_Database[[#This Row],[Exp '#]],Master_Packing_Database[[#This Row],[Batch '#]])</f>
        <v>2103rd-</v>
      </c>
      <c r="H863" t="s">
        <v>3510</v>
      </c>
      <c r="I863" t="s">
        <v>3398</v>
      </c>
      <c r="J863" t="s">
        <v>117</v>
      </c>
      <c r="K863" t="s">
        <v>3511</v>
      </c>
      <c r="L863" t="s">
        <v>116</v>
      </c>
      <c r="M863" t="s">
        <v>116</v>
      </c>
      <c r="N863" t="s">
        <v>3512</v>
      </c>
      <c r="O863" t="s">
        <v>3513</v>
      </c>
      <c r="V863" t="s">
        <v>3455</v>
      </c>
      <c r="X863" t="s">
        <v>3493</v>
      </c>
      <c r="Y863" t="s">
        <v>1419</v>
      </c>
      <c r="Z863" t="s">
        <v>3494</v>
      </c>
      <c r="AB863" t="s">
        <v>3495</v>
      </c>
      <c r="AE863" t="s">
        <v>3493</v>
      </c>
      <c r="AG863" t="s">
        <v>1303</v>
      </c>
      <c r="AH863" t="s">
        <v>599</v>
      </c>
      <c r="AI863" t="s">
        <v>29</v>
      </c>
      <c r="AK863" t="s">
        <v>3487</v>
      </c>
      <c r="AL863" t="s">
        <v>3152</v>
      </c>
      <c r="AN863">
        <v>0</v>
      </c>
      <c r="AO863" t="s">
        <v>1834</v>
      </c>
      <c r="AP863" t="s">
        <v>1834</v>
      </c>
      <c r="AQ863">
        <v>0</v>
      </c>
      <c r="AR863" t="s">
        <v>1758</v>
      </c>
    </row>
    <row r="864" spans="1:44" x14ac:dyDescent="0.25">
      <c r="A864" t="s">
        <v>3141</v>
      </c>
      <c r="D864" t="s">
        <v>3303</v>
      </c>
      <c r="E864" t="s">
        <v>3502</v>
      </c>
      <c r="F864" t="s">
        <v>422</v>
      </c>
      <c r="G864" t="str">
        <f>CONCATENATE(Master_Packing_Database[[#This Row],[Exp '#]],Master_Packing_Database[[#This Row],[Batch '#]])</f>
        <v>2097th2nd</v>
      </c>
      <c r="H864" t="s">
        <v>3514</v>
      </c>
      <c r="I864" t="s">
        <v>3504</v>
      </c>
      <c r="J864" t="s">
        <v>117</v>
      </c>
      <c r="K864" t="s">
        <v>1059</v>
      </c>
      <c r="L864" t="s">
        <v>116</v>
      </c>
      <c r="M864" t="s">
        <v>116</v>
      </c>
      <c r="N864" t="s">
        <v>3505</v>
      </c>
      <c r="O864" t="s">
        <v>3506</v>
      </c>
      <c r="V864" t="s">
        <v>3515</v>
      </c>
      <c r="X864" t="s">
        <v>3516</v>
      </c>
      <c r="Y864" t="s">
        <v>599</v>
      </c>
      <c r="Z864" t="s">
        <v>1303</v>
      </c>
      <c r="AB864" t="s">
        <v>3517</v>
      </c>
      <c r="AE864" t="s">
        <v>3516</v>
      </c>
      <c r="AG864" t="s">
        <v>1303</v>
      </c>
      <c r="AH864" t="s">
        <v>599</v>
      </c>
      <c r="AI864" t="s">
        <v>29</v>
      </c>
      <c r="AK864" t="s">
        <v>3518</v>
      </c>
      <c r="AL864" t="s">
        <v>3152</v>
      </c>
      <c r="AN864">
        <v>0</v>
      </c>
      <c r="AO864" t="s">
        <v>1834</v>
      </c>
      <c r="AP864" t="s">
        <v>1834</v>
      </c>
      <c r="AQ864">
        <v>0</v>
      </c>
      <c r="AR864" t="s">
        <v>1758</v>
      </c>
    </row>
    <row r="865" spans="1:44" x14ac:dyDescent="0.25">
      <c r="A865" t="s">
        <v>3141</v>
      </c>
      <c r="D865" t="s">
        <v>3303</v>
      </c>
      <c r="E865" t="s">
        <v>3502</v>
      </c>
      <c r="F865" t="s">
        <v>142</v>
      </c>
      <c r="G865" t="str">
        <f>CONCATENATE(Master_Packing_Database[[#This Row],[Exp '#]],Master_Packing_Database[[#This Row],[Batch '#]])</f>
        <v>2097th3rd</v>
      </c>
      <c r="H865" t="s">
        <v>3519</v>
      </c>
      <c r="I865" t="s">
        <v>3504</v>
      </c>
      <c r="J865" t="s">
        <v>117</v>
      </c>
      <c r="K865" t="s">
        <v>1059</v>
      </c>
      <c r="L865" t="s">
        <v>116</v>
      </c>
      <c r="M865" t="s">
        <v>116</v>
      </c>
      <c r="N865" t="s">
        <v>3520</v>
      </c>
      <c r="O865" t="s">
        <v>3521</v>
      </c>
      <c r="V865" t="s">
        <v>3515</v>
      </c>
      <c r="X865" t="s">
        <v>3522</v>
      </c>
      <c r="Y865" t="s">
        <v>970</v>
      </c>
      <c r="Z865" t="s">
        <v>1303</v>
      </c>
      <c r="AB865" t="s">
        <v>3517</v>
      </c>
      <c r="AE865" t="s">
        <v>3522</v>
      </c>
      <c r="AG865" t="s">
        <v>1303</v>
      </c>
      <c r="AH865" t="s">
        <v>599</v>
      </c>
      <c r="AI865" t="s">
        <v>29</v>
      </c>
      <c r="AK865" t="s">
        <v>3523</v>
      </c>
      <c r="AL865" t="s">
        <v>3152</v>
      </c>
      <c r="AN865">
        <v>0</v>
      </c>
      <c r="AO865" t="s">
        <v>1834</v>
      </c>
      <c r="AP865" t="s">
        <v>1834</v>
      </c>
      <c r="AQ865">
        <v>0</v>
      </c>
      <c r="AR865" t="s">
        <v>1758</v>
      </c>
    </row>
    <row r="866" spans="1:44" x14ac:dyDescent="0.25">
      <c r="A866" t="s">
        <v>3141</v>
      </c>
      <c r="D866" t="s">
        <v>1004</v>
      </c>
      <c r="E866" t="s">
        <v>3524</v>
      </c>
      <c r="F866" t="s">
        <v>1755</v>
      </c>
      <c r="G866" t="str">
        <f>CONCATENATE(Master_Packing_Database[[#This Row],[Exp '#]],Master_Packing_Database[[#This Row],[Batch '#]])</f>
        <v>2146th-</v>
      </c>
      <c r="H866" t="s">
        <v>3525</v>
      </c>
      <c r="I866" t="s">
        <v>660</v>
      </c>
      <c r="J866" t="s">
        <v>117</v>
      </c>
      <c r="K866" t="s">
        <v>3469</v>
      </c>
      <c r="L866" t="s">
        <v>544</v>
      </c>
      <c r="M866" t="s">
        <v>599</v>
      </c>
      <c r="N866" t="s">
        <v>462</v>
      </c>
      <c r="O866" t="s">
        <v>1081</v>
      </c>
      <c r="V866" t="s">
        <v>3515</v>
      </c>
      <c r="X866" t="s">
        <v>3526</v>
      </c>
      <c r="Y866" t="s">
        <v>116</v>
      </c>
      <c r="Z866" t="s">
        <v>1303</v>
      </c>
      <c r="AB866" t="s">
        <v>3517</v>
      </c>
      <c r="AE866" t="s">
        <v>3526</v>
      </c>
      <c r="AG866" t="s">
        <v>1303</v>
      </c>
      <c r="AH866" t="s">
        <v>599</v>
      </c>
      <c r="AI866" t="s">
        <v>29</v>
      </c>
      <c r="AK866" t="s">
        <v>3527</v>
      </c>
      <c r="AL866" t="s">
        <v>3152</v>
      </c>
      <c r="AN866">
        <v>0</v>
      </c>
      <c r="AO866" t="s">
        <v>1834</v>
      </c>
      <c r="AP866" t="s">
        <v>1834</v>
      </c>
      <c r="AQ866">
        <v>0</v>
      </c>
      <c r="AR866" t="s">
        <v>1758</v>
      </c>
    </row>
    <row r="867" spans="1:44" x14ac:dyDescent="0.25">
      <c r="A867" t="s">
        <v>3141</v>
      </c>
      <c r="D867" t="s">
        <v>3405</v>
      </c>
      <c r="E867" t="s">
        <v>3528</v>
      </c>
      <c r="F867" t="s">
        <v>1755</v>
      </c>
      <c r="G867" t="str">
        <f>CONCATENATE(Master_Packing_Database[[#This Row],[Exp '#]],Master_Packing_Database[[#This Row],[Batch '#]])</f>
        <v>2140th-</v>
      </c>
      <c r="H867" t="s">
        <v>3529</v>
      </c>
      <c r="I867" t="s">
        <v>3530</v>
      </c>
      <c r="J867" t="s">
        <v>366</v>
      </c>
      <c r="K867" t="s">
        <v>3531</v>
      </c>
      <c r="L867" t="s">
        <v>116</v>
      </c>
      <c r="M867" t="s">
        <v>116</v>
      </c>
      <c r="N867" t="s">
        <v>3532</v>
      </c>
      <c r="O867" t="s">
        <v>3533</v>
      </c>
      <c r="V867" t="s">
        <v>3515</v>
      </c>
      <c r="X867" t="s">
        <v>3534</v>
      </c>
      <c r="Y867" t="s">
        <v>1016</v>
      </c>
      <c r="Z867" t="s">
        <v>1303</v>
      </c>
      <c r="AB867" t="s">
        <v>3517</v>
      </c>
      <c r="AE867" t="s">
        <v>3534</v>
      </c>
      <c r="AG867" t="s">
        <v>1303</v>
      </c>
      <c r="AH867" t="s">
        <v>835</v>
      </c>
      <c r="AI867" t="s">
        <v>29</v>
      </c>
      <c r="AK867" t="s">
        <v>3527</v>
      </c>
      <c r="AL867" t="s">
        <v>3152</v>
      </c>
      <c r="AN867">
        <v>0</v>
      </c>
      <c r="AO867" t="s">
        <v>1834</v>
      </c>
      <c r="AP867" t="s">
        <v>1834</v>
      </c>
      <c r="AQ867">
        <v>0</v>
      </c>
      <c r="AR867" t="s">
        <v>1758</v>
      </c>
    </row>
    <row r="868" spans="1:44" x14ac:dyDescent="0.25">
      <c r="A868" t="s">
        <v>3141</v>
      </c>
      <c r="D868" t="s">
        <v>3170</v>
      </c>
      <c r="E868" t="s">
        <v>3535</v>
      </c>
      <c r="F868" t="s">
        <v>761</v>
      </c>
      <c r="G868" t="str">
        <f>CONCATENATE(Master_Packing_Database[[#This Row],[Exp '#]],Master_Packing_Database[[#This Row],[Batch '#]])</f>
        <v>2128th1st</v>
      </c>
      <c r="H868" t="s">
        <v>3536</v>
      </c>
      <c r="I868" t="s">
        <v>3247</v>
      </c>
      <c r="J868" t="s">
        <v>366</v>
      </c>
      <c r="K868" t="s">
        <v>3537</v>
      </c>
      <c r="L868" t="s">
        <v>599</v>
      </c>
      <c r="M868" t="s">
        <v>599</v>
      </c>
      <c r="N868" t="s">
        <v>3538</v>
      </c>
      <c r="O868" t="s">
        <v>3539</v>
      </c>
      <c r="V868" t="s">
        <v>3540</v>
      </c>
      <c r="X868" t="s">
        <v>3541</v>
      </c>
      <c r="Y868" t="s">
        <v>1016</v>
      </c>
      <c r="Z868" t="s">
        <v>1303</v>
      </c>
      <c r="AB868" t="s">
        <v>3542</v>
      </c>
      <c r="AE868" t="s">
        <v>3543</v>
      </c>
      <c r="AG868" t="s">
        <v>3544</v>
      </c>
      <c r="AH868" t="s">
        <v>975</v>
      </c>
      <c r="AI868" t="s">
        <v>29</v>
      </c>
      <c r="AK868" t="s">
        <v>3527</v>
      </c>
      <c r="AL868" t="s">
        <v>3152</v>
      </c>
      <c r="AN868">
        <v>0</v>
      </c>
      <c r="AO868" t="s">
        <v>1834</v>
      </c>
      <c r="AP868" t="s">
        <v>1834</v>
      </c>
      <c r="AQ868">
        <v>0</v>
      </c>
      <c r="AR868" t="s">
        <v>1758</v>
      </c>
    </row>
    <row r="869" spans="1:44" x14ac:dyDescent="0.25">
      <c r="A869" t="s">
        <v>3141</v>
      </c>
      <c r="D869" t="s">
        <v>3545</v>
      </c>
      <c r="E869" t="s">
        <v>3546</v>
      </c>
      <c r="F869" t="s">
        <v>761</v>
      </c>
      <c r="G869" t="str">
        <f>CONCATENATE(Master_Packing_Database[[#This Row],[Exp '#]],Master_Packing_Database[[#This Row],[Batch '#]])</f>
        <v>2113rd1st</v>
      </c>
      <c r="H869" t="s">
        <v>3547</v>
      </c>
      <c r="I869" t="s">
        <v>3189</v>
      </c>
      <c r="J869" t="s">
        <v>117</v>
      </c>
      <c r="K869" t="s">
        <v>1042</v>
      </c>
      <c r="L869" t="s">
        <v>835</v>
      </c>
      <c r="M869" t="s">
        <v>835</v>
      </c>
      <c r="N869" t="s">
        <v>3548</v>
      </c>
      <c r="O869" t="s">
        <v>3549</v>
      </c>
      <c r="V869" t="s">
        <v>3540</v>
      </c>
      <c r="X869" t="s">
        <v>3541</v>
      </c>
      <c r="Y869" t="s">
        <v>1016</v>
      </c>
      <c r="Z869" t="s">
        <v>1303</v>
      </c>
      <c r="AB869" t="s">
        <v>3542</v>
      </c>
      <c r="AE869" t="s">
        <v>3543</v>
      </c>
      <c r="AG869" t="s">
        <v>3544</v>
      </c>
      <c r="AH869" t="s">
        <v>544</v>
      </c>
      <c r="AI869" t="s">
        <v>29</v>
      </c>
      <c r="AK869" t="s">
        <v>3527</v>
      </c>
      <c r="AL869" t="s">
        <v>3152</v>
      </c>
      <c r="AN869">
        <v>0</v>
      </c>
      <c r="AO869" t="s">
        <v>1834</v>
      </c>
      <c r="AP869" t="s">
        <v>1834</v>
      </c>
      <c r="AQ869">
        <v>0</v>
      </c>
      <c r="AR869" t="s">
        <v>1758</v>
      </c>
    </row>
    <row r="870" spans="1:44" x14ac:dyDescent="0.25">
      <c r="A870" t="s">
        <v>3141</v>
      </c>
      <c r="D870" t="s">
        <v>154</v>
      </c>
      <c r="E870" t="s">
        <v>3550</v>
      </c>
      <c r="F870" t="s">
        <v>1755</v>
      </c>
      <c r="G870" t="str">
        <f>CONCATENATE(Master_Packing_Database[[#This Row],[Exp '#]],Master_Packing_Database[[#This Row],[Batch '#]])</f>
        <v>2129th-</v>
      </c>
      <c r="H870" t="s">
        <v>3551</v>
      </c>
      <c r="I870" t="s">
        <v>497</v>
      </c>
      <c r="J870" t="s">
        <v>366</v>
      </c>
      <c r="K870" t="s">
        <v>3372</v>
      </c>
      <c r="L870" t="s">
        <v>975</v>
      </c>
      <c r="M870" t="s">
        <v>116</v>
      </c>
      <c r="N870" t="s">
        <v>3552</v>
      </c>
      <c r="O870" t="s">
        <v>3553</v>
      </c>
      <c r="V870" t="s">
        <v>3540</v>
      </c>
      <c r="X870" t="s">
        <v>3541</v>
      </c>
      <c r="Y870" t="s">
        <v>1016</v>
      </c>
      <c r="Z870" t="s">
        <v>1303</v>
      </c>
      <c r="AB870" t="s">
        <v>3542</v>
      </c>
      <c r="AE870" t="s">
        <v>3541</v>
      </c>
      <c r="AG870" t="s">
        <v>1303</v>
      </c>
      <c r="AH870" t="s">
        <v>544</v>
      </c>
      <c r="AI870" t="s">
        <v>29</v>
      </c>
      <c r="AK870" t="s">
        <v>3554</v>
      </c>
      <c r="AL870" t="s">
        <v>3152</v>
      </c>
      <c r="AN870">
        <v>0</v>
      </c>
      <c r="AO870" t="s">
        <v>1834</v>
      </c>
      <c r="AP870" t="s">
        <v>1834</v>
      </c>
      <c r="AQ870">
        <v>0</v>
      </c>
      <c r="AR870" t="s">
        <v>1758</v>
      </c>
    </row>
    <row r="871" spans="1:44" x14ac:dyDescent="0.25">
      <c r="A871" t="s">
        <v>3141</v>
      </c>
      <c r="D871" t="s">
        <v>1029</v>
      </c>
      <c r="E871" t="s">
        <v>3535</v>
      </c>
      <c r="F871" t="s">
        <v>422</v>
      </c>
      <c r="G871" t="str">
        <f>CONCATENATE(Master_Packing_Database[[#This Row],[Exp '#]],Master_Packing_Database[[#This Row],[Batch '#]])</f>
        <v>2128th2nd</v>
      </c>
      <c r="H871" t="s">
        <v>3555</v>
      </c>
      <c r="I871" t="s">
        <v>3247</v>
      </c>
      <c r="J871" t="s">
        <v>366</v>
      </c>
      <c r="K871" t="s">
        <v>3537</v>
      </c>
      <c r="L871" t="s">
        <v>599</v>
      </c>
      <c r="M871" t="s">
        <v>599</v>
      </c>
      <c r="N871" t="s">
        <v>3556</v>
      </c>
      <c r="O871" t="s">
        <v>3557</v>
      </c>
      <c r="V871" t="s">
        <v>3540</v>
      </c>
      <c r="X871" t="s">
        <v>3541</v>
      </c>
      <c r="Y871" t="s">
        <v>1016</v>
      </c>
      <c r="Z871" t="s">
        <v>1303</v>
      </c>
      <c r="AB871" t="s">
        <v>3542</v>
      </c>
      <c r="AE871" t="s">
        <v>3541</v>
      </c>
      <c r="AG871" t="s">
        <v>1303</v>
      </c>
      <c r="AH871" t="s">
        <v>975</v>
      </c>
      <c r="AI871" t="s">
        <v>29</v>
      </c>
      <c r="AK871" t="s">
        <v>3554</v>
      </c>
      <c r="AL871" t="s">
        <v>3152</v>
      </c>
      <c r="AN871">
        <v>0</v>
      </c>
      <c r="AO871" t="s">
        <v>1834</v>
      </c>
      <c r="AP871" t="s">
        <v>1834</v>
      </c>
      <c r="AQ871">
        <v>0</v>
      </c>
      <c r="AR871" t="s">
        <v>1758</v>
      </c>
    </row>
    <row r="872" spans="1:44" x14ac:dyDescent="0.25">
      <c r="A872" t="s">
        <v>3141</v>
      </c>
      <c r="D872" t="s">
        <v>3558</v>
      </c>
      <c r="E872" t="s">
        <v>3546</v>
      </c>
      <c r="F872" t="s">
        <v>422</v>
      </c>
      <c r="G872" t="str">
        <f>CONCATENATE(Master_Packing_Database[[#This Row],[Exp '#]],Master_Packing_Database[[#This Row],[Batch '#]])</f>
        <v>2113rd2nd</v>
      </c>
      <c r="H872" t="s">
        <v>3559</v>
      </c>
      <c r="I872" t="s">
        <v>3189</v>
      </c>
      <c r="J872" t="s">
        <v>117</v>
      </c>
      <c r="K872" t="s">
        <v>1042</v>
      </c>
      <c r="L872" t="s">
        <v>835</v>
      </c>
      <c r="M872" t="s">
        <v>835</v>
      </c>
      <c r="N872" t="s">
        <v>3560</v>
      </c>
      <c r="O872" t="s">
        <v>3561</v>
      </c>
      <c r="V872" t="s">
        <v>3540</v>
      </c>
      <c r="X872" t="s">
        <v>3562</v>
      </c>
      <c r="Y872" t="s">
        <v>1030</v>
      </c>
      <c r="Z872" t="s">
        <v>1303</v>
      </c>
      <c r="AB872" t="s">
        <v>3542</v>
      </c>
      <c r="AE872" t="s">
        <v>3563</v>
      </c>
      <c r="AG872" t="s">
        <v>116</v>
      </c>
      <c r="AH872" t="s">
        <v>835</v>
      </c>
      <c r="AI872" t="s">
        <v>29</v>
      </c>
      <c r="AK872" t="s">
        <v>3554</v>
      </c>
      <c r="AL872" t="s">
        <v>3152</v>
      </c>
      <c r="AN872">
        <v>0</v>
      </c>
      <c r="AO872" t="s">
        <v>1834</v>
      </c>
      <c r="AP872" t="s">
        <v>1834</v>
      </c>
      <c r="AQ872">
        <v>0</v>
      </c>
      <c r="AR872" t="s">
        <v>1758</v>
      </c>
    </row>
    <row r="873" spans="1:44" x14ac:dyDescent="0.25">
      <c r="A873" t="s">
        <v>3141</v>
      </c>
      <c r="D873" t="s">
        <v>917</v>
      </c>
      <c r="E873" t="s">
        <v>3564</v>
      </c>
      <c r="F873" t="s">
        <v>761</v>
      </c>
      <c r="G873" t="str">
        <f>CONCATENATE(Master_Packing_Database[[#This Row],[Exp '#]],Master_Packing_Database[[#This Row],[Batch '#]])</f>
        <v>2132nd1st</v>
      </c>
      <c r="H873" t="s">
        <v>3565</v>
      </c>
      <c r="I873" t="s">
        <v>332</v>
      </c>
      <c r="J873" t="s">
        <v>117</v>
      </c>
      <c r="K873" t="s">
        <v>3227</v>
      </c>
      <c r="L873" t="s">
        <v>975</v>
      </c>
      <c r="M873" t="s">
        <v>599</v>
      </c>
      <c r="N873" t="s">
        <v>398</v>
      </c>
      <c r="O873" t="s">
        <v>3566</v>
      </c>
      <c r="V873" t="s">
        <v>3540</v>
      </c>
      <c r="X873" t="s">
        <v>3562</v>
      </c>
      <c r="Y873" t="s">
        <v>1030</v>
      </c>
      <c r="Z873" t="s">
        <v>1303</v>
      </c>
      <c r="AB873" t="s">
        <v>3542</v>
      </c>
      <c r="AE873" t="s">
        <v>3563</v>
      </c>
      <c r="AG873" t="s">
        <v>116</v>
      </c>
      <c r="AH873" t="s">
        <v>599</v>
      </c>
      <c r="AI873" t="s">
        <v>29</v>
      </c>
      <c r="AK873" t="s">
        <v>3554</v>
      </c>
      <c r="AL873" t="s">
        <v>3152</v>
      </c>
      <c r="AN873">
        <v>0</v>
      </c>
      <c r="AO873" t="s">
        <v>1834</v>
      </c>
      <c r="AP873" t="s">
        <v>1834</v>
      </c>
      <c r="AQ873">
        <v>0</v>
      </c>
      <c r="AR873" t="s">
        <v>1758</v>
      </c>
    </row>
    <row r="874" spans="1:44" x14ac:dyDescent="0.25">
      <c r="A874" t="s">
        <v>3141</v>
      </c>
      <c r="D874" t="s">
        <v>1004</v>
      </c>
      <c r="E874" t="s">
        <v>3567</v>
      </c>
      <c r="F874" t="s">
        <v>1755</v>
      </c>
      <c r="G874" t="str">
        <f>CONCATENATE(Master_Packing_Database[[#This Row],[Exp '#]],Master_Packing_Database[[#This Row],[Batch '#]])</f>
        <v>2145th-</v>
      </c>
      <c r="H874" t="s">
        <v>3568</v>
      </c>
      <c r="I874" t="s">
        <v>3569</v>
      </c>
      <c r="J874" t="s">
        <v>117</v>
      </c>
      <c r="K874" t="s">
        <v>3570</v>
      </c>
      <c r="L874" t="s">
        <v>835</v>
      </c>
      <c r="M874" t="s">
        <v>599</v>
      </c>
      <c r="N874" t="s">
        <v>3571</v>
      </c>
      <c r="O874" t="s">
        <v>3572</v>
      </c>
      <c r="V874" t="s">
        <v>3540</v>
      </c>
      <c r="X874" t="s">
        <v>3573</v>
      </c>
      <c r="Y874" t="s">
        <v>3392</v>
      </c>
      <c r="Z874" t="s">
        <v>1303</v>
      </c>
      <c r="AB874" t="s">
        <v>3574</v>
      </c>
      <c r="AE874" t="s">
        <v>3573</v>
      </c>
      <c r="AG874" t="s">
        <v>1303</v>
      </c>
      <c r="AI874" t="s">
        <v>29</v>
      </c>
      <c r="AK874" t="s">
        <v>3575</v>
      </c>
      <c r="AL874" t="s">
        <v>3152</v>
      </c>
      <c r="AN874">
        <v>0</v>
      </c>
      <c r="AO874" t="s">
        <v>1834</v>
      </c>
      <c r="AP874" t="s">
        <v>1834</v>
      </c>
      <c r="AQ874">
        <v>0</v>
      </c>
      <c r="AR874" t="s">
        <v>1758</v>
      </c>
    </row>
    <row r="875" spans="1:44" x14ac:dyDescent="0.25">
      <c r="A875" t="s">
        <v>3141</v>
      </c>
      <c r="D875" t="s">
        <v>917</v>
      </c>
      <c r="E875" t="s">
        <v>3576</v>
      </c>
      <c r="F875" t="s">
        <v>1755</v>
      </c>
      <c r="G875" t="str">
        <f>CONCATENATE(Master_Packing_Database[[#This Row],[Exp '#]],Master_Packing_Database[[#This Row],[Batch '#]])</f>
        <v>2151st-</v>
      </c>
      <c r="H875" t="s">
        <v>3577</v>
      </c>
      <c r="I875" t="s">
        <v>676</v>
      </c>
      <c r="J875" t="s">
        <v>117</v>
      </c>
      <c r="K875" t="s">
        <v>3578</v>
      </c>
      <c r="L875" t="s">
        <v>599</v>
      </c>
      <c r="M875" t="s">
        <v>116</v>
      </c>
      <c r="N875" t="s">
        <v>3579</v>
      </c>
      <c r="O875" t="s">
        <v>3580</v>
      </c>
      <c r="V875" t="s">
        <v>3540</v>
      </c>
      <c r="X875" t="s">
        <v>3581</v>
      </c>
      <c r="Y875" t="s">
        <v>849</v>
      </c>
      <c r="Z875" t="s">
        <v>1303</v>
      </c>
      <c r="AB875" t="s">
        <v>3582</v>
      </c>
      <c r="AE875" t="s">
        <v>3581</v>
      </c>
      <c r="AG875" t="s">
        <v>1303</v>
      </c>
      <c r="AI875" t="s">
        <v>29</v>
      </c>
      <c r="AK875" t="s">
        <v>3575</v>
      </c>
      <c r="AL875" t="s">
        <v>3152</v>
      </c>
      <c r="AN875">
        <v>0</v>
      </c>
      <c r="AO875" t="s">
        <v>1834</v>
      </c>
      <c r="AP875" t="s">
        <v>1834</v>
      </c>
      <c r="AQ875">
        <v>0</v>
      </c>
      <c r="AR875" t="s">
        <v>1758</v>
      </c>
    </row>
    <row r="876" spans="1:44" x14ac:dyDescent="0.25">
      <c r="A876" t="s">
        <v>3141</v>
      </c>
      <c r="D876" t="s">
        <v>1103</v>
      </c>
      <c r="E876" t="s">
        <v>3583</v>
      </c>
      <c r="F876" t="s">
        <v>1755</v>
      </c>
      <c r="G876" t="str">
        <f>CONCATENATE(Master_Packing_Database[[#This Row],[Exp '#]],Master_Packing_Database[[#This Row],[Batch '#]])</f>
        <v>2149th-</v>
      </c>
      <c r="H876" t="s">
        <v>3584</v>
      </c>
      <c r="I876" t="s">
        <v>3585</v>
      </c>
      <c r="J876" t="s">
        <v>366</v>
      </c>
      <c r="K876" t="s">
        <v>3173</v>
      </c>
      <c r="L876" t="s">
        <v>116</v>
      </c>
      <c r="M876" t="s">
        <v>116</v>
      </c>
      <c r="N876" t="s">
        <v>3586</v>
      </c>
      <c r="O876" t="s">
        <v>1370</v>
      </c>
      <c r="V876" t="s">
        <v>3540</v>
      </c>
      <c r="X876" t="s">
        <v>3587</v>
      </c>
      <c r="Y876" t="s">
        <v>2640</v>
      </c>
      <c r="Z876" t="s">
        <v>1303</v>
      </c>
      <c r="AB876" t="s">
        <v>3588</v>
      </c>
      <c r="AE876" t="s">
        <v>3589</v>
      </c>
      <c r="AG876" t="s">
        <v>116</v>
      </c>
      <c r="AI876" t="s">
        <v>29</v>
      </c>
      <c r="AK876" t="s">
        <v>3575</v>
      </c>
      <c r="AL876" t="s">
        <v>3152</v>
      </c>
      <c r="AN876">
        <v>0</v>
      </c>
      <c r="AO876" t="s">
        <v>1834</v>
      </c>
      <c r="AP876" t="s">
        <v>1834</v>
      </c>
      <c r="AQ876">
        <v>0</v>
      </c>
      <c r="AR876" t="s">
        <v>1758</v>
      </c>
    </row>
    <row r="877" spans="1:44" x14ac:dyDescent="0.25">
      <c r="A877" t="s">
        <v>3141</v>
      </c>
      <c r="D877" t="s">
        <v>3558</v>
      </c>
      <c r="E877" t="s">
        <v>3590</v>
      </c>
      <c r="F877" t="s">
        <v>1755</v>
      </c>
      <c r="G877" t="str">
        <f>CONCATENATE(Master_Packing_Database[[#This Row],[Exp '#]],Master_Packing_Database[[#This Row],[Batch '#]])</f>
        <v>2153rd-</v>
      </c>
      <c r="H877" t="s">
        <v>3591</v>
      </c>
      <c r="I877" t="s">
        <v>660</v>
      </c>
      <c r="J877" t="s">
        <v>117</v>
      </c>
      <c r="K877" t="s">
        <v>1059</v>
      </c>
      <c r="L877" t="s">
        <v>599</v>
      </c>
      <c r="M877" t="s">
        <v>116</v>
      </c>
      <c r="N877" t="s">
        <v>1403</v>
      </c>
      <c r="O877" t="s">
        <v>3592</v>
      </c>
      <c r="V877" t="s">
        <v>3540</v>
      </c>
      <c r="X877" t="s">
        <v>3589</v>
      </c>
      <c r="Y877" t="s">
        <v>1419</v>
      </c>
      <c r="Z877" t="s">
        <v>1303</v>
      </c>
      <c r="AB877" t="s">
        <v>3593</v>
      </c>
      <c r="AE877" t="s">
        <v>3589</v>
      </c>
      <c r="AG877" t="s">
        <v>1303</v>
      </c>
      <c r="AI877" t="s">
        <v>29</v>
      </c>
      <c r="AK877" t="s">
        <v>3575</v>
      </c>
      <c r="AL877" t="s">
        <v>3152</v>
      </c>
      <c r="AN877">
        <v>0</v>
      </c>
      <c r="AO877" t="s">
        <v>1834</v>
      </c>
      <c r="AP877" t="s">
        <v>1834</v>
      </c>
      <c r="AQ877">
        <v>0</v>
      </c>
      <c r="AR877" t="s">
        <v>1758</v>
      </c>
    </row>
    <row r="878" spans="1:44" x14ac:dyDescent="0.25">
      <c r="A878" t="s">
        <v>3141</v>
      </c>
      <c r="D878" t="s">
        <v>917</v>
      </c>
      <c r="E878" t="s">
        <v>3564</v>
      </c>
      <c r="F878" t="s">
        <v>422</v>
      </c>
      <c r="G878" t="str">
        <f>CONCATENATE(Master_Packing_Database[[#This Row],[Exp '#]],Master_Packing_Database[[#This Row],[Batch '#]])</f>
        <v>2132nd2nd</v>
      </c>
      <c r="H878" t="s">
        <v>3594</v>
      </c>
      <c r="I878" t="s">
        <v>3595</v>
      </c>
      <c r="J878" t="s">
        <v>366</v>
      </c>
      <c r="K878" t="s">
        <v>1042</v>
      </c>
      <c r="L878" t="s">
        <v>975</v>
      </c>
      <c r="M878" t="s">
        <v>116</v>
      </c>
      <c r="N878" t="s">
        <v>3596</v>
      </c>
      <c r="O878" t="s">
        <v>765</v>
      </c>
      <c r="V878" t="s">
        <v>3316</v>
      </c>
      <c r="X878" t="s">
        <v>3597</v>
      </c>
      <c r="Y878" t="s">
        <v>3598</v>
      </c>
      <c r="Z878" t="s">
        <v>1303</v>
      </c>
      <c r="AB878" t="s">
        <v>3599</v>
      </c>
      <c r="AE878" t="s">
        <v>3597</v>
      </c>
      <c r="AG878" t="s">
        <v>1303</v>
      </c>
      <c r="AI878" t="s">
        <v>29</v>
      </c>
      <c r="AK878" t="s">
        <v>3575</v>
      </c>
      <c r="AL878" t="s">
        <v>3152</v>
      </c>
      <c r="AN878">
        <v>0</v>
      </c>
      <c r="AO878" t="s">
        <v>1834</v>
      </c>
      <c r="AP878" t="s">
        <v>1834</v>
      </c>
      <c r="AQ878">
        <v>0</v>
      </c>
      <c r="AR878" t="s">
        <v>1758</v>
      </c>
    </row>
    <row r="879" spans="1:44" x14ac:dyDescent="0.25">
      <c r="A879" t="s">
        <v>3141</v>
      </c>
      <c r="D879" t="s">
        <v>917</v>
      </c>
      <c r="E879" t="s">
        <v>3600</v>
      </c>
      <c r="F879" t="s">
        <v>1755</v>
      </c>
      <c r="G879" t="str">
        <f>CONCATENATE(Master_Packing_Database[[#This Row],[Exp '#]],Master_Packing_Database[[#This Row],[Batch '#]])</f>
        <v>2180th-</v>
      </c>
      <c r="H879" t="s">
        <v>3601</v>
      </c>
      <c r="I879" t="s">
        <v>3602</v>
      </c>
      <c r="J879" t="s">
        <v>366</v>
      </c>
      <c r="K879" t="s">
        <v>3399</v>
      </c>
      <c r="L879" t="s">
        <v>2564</v>
      </c>
      <c r="M879" t="s">
        <v>116</v>
      </c>
      <c r="N879" t="s">
        <v>522</v>
      </c>
      <c r="O879" t="s">
        <v>871</v>
      </c>
      <c r="V879" t="s">
        <v>3540</v>
      </c>
      <c r="X879" t="s">
        <v>3597</v>
      </c>
      <c r="Y879" t="s">
        <v>359</v>
      </c>
      <c r="Z879" t="s">
        <v>1303</v>
      </c>
      <c r="AB879" t="s">
        <v>3599</v>
      </c>
      <c r="AE879" t="s">
        <v>3597</v>
      </c>
      <c r="AG879" t="s">
        <v>1303</v>
      </c>
      <c r="AI879" t="s">
        <v>29</v>
      </c>
      <c r="AK879" t="s">
        <v>3575</v>
      </c>
      <c r="AL879" t="s">
        <v>3152</v>
      </c>
      <c r="AN879">
        <v>0</v>
      </c>
      <c r="AO879" t="s">
        <v>1834</v>
      </c>
      <c r="AP879" t="s">
        <v>1834</v>
      </c>
      <c r="AQ879">
        <v>0</v>
      </c>
      <c r="AR879" t="s">
        <v>1758</v>
      </c>
    </row>
    <row r="880" spans="1:44" x14ac:dyDescent="0.25">
      <c r="A880" t="s">
        <v>3141</v>
      </c>
      <c r="D880" t="s">
        <v>3603</v>
      </c>
      <c r="E880" t="s">
        <v>3604</v>
      </c>
      <c r="F880" t="s">
        <v>761</v>
      </c>
      <c r="G880" t="str">
        <f>CONCATENATE(Master_Packing_Database[[#This Row],[Exp '#]],Master_Packing_Database[[#This Row],[Batch '#]])</f>
        <v>2111st1st</v>
      </c>
      <c r="H880" t="s">
        <v>3605</v>
      </c>
      <c r="I880" t="s">
        <v>3194</v>
      </c>
      <c r="J880" t="s">
        <v>117</v>
      </c>
      <c r="K880" t="s">
        <v>3606</v>
      </c>
      <c r="L880" t="s">
        <v>116</v>
      </c>
      <c r="M880" t="s">
        <v>116</v>
      </c>
      <c r="N880" t="s">
        <v>3607</v>
      </c>
      <c r="O880" t="s">
        <v>3608</v>
      </c>
      <c r="V880" t="s">
        <v>3609</v>
      </c>
      <c r="X880" t="s">
        <v>3610</v>
      </c>
      <c r="Y880" t="s">
        <v>1419</v>
      </c>
      <c r="Z880" t="s">
        <v>1303</v>
      </c>
      <c r="AB880" t="s">
        <v>3611</v>
      </c>
      <c r="AE880" t="s">
        <v>3610</v>
      </c>
      <c r="AG880" t="s">
        <v>1303</v>
      </c>
      <c r="AI880" t="s">
        <v>29</v>
      </c>
      <c r="AK880" t="s">
        <v>3612</v>
      </c>
      <c r="AL880" t="s">
        <v>3152</v>
      </c>
      <c r="AN880">
        <v>0</v>
      </c>
      <c r="AO880" t="s">
        <v>1834</v>
      </c>
      <c r="AP880" t="s">
        <v>1834</v>
      </c>
      <c r="AQ880">
        <v>0</v>
      </c>
      <c r="AR880" t="s">
        <v>1758</v>
      </c>
    </row>
    <row r="881" spans="1:44" x14ac:dyDescent="0.25">
      <c r="A881" t="s">
        <v>3141</v>
      </c>
      <c r="D881" t="s">
        <v>137</v>
      </c>
      <c r="E881" t="s">
        <v>3613</v>
      </c>
      <c r="F881" t="s">
        <v>1755</v>
      </c>
      <c r="G881" t="str">
        <f>CONCATENATE(Master_Packing_Database[[#This Row],[Exp '#]],Master_Packing_Database[[#This Row],[Batch '#]])</f>
        <v>2142nd-</v>
      </c>
      <c r="H881" t="s">
        <v>3614</v>
      </c>
      <c r="I881" t="s">
        <v>981</v>
      </c>
      <c r="J881" t="s">
        <v>117</v>
      </c>
      <c r="K881" t="s">
        <v>3615</v>
      </c>
      <c r="L881" t="s">
        <v>599</v>
      </c>
      <c r="M881" t="s">
        <v>599</v>
      </c>
      <c r="N881" t="s">
        <v>3616</v>
      </c>
      <c r="O881" t="s">
        <v>3617</v>
      </c>
      <c r="V881" t="s">
        <v>3610</v>
      </c>
      <c r="X881" t="s">
        <v>3618</v>
      </c>
      <c r="Y881" t="s">
        <v>1030</v>
      </c>
      <c r="Z881" t="s">
        <v>3619</v>
      </c>
      <c r="AB881" t="s">
        <v>3620</v>
      </c>
      <c r="AE881" t="s">
        <v>3618</v>
      </c>
      <c r="AG881" t="s">
        <v>1303</v>
      </c>
      <c r="AI881" t="s">
        <v>29</v>
      </c>
      <c r="AK881" t="s">
        <v>3621</v>
      </c>
      <c r="AL881" t="s">
        <v>3152</v>
      </c>
      <c r="AN881">
        <v>0</v>
      </c>
      <c r="AO881" t="s">
        <v>1834</v>
      </c>
      <c r="AP881" t="s">
        <v>1834</v>
      </c>
      <c r="AQ881">
        <v>0</v>
      </c>
      <c r="AR881" t="s">
        <v>1758</v>
      </c>
    </row>
    <row r="882" spans="1:44" x14ac:dyDescent="0.25">
      <c r="A882" t="s">
        <v>3141</v>
      </c>
      <c r="D882" t="s">
        <v>3603</v>
      </c>
      <c r="E882" t="s">
        <v>3604</v>
      </c>
      <c r="F882" t="s">
        <v>422</v>
      </c>
      <c r="G882" t="str">
        <f>CONCATENATE(Master_Packing_Database[[#This Row],[Exp '#]],Master_Packing_Database[[#This Row],[Batch '#]])</f>
        <v>2111st2nd</v>
      </c>
      <c r="H882" t="s">
        <v>3622</v>
      </c>
      <c r="I882" t="s">
        <v>3194</v>
      </c>
      <c r="J882" t="s">
        <v>117</v>
      </c>
      <c r="K882" t="s">
        <v>3606</v>
      </c>
      <c r="L882" t="s">
        <v>116</v>
      </c>
      <c r="M882" t="s">
        <v>116</v>
      </c>
      <c r="N882" t="s">
        <v>3623</v>
      </c>
      <c r="O882" t="s">
        <v>3624</v>
      </c>
      <c r="V882" t="s">
        <v>3609</v>
      </c>
      <c r="X882" t="s">
        <v>3625</v>
      </c>
      <c r="Y882" t="s">
        <v>3626</v>
      </c>
      <c r="Z882" t="s">
        <v>3627</v>
      </c>
      <c r="AB882" t="s">
        <v>3628</v>
      </c>
      <c r="AE882" t="s">
        <v>3625</v>
      </c>
      <c r="AG882" t="s">
        <v>1303</v>
      </c>
      <c r="AI882" t="s">
        <v>29</v>
      </c>
      <c r="AK882" t="s">
        <v>3629</v>
      </c>
      <c r="AL882" t="s">
        <v>3152</v>
      </c>
      <c r="AN882">
        <v>0</v>
      </c>
      <c r="AO882" t="s">
        <v>1834</v>
      </c>
      <c r="AP882" t="s">
        <v>1834</v>
      </c>
      <c r="AQ882">
        <v>0</v>
      </c>
      <c r="AR882" t="s">
        <v>1758</v>
      </c>
    </row>
    <row r="883" spans="1:44" x14ac:dyDescent="0.25">
      <c r="A883" t="s">
        <v>3141</v>
      </c>
      <c r="D883" t="s">
        <v>1029</v>
      </c>
      <c r="E883" t="s">
        <v>3630</v>
      </c>
      <c r="F883" t="s">
        <v>1755</v>
      </c>
      <c r="G883" t="str">
        <f>CONCATENATE(Master_Packing_Database[[#This Row],[Exp '#]],Master_Packing_Database[[#This Row],[Batch '#]])</f>
        <v>2134th-</v>
      </c>
      <c r="H883" t="s">
        <v>3631</v>
      </c>
      <c r="I883" t="s">
        <v>3632</v>
      </c>
      <c r="J883" t="s">
        <v>117</v>
      </c>
      <c r="K883" t="s">
        <v>32</v>
      </c>
      <c r="L883" t="s">
        <v>116</v>
      </c>
      <c r="M883" t="s">
        <v>116</v>
      </c>
      <c r="N883" t="s">
        <v>1351</v>
      </c>
      <c r="O883" t="s">
        <v>3633</v>
      </c>
      <c r="V883" t="s">
        <v>3609</v>
      </c>
      <c r="X883" t="s">
        <v>3634</v>
      </c>
      <c r="Y883" t="s">
        <v>1456</v>
      </c>
      <c r="Z883" t="s">
        <v>3635</v>
      </c>
      <c r="AB883" t="s">
        <v>3636</v>
      </c>
      <c r="AE883" t="s">
        <v>3634</v>
      </c>
      <c r="AG883" t="s">
        <v>1303</v>
      </c>
      <c r="AI883" t="s">
        <v>29</v>
      </c>
      <c r="AK883" t="s">
        <v>3637</v>
      </c>
      <c r="AL883" t="s">
        <v>3152</v>
      </c>
      <c r="AN883">
        <v>0</v>
      </c>
      <c r="AO883" t="s">
        <v>1834</v>
      </c>
      <c r="AP883" t="s">
        <v>1834</v>
      </c>
      <c r="AQ883">
        <v>0</v>
      </c>
      <c r="AR883" t="s">
        <v>1758</v>
      </c>
    </row>
    <row r="884" spans="1:44" x14ac:dyDescent="0.25">
      <c r="A884" t="s">
        <v>3141</v>
      </c>
      <c r="D884" t="s">
        <v>3638</v>
      </c>
      <c r="E884" t="s">
        <v>3639</v>
      </c>
      <c r="F884" t="s">
        <v>761</v>
      </c>
      <c r="G884" t="str">
        <f>CONCATENATE(Master_Packing_Database[[#This Row],[Exp '#]],Master_Packing_Database[[#This Row],[Batch '#]])</f>
        <v>2120th1st</v>
      </c>
      <c r="H884" t="s">
        <v>3640</v>
      </c>
      <c r="I884" t="s">
        <v>3504</v>
      </c>
      <c r="J884" t="s">
        <v>117</v>
      </c>
      <c r="K884" t="s">
        <v>1059</v>
      </c>
      <c r="L884" t="s">
        <v>116</v>
      </c>
      <c r="M884" t="s">
        <v>116</v>
      </c>
      <c r="N884" t="s">
        <v>3641</v>
      </c>
      <c r="O884" t="s">
        <v>3642</v>
      </c>
      <c r="V884" t="s">
        <v>3643</v>
      </c>
      <c r="X884" t="s">
        <v>3644</v>
      </c>
      <c r="Y884" t="s">
        <v>2640</v>
      </c>
      <c r="Z884" t="s">
        <v>966</v>
      </c>
      <c r="AB884" t="s">
        <v>3645</v>
      </c>
      <c r="AE884" t="s">
        <v>3644</v>
      </c>
      <c r="AG884" t="s">
        <v>1303</v>
      </c>
      <c r="AI884" t="s">
        <v>29</v>
      </c>
      <c r="AK884" t="s">
        <v>3646</v>
      </c>
      <c r="AL884" t="s">
        <v>3152</v>
      </c>
      <c r="AN884">
        <v>0</v>
      </c>
      <c r="AO884" t="s">
        <v>1834</v>
      </c>
      <c r="AP884" t="s">
        <v>1834</v>
      </c>
      <c r="AQ884">
        <v>0</v>
      </c>
      <c r="AR884" t="s">
        <v>1758</v>
      </c>
    </row>
    <row r="885" spans="1:44" x14ac:dyDescent="0.25">
      <c r="A885" t="s">
        <v>3141</v>
      </c>
      <c r="D885" t="s">
        <v>664</v>
      </c>
      <c r="E885" t="s">
        <v>3647</v>
      </c>
      <c r="F885" t="s">
        <v>761</v>
      </c>
      <c r="G885" t="str">
        <f>CONCATENATE(Master_Packing_Database[[#This Row],[Exp '#]],Master_Packing_Database[[#This Row],[Batch '#]])</f>
        <v>2121st1st</v>
      </c>
      <c r="H885" t="s">
        <v>3648</v>
      </c>
      <c r="I885" t="s">
        <v>3398</v>
      </c>
      <c r="J885" t="s">
        <v>117</v>
      </c>
      <c r="K885" t="s">
        <v>3227</v>
      </c>
      <c r="L885" t="s">
        <v>599</v>
      </c>
      <c r="M885" t="s">
        <v>599</v>
      </c>
      <c r="N885" t="s">
        <v>3649</v>
      </c>
      <c r="O885" t="s">
        <v>3650</v>
      </c>
      <c r="V885" t="s">
        <v>3651</v>
      </c>
      <c r="X885" t="s">
        <v>3652</v>
      </c>
      <c r="Y885" t="s">
        <v>3392</v>
      </c>
      <c r="Z885" t="s">
        <v>3653</v>
      </c>
      <c r="AB885" t="s">
        <v>3654</v>
      </c>
      <c r="AE885" t="s">
        <v>3655</v>
      </c>
      <c r="AG885" t="s">
        <v>116</v>
      </c>
      <c r="AI885" t="s">
        <v>29</v>
      </c>
      <c r="AK885" t="s">
        <v>3656</v>
      </c>
      <c r="AL885" t="s">
        <v>3152</v>
      </c>
      <c r="AN885">
        <v>0</v>
      </c>
      <c r="AO885" t="s">
        <v>1834</v>
      </c>
      <c r="AP885" t="s">
        <v>1834</v>
      </c>
      <c r="AQ885">
        <v>0</v>
      </c>
      <c r="AR885" t="s">
        <v>1758</v>
      </c>
    </row>
    <row r="886" spans="1:44" x14ac:dyDescent="0.25">
      <c r="A886" t="s">
        <v>3141</v>
      </c>
      <c r="D886" t="s">
        <v>664</v>
      </c>
      <c r="E886" t="s">
        <v>3647</v>
      </c>
      <c r="F886" t="s">
        <v>422</v>
      </c>
      <c r="G886" t="str">
        <f>CONCATENATE(Master_Packing_Database[[#This Row],[Exp '#]],Master_Packing_Database[[#This Row],[Batch '#]])</f>
        <v>2121st2nd</v>
      </c>
      <c r="H886" t="s">
        <v>3657</v>
      </c>
      <c r="I886" t="s">
        <v>3398</v>
      </c>
      <c r="J886" t="s">
        <v>117</v>
      </c>
      <c r="K886" t="s">
        <v>3227</v>
      </c>
      <c r="L886" t="s">
        <v>599</v>
      </c>
      <c r="M886" t="s">
        <v>599</v>
      </c>
      <c r="N886" t="s">
        <v>3658</v>
      </c>
      <c r="O886" t="s">
        <v>3659</v>
      </c>
      <c r="V886" t="s">
        <v>3651</v>
      </c>
      <c r="X886" t="s">
        <v>3652</v>
      </c>
      <c r="Y886" t="s">
        <v>3392</v>
      </c>
      <c r="Z886" t="s">
        <v>3653</v>
      </c>
      <c r="AB886" t="s">
        <v>3654</v>
      </c>
      <c r="AE886" t="s">
        <v>3655</v>
      </c>
      <c r="AG886" t="s">
        <v>116</v>
      </c>
      <c r="AI886" t="s">
        <v>29</v>
      </c>
      <c r="AK886" t="s">
        <v>3656</v>
      </c>
      <c r="AL886" t="s">
        <v>3152</v>
      </c>
      <c r="AN886">
        <v>0</v>
      </c>
      <c r="AO886" t="s">
        <v>1834</v>
      </c>
      <c r="AP886" t="s">
        <v>1834</v>
      </c>
      <c r="AQ886">
        <v>0</v>
      </c>
      <c r="AR886" t="s">
        <v>1758</v>
      </c>
    </row>
    <row r="887" spans="1:44" x14ac:dyDescent="0.25">
      <c r="A887" t="s">
        <v>3141</v>
      </c>
      <c r="D887" t="s">
        <v>3603</v>
      </c>
      <c r="E887" t="s">
        <v>3604</v>
      </c>
      <c r="F887" t="s">
        <v>142</v>
      </c>
      <c r="G887" t="str">
        <f>CONCATENATE(Master_Packing_Database[[#This Row],[Exp '#]],Master_Packing_Database[[#This Row],[Batch '#]])</f>
        <v>2111st3rd</v>
      </c>
      <c r="H887" t="s">
        <v>3660</v>
      </c>
      <c r="I887" t="s">
        <v>3194</v>
      </c>
      <c r="J887" t="s">
        <v>117</v>
      </c>
      <c r="K887" t="s">
        <v>3661</v>
      </c>
      <c r="L887" t="s">
        <v>116</v>
      </c>
      <c r="M887" t="s">
        <v>116</v>
      </c>
      <c r="N887" t="s">
        <v>3662</v>
      </c>
      <c r="O887" t="s">
        <v>3663</v>
      </c>
      <c r="V887" t="s">
        <v>3643</v>
      </c>
      <c r="X887" t="s">
        <v>3655</v>
      </c>
      <c r="Y887" t="s">
        <v>3412</v>
      </c>
      <c r="Z887" t="s">
        <v>3653</v>
      </c>
      <c r="AB887" t="s">
        <v>3644</v>
      </c>
      <c r="AE887" t="s">
        <v>3655</v>
      </c>
      <c r="AG887" t="s">
        <v>1303</v>
      </c>
      <c r="AI887" t="s">
        <v>29</v>
      </c>
      <c r="AK887" t="s">
        <v>3656</v>
      </c>
      <c r="AL887" t="s">
        <v>3152</v>
      </c>
      <c r="AN887">
        <v>0</v>
      </c>
      <c r="AO887" t="s">
        <v>1834</v>
      </c>
      <c r="AP887" t="s">
        <v>1834</v>
      </c>
      <c r="AQ887">
        <v>0</v>
      </c>
      <c r="AR887" t="s">
        <v>1758</v>
      </c>
    </row>
    <row r="888" spans="1:44" x14ac:dyDescent="0.25">
      <c r="A888" t="s">
        <v>3141</v>
      </c>
      <c r="D888" t="s">
        <v>3558</v>
      </c>
      <c r="E888" t="s">
        <v>3664</v>
      </c>
      <c r="F888" t="s">
        <v>1755</v>
      </c>
      <c r="G888" t="str">
        <f>CONCATENATE(Master_Packing_Database[[#This Row],[Exp '#]],Master_Packing_Database[[#This Row],[Batch '#]])</f>
        <v>2183rd-</v>
      </c>
      <c r="H888" t="s">
        <v>3665</v>
      </c>
      <c r="I888" t="s">
        <v>3666</v>
      </c>
      <c r="J888" t="s">
        <v>117</v>
      </c>
      <c r="K888" t="s">
        <v>3335</v>
      </c>
      <c r="L888" t="s">
        <v>599</v>
      </c>
      <c r="M888" t="s">
        <v>116</v>
      </c>
      <c r="N888" t="s">
        <v>3667</v>
      </c>
      <c r="O888" t="s">
        <v>3668</v>
      </c>
      <c r="V888" t="s">
        <v>3609</v>
      </c>
      <c r="X888" t="s">
        <v>3651</v>
      </c>
      <c r="Y888" t="s">
        <v>1085</v>
      </c>
      <c r="Z888" t="s">
        <v>3669</v>
      </c>
      <c r="AB888" t="s">
        <v>3654</v>
      </c>
      <c r="AE888" t="s">
        <v>3651</v>
      </c>
      <c r="AG888" t="s">
        <v>1303</v>
      </c>
      <c r="AI888" t="s">
        <v>29</v>
      </c>
      <c r="AK888" t="s">
        <v>3656</v>
      </c>
      <c r="AL888" t="s">
        <v>3152</v>
      </c>
      <c r="AN888">
        <v>0</v>
      </c>
      <c r="AO888" t="s">
        <v>1834</v>
      </c>
      <c r="AP888" t="s">
        <v>1834</v>
      </c>
      <c r="AQ888">
        <v>0</v>
      </c>
      <c r="AR888" t="s">
        <v>1758</v>
      </c>
    </row>
    <row r="889" spans="1:44" x14ac:dyDescent="0.25">
      <c r="A889" t="s">
        <v>3141</v>
      </c>
      <c r="D889" t="s">
        <v>3558</v>
      </c>
      <c r="E889" t="s">
        <v>3670</v>
      </c>
      <c r="F889" t="s">
        <v>1755</v>
      </c>
      <c r="G889" t="str">
        <f>CONCATENATE(Master_Packing_Database[[#This Row],[Exp '#]],Master_Packing_Database[[#This Row],[Batch '#]])</f>
        <v>2150th-</v>
      </c>
      <c r="H889" t="s">
        <v>3671</v>
      </c>
      <c r="I889" t="s">
        <v>3672</v>
      </c>
      <c r="J889" t="s">
        <v>117</v>
      </c>
      <c r="K889" t="s">
        <v>3673</v>
      </c>
      <c r="L889" t="s">
        <v>599</v>
      </c>
      <c r="M889" t="s">
        <v>116</v>
      </c>
      <c r="N889" t="s">
        <v>3674</v>
      </c>
      <c r="O889" t="s">
        <v>3675</v>
      </c>
      <c r="V889" t="s">
        <v>3643</v>
      </c>
      <c r="X889" t="s">
        <v>3676</v>
      </c>
      <c r="Y889" t="s">
        <v>2569</v>
      </c>
      <c r="Z889" t="s">
        <v>3677</v>
      </c>
      <c r="AB889" t="s">
        <v>3678</v>
      </c>
      <c r="AE889" t="s">
        <v>3676</v>
      </c>
      <c r="AG889" t="s">
        <v>1303</v>
      </c>
      <c r="AI889" t="s">
        <v>29</v>
      </c>
      <c r="AK889" t="s">
        <v>3679</v>
      </c>
      <c r="AL889" t="s">
        <v>3152</v>
      </c>
      <c r="AN889">
        <v>0</v>
      </c>
      <c r="AO889" t="s">
        <v>1834</v>
      </c>
      <c r="AP889" t="s">
        <v>1834</v>
      </c>
      <c r="AQ889">
        <v>0</v>
      </c>
      <c r="AR889" t="s">
        <v>1758</v>
      </c>
    </row>
    <row r="890" spans="1:44" x14ac:dyDescent="0.25">
      <c r="A890" t="s">
        <v>3141</v>
      </c>
      <c r="D890" t="s">
        <v>3680</v>
      </c>
      <c r="E890" t="s">
        <v>3681</v>
      </c>
      <c r="F890" t="s">
        <v>1755</v>
      </c>
      <c r="G890" t="str">
        <f>CONCATENATE(Master_Packing_Database[[#This Row],[Exp '#]],Master_Packing_Database[[#This Row],[Batch '#]])</f>
        <v>2157th-</v>
      </c>
      <c r="H890" t="s">
        <v>3682</v>
      </c>
      <c r="I890" t="s">
        <v>3683</v>
      </c>
      <c r="J890" t="s">
        <v>117</v>
      </c>
      <c r="K890" t="s">
        <v>3684</v>
      </c>
      <c r="L890" t="s">
        <v>116</v>
      </c>
      <c r="M890" t="s">
        <v>116</v>
      </c>
      <c r="N890" t="s">
        <v>3685</v>
      </c>
      <c r="O890" t="s">
        <v>3686</v>
      </c>
      <c r="V890" t="s">
        <v>3687</v>
      </c>
      <c r="X890" t="s">
        <v>3688</v>
      </c>
      <c r="Y890" t="s">
        <v>1054</v>
      </c>
      <c r="Z890" t="s">
        <v>3689</v>
      </c>
      <c r="AB890" t="s">
        <v>3651</v>
      </c>
      <c r="AE890" t="s">
        <v>3688</v>
      </c>
      <c r="AG890" t="s">
        <v>1303</v>
      </c>
      <c r="AI890" t="s">
        <v>29</v>
      </c>
      <c r="AK890" t="s">
        <v>3690</v>
      </c>
      <c r="AL890" t="s">
        <v>3152</v>
      </c>
      <c r="AN890">
        <v>0</v>
      </c>
      <c r="AO890" t="s">
        <v>1834</v>
      </c>
      <c r="AP890" t="s">
        <v>1834</v>
      </c>
      <c r="AQ890">
        <v>0</v>
      </c>
      <c r="AR890" t="s">
        <v>1758</v>
      </c>
    </row>
    <row r="891" spans="1:44" x14ac:dyDescent="0.25">
      <c r="A891" t="s">
        <v>3141</v>
      </c>
      <c r="D891" t="s">
        <v>1032</v>
      </c>
      <c r="E891" t="s">
        <v>3691</v>
      </c>
      <c r="F891" t="s">
        <v>1755</v>
      </c>
      <c r="G891" t="str">
        <f>CONCATENATE(Master_Packing_Database[[#This Row],[Exp '#]],Master_Packing_Database[[#This Row],[Batch '#]])</f>
        <v>2164th-</v>
      </c>
      <c r="H891" t="s">
        <v>3692</v>
      </c>
      <c r="I891" t="s">
        <v>497</v>
      </c>
      <c r="J891" t="s">
        <v>366</v>
      </c>
      <c r="K891" t="s">
        <v>3693</v>
      </c>
      <c r="L891" t="s">
        <v>599</v>
      </c>
      <c r="M891" t="s">
        <v>116</v>
      </c>
      <c r="N891" t="s">
        <v>995</v>
      </c>
      <c r="O891" t="s">
        <v>3694</v>
      </c>
      <c r="V891" t="s">
        <v>3643</v>
      </c>
      <c r="X891" t="s">
        <v>3688</v>
      </c>
      <c r="Y891" t="s">
        <v>3695</v>
      </c>
      <c r="Z891" t="s">
        <v>3689</v>
      </c>
      <c r="AB891" t="s">
        <v>3696</v>
      </c>
      <c r="AE891" t="s">
        <v>3688</v>
      </c>
      <c r="AG891" t="s">
        <v>1303</v>
      </c>
      <c r="AI891" t="s">
        <v>29</v>
      </c>
      <c r="AK891" t="s">
        <v>3697</v>
      </c>
      <c r="AL891" t="s">
        <v>3152</v>
      </c>
      <c r="AN891">
        <v>0</v>
      </c>
      <c r="AO891" t="s">
        <v>1834</v>
      </c>
      <c r="AP891" t="s">
        <v>1834</v>
      </c>
      <c r="AQ891">
        <v>0</v>
      </c>
      <c r="AR891" t="s">
        <v>1758</v>
      </c>
    </row>
    <row r="892" spans="1:44" x14ac:dyDescent="0.25">
      <c r="A892" t="s">
        <v>3141</v>
      </c>
      <c r="D892" t="s">
        <v>258</v>
      </c>
      <c r="E892" t="s">
        <v>3698</v>
      </c>
      <c r="F892" t="s">
        <v>761</v>
      </c>
      <c r="G892" t="str">
        <f>CONCATENATE(Master_Packing_Database[[#This Row],[Exp '#]],Master_Packing_Database[[#This Row],[Batch '#]])</f>
        <v>2173rd1st</v>
      </c>
      <c r="H892" t="s">
        <v>3699</v>
      </c>
      <c r="I892" t="s">
        <v>3700</v>
      </c>
      <c r="J892" t="s">
        <v>366</v>
      </c>
      <c r="K892" t="s">
        <v>3701</v>
      </c>
      <c r="L892" t="s">
        <v>3702</v>
      </c>
      <c r="M892" t="s">
        <v>835</v>
      </c>
      <c r="N892" t="s">
        <v>3703</v>
      </c>
      <c r="O892" t="s">
        <v>951</v>
      </c>
      <c r="V892" t="s">
        <v>3687</v>
      </c>
      <c r="X892" t="s">
        <v>3704</v>
      </c>
      <c r="Y892" t="s">
        <v>606</v>
      </c>
      <c r="Z892" t="s">
        <v>1303</v>
      </c>
      <c r="AB892" t="s">
        <v>3651</v>
      </c>
      <c r="AE892" t="s">
        <v>3704</v>
      </c>
      <c r="AG892" t="s">
        <v>1303</v>
      </c>
      <c r="AI892" t="s">
        <v>29</v>
      </c>
      <c r="AK892" t="s">
        <v>3705</v>
      </c>
      <c r="AL892" t="s">
        <v>3152</v>
      </c>
      <c r="AN892">
        <v>0</v>
      </c>
      <c r="AO892" t="s">
        <v>1834</v>
      </c>
      <c r="AP892" t="s">
        <v>1834</v>
      </c>
      <c r="AQ892">
        <v>0</v>
      </c>
      <c r="AR892" t="s">
        <v>1758</v>
      </c>
    </row>
    <row r="893" spans="1:44" x14ac:dyDescent="0.25">
      <c r="A893" t="s">
        <v>3141</v>
      </c>
      <c r="D893" t="s">
        <v>1004</v>
      </c>
      <c r="E893" t="s">
        <v>3706</v>
      </c>
      <c r="F893" t="s">
        <v>1755</v>
      </c>
      <c r="G893" t="str">
        <f>CONCATENATE(Master_Packing_Database[[#This Row],[Exp '#]],Master_Packing_Database[[#This Row],[Batch '#]])</f>
        <v>2212nd-</v>
      </c>
      <c r="H893" t="s">
        <v>3707</v>
      </c>
      <c r="I893" t="s">
        <v>3708</v>
      </c>
      <c r="J893" t="s">
        <v>366</v>
      </c>
      <c r="K893" t="s">
        <v>1147</v>
      </c>
      <c r="L893" t="s">
        <v>116</v>
      </c>
      <c r="M893" t="s">
        <v>116</v>
      </c>
      <c r="N893" t="s">
        <v>1016</v>
      </c>
      <c r="O893" t="s">
        <v>2564</v>
      </c>
      <c r="V893" t="s">
        <v>3709</v>
      </c>
      <c r="X893" t="s">
        <v>3709</v>
      </c>
      <c r="Y893" t="s">
        <v>1303</v>
      </c>
      <c r="Z893" t="s">
        <v>3710</v>
      </c>
      <c r="AB893" t="s">
        <v>3711</v>
      </c>
      <c r="AE893" t="s">
        <v>3709</v>
      </c>
      <c r="AG893" t="s">
        <v>1303</v>
      </c>
      <c r="AI893" t="s">
        <v>29</v>
      </c>
      <c r="AK893" t="s">
        <v>3705</v>
      </c>
      <c r="AL893" t="s">
        <v>3152</v>
      </c>
      <c r="AN893">
        <v>0</v>
      </c>
      <c r="AO893" t="s">
        <v>1834</v>
      </c>
      <c r="AP893" t="s">
        <v>1834</v>
      </c>
      <c r="AQ893">
        <v>0</v>
      </c>
      <c r="AR893" t="s">
        <v>1758</v>
      </c>
    </row>
    <row r="894" spans="1:44" x14ac:dyDescent="0.25">
      <c r="A894" t="s">
        <v>3141</v>
      </c>
      <c r="D894" t="s">
        <v>917</v>
      </c>
      <c r="E894" t="s">
        <v>3712</v>
      </c>
      <c r="F894" t="s">
        <v>1755</v>
      </c>
      <c r="G894" t="str">
        <f>CONCATENATE(Master_Packing_Database[[#This Row],[Exp '#]],Master_Packing_Database[[#This Row],[Batch '#]])</f>
        <v>2194th-</v>
      </c>
      <c r="H894" t="s">
        <v>3713</v>
      </c>
      <c r="I894" t="s">
        <v>3714</v>
      </c>
      <c r="J894" t="s">
        <v>366</v>
      </c>
      <c r="K894" t="s">
        <v>1042</v>
      </c>
      <c r="L894" t="s">
        <v>3715</v>
      </c>
      <c r="M894" t="s">
        <v>116</v>
      </c>
      <c r="N894" t="s">
        <v>688</v>
      </c>
      <c r="O894" t="s">
        <v>381</v>
      </c>
      <c r="V894" t="s">
        <v>3651</v>
      </c>
      <c r="X894" t="s">
        <v>3716</v>
      </c>
      <c r="Y894" t="s">
        <v>453</v>
      </c>
      <c r="Z894" t="s">
        <v>1303</v>
      </c>
      <c r="AB894" t="s">
        <v>3654</v>
      </c>
      <c r="AE894" t="s">
        <v>3716</v>
      </c>
      <c r="AG894" t="s">
        <v>1303</v>
      </c>
      <c r="AI894" t="s">
        <v>29</v>
      </c>
      <c r="AK894" t="s">
        <v>3705</v>
      </c>
      <c r="AL894" t="s">
        <v>3152</v>
      </c>
      <c r="AN894">
        <v>0</v>
      </c>
      <c r="AO894" t="s">
        <v>1834</v>
      </c>
      <c r="AP894" t="s">
        <v>1834</v>
      </c>
      <c r="AQ894">
        <v>0</v>
      </c>
      <c r="AR894" t="s">
        <v>1758</v>
      </c>
    </row>
    <row r="895" spans="1:44" x14ac:dyDescent="0.25">
      <c r="A895" t="s">
        <v>3141</v>
      </c>
      <c r="D895" t="s">
        <v>664</v>
      </c>
      <c r="E895" t="s">
        <v>3647</v>
      </c>
      <c r="F895" t="s">
        <v>142</v>
      </c>
      <c r="G895" t="str">
        <f>CONCATENATE(Master_Packing_Database[[#This Row],[Exp '#]],Master_Packing_Database[[#This Row],[Batch '#]])</f>
        <v>2121st3rd</v>
      </c>
      <c r="H895" t="s">
        <v>3717</v>
      </c>
      <c r="I895" t="s">
        <v>3398</v>
      </c>
      <c r="J895" t="s">
        <v>117</v>
      </c>
      <c r="K895" t="s">
        <v>3399</v>
      </c>
      <c r="L895" t="s">
        <v>116</v>
      </c>
      <c r="M895" t="s">
        <v>116</v>
      </c>
      <c r="N895" t="s">
        <v>3718</v>
      </c>
      <c r="O895" t="s">
        <v>3719</v>
      </c>
      <c r="V895" t="s">
        <v>3720</v>
      </c>
      <c r="X895" t="s">
        <v>3721</v>
      </c>
      <c r="Y895" t="s">
        <v>1419</v>
      </c>
      <c r="Z895" t="s">
        <v>3722</v>
      </c>
      <c r="AB895" t="s">
        <v>3723</v>
      </c>
      <c r="AE895" t="s">
        <v>3721</v>
      </c>
      <c r="AG895" t="s">
        <v>1303</v>
      </c>
      <c r="AI895" t="s">
        <v>29</v>
      </c>
      <c r="AK895" t="s">
        <v>3724</v>
      </c>
      <c r="AL895" t="s">
        <v>3152</v>
      </c>
      <c r="AN895">
        <v>0</v>
      </c>
      <c r="AO895" t="s">
        <v>1834</v>
      </c>
      <c r="AP895" t="s">
        <v>1834</v>
      </c>
      <c r="AQ895">
        <v>0</v>
      </c>
      <c r="AR895" t="s">
        <v>1758</v>
      </c>
    </row>
    <row r="896" spans="1:44" x14ac:dyDescent="0.25">
      <c r="A896" t="s">
        <v>3141</v>
      </c>
      <c r="D896" t="s">
        <v>258</v>
      </c>
      <c r="E896" t="s">
        <v>3725</v>
      </c>
      <c r="F896" t="s">
        <v>1755</v>
      </c>
      <c r="G896" t="str">
        <f>CONCATENATE(Master_Packing_Database[[#This Row],[Exp '#]],Master_Packing_Database[[#This Row],[Batch '#]])</f>
        <v>2182nd-</v>
      </c>
      <c r="H896" t="s">
        <v>3726</v>
      </c>
      <c r="I896" t="s">
        <v>3167</v>
      </c>
      <c r="J896" t="s">
        <v>117</v>
      </c>
      <c r="K896" t="s">
        <v>3727</v>
      </c>
      <c r="L896" t="s">
        <v>116</v>
      </c>
      <c r="M896" t="s">
        <v>116</v>
      </c>
      <c r="N896" t="s">
        <v>3728</v>
      </c>
      <c r="O896" t="s">
        <v>3729</v>
      </c>
      <c r="V896" t="s">
        <v>3730</v>
      </c>
      <c r="X896" t="s">
        <v>3730</v>
      </c>
      <c r="Y896" t="s">
        <v>1303</v>
      </c>
      <c r="Z896" t="s">
        <v>3731</v>
      </c>
      <c r="AB896" t="s">
        <v>3732</v>
      </c>
      <c r="AE896" t="s">
        <v>3730</v>
      </c>
      <c r="AG896" t="s">
        <v>1303</v>
      </c>
      <c r="AI896" t="s">
        <v>29</v>
      </c>
      <c r="AK896" t="s">
        <v>3733</v>
      </c>
      <c r="AL896" t="s">
        <v>3152</v>
      </c>
      <c r="AN896">
        <v>0</v>
      </c>
      <c r="AO896" t="s">
        <v>1834</v>
      </c>
      <c r="AP896" t="s">
        <v>1834</v>
      </c>
      <c r="AQ896">
        <v>0</v>
      </c>
      <c r="AR896" t="s">
        <v>1758</v>
      </c>
    </row>
    <row r="897" spans="1:44" x14ac:dyDescent="0.25">
      <c r="A897" t="s">
        <v>3141</v>
      </c>
      <c r="D897" t="s">
        <v>3680</v>
      </c>
      <c r="E897" t="s">
        <v>3734</v>
      </c>
      <c r="F897" t="s">
        <v>1755</v>
      </c>
      <c r="G897" t="str">
        <f>CONCATENATE(Master_Packing_Database[[#This Row],[Exp '#]],Master_Packing_Database[[#This Row],[Batch '#]])</f>
        <v>2190th-</v>
      </c>
      <c r="H897" t="s">
        <v>3735</v>
      </c>
      <c r="I897" t="s">
        <v>120</v>
      </c>
      <c r="J897" t="s">
        <v>117</v>
      </c>
      <c r="K897" t="s">
        <v>3736</v>
      </c>
      <c r="L897" t="s">
        <v>116</v>
      </c>
      <c r="M897" t="s">
        <v>116</v>
      </c>
      <c r="N897" t="s">
        <v>3737</v>
      </c>
      <c r="O897" t="s">
        <v>3738</v>
      </c>
      <c r="V897" t="s">
        <v>3730</v>
      </c>
      <c r="X897" t="s">
        <v>3730</v>
      </c>
      <c r="Y897" t="s">
        <v>1303</v>
      </c>
      <c r="Z897" t="s">
        <v>3731</v>
      </c>
      <c r="AB897" t="s">
        <v>3732</v>
      </c>
      <c r="AE897" t="s">
        <v>3730</v>
      </c>
      <c r="AG897" t="s">
        <v>1303</v>
      </c>
      <c r="AI897" t="s">
        <v>29</v>
      </c>
      <c r="AK897" t="s">
        <v>3733</v>
      </c>
      <c r="AL897" t="s">
        <v>3152</v>
      </c>
      <c r="AN897">
        <v>0</v>
      </c>
      <c r="AO897" t="s">
        <v>1834</v>
      </c>
      <c r="AP897" t="s">
        <v>1834</v>
      </c>
      <c r="AQ897">
        <v>0</v>
      </c>
      <c r="AR897" t="s">
        <v>1758</v>
      </c>
    </row>
    <row r="898" spans="1:44" x14ac:dyDescent="0.25">
      <c r="A898" t="s">
        <v>3141</v>
      </c>
      <c r="D898" t="s">
        <v>1029</v>
      </c>
      <c r="E898" t="s">
        <v>3739</v>
      </c>
      <c r="F898" t="s">
        <v>761</v>
      </c>
      <c r="G898" t="str">
        <f>CONCATENATE(Master_Packing_Database[[#This Row],[Exp '#]],Master_Packing_Database[[#This Row],[Batch '#]])</f>
        <v>2178th1st</v>
      </c>
      <c r="H898" t="s">
        <v>3740</v>
      </c>
      <c r="I898" t="s">
        <v>3398</v>
      </c>
      <c r="J898" t="s">
        <v>117</v>
      </c>
      <c r="K898" t="s">
        <v>3173</v>
      </c>
      <c r="L898" t="s">
        <v>599</v>
      </c>
      <c r="M898" t="s">
        <v>599</v>
      </c>
      <c r="N898" t="s">
        <v>3741</v>
      </c>
      <c r="O898" t="s">
        <v>3742</v>
      </c>
      <c r="V898" t="s">
        <v>3743</v>
      </c>
      <c r="X898" t="s">
        <v>3743</v>
      </c>
      <c r="Y898" t="s">
        <v>1303</v>
      </c>
      <c r="Z898" t="s">
        <v>3744</v>
      </c>
      <c r="AB898" t="s">
        <v>3745</v>
      </c>
      <c r="AE898" t="s">
        <v>3743</v>
      </c>
      <c r="AG898" t="s">
        <v>1303</v>
      </c>
      <c r="AI898" t="s">
        <v>29</v>
      </c>
      <c r="AK898" t="s">
        <v>3746</v>
      </c>
      <c r="AL898" t="s">
        <v>3152</v>
      </c>
      <c r="AN898">
        <v>0</v>
      </c>
      <c r="AO898" t="s">
        <v>1834</v>
      </c>
      <c r="AP898" t="s">
        <v>1834</v>
      </c>
      <c r="AQ898">
        <v>0</v>
      </c>
      <c r="AR898" t="s">
        <v>1758</v>
      </c>
    </row>
    <row r="899" spans="1:44" x14ac:dyDescent="0.25">
      <c r="A899" t="s">
        <v>3141</v>
      </c>
      <c r="D899" t="s">
        <v>3747</v>
      </c>
      <c r="E899" t="s">
        <v>3748</v>
      </c>
      <c r="F899" t="s">
        <v>1755</v>
      </c>
      <c r="G899" t="str">
        <f>CONCATENATE(Master_Packing_Database[[#This Row],[Exp '#]],Master_Packing_Database[[#This Row],[Batch '#]])</f>
        <v>Mamo 206-</v>
      </c>
      <c r="H899" t="s">
        <v>3749</v>
      </c>
      <c r="I899" t="s">
        <v>120</v>
      </c>
      <c r="J899" t="s">
        <v>117</v>
      </c>
      <c r="K899" t="s">
        <v>3285</v>
      </c>
      <c r="L899" t="s">
        <v>116</v>
      </c>
      <c r="M899" t="s">
        <v>116</v>
      </c>
      <c r="N899" t="s">
        <v>988</v>
      </c>
      <c r="O899" t="s">
        <v>3750</v>
      </c>
      <c r="V899" t="s">
        <v>3751</v>
      </c>
      <c r="X899" t="s">
        <v>3751</v>
      </c>
      <c r="Y899" t="s">
        <v>1303</v>
      </c>
      <c r="Z899" t="s">
        <v>3596</v>
      </c>
      <c r="AB899" t="s">
        <v>3752</v>
      </c>
      <c r="AE899" t="s">
        <v>3751</v>
      </c>
      <c r="AG899" t="s">
        <v>1303</v>
      </c>
      <c r="AI899" t="s">
        <v>29</v>
      </c>
      <c r="AK899" t="s">
        <v>3753</v>
      </c>
      <c r="AL899" t="s">
        <v>3152</v>
      </c>
      <c r="AN899">
        <v>0</v>
      </c>
      <c r="AO899" t="s">
        <v>1834</v>
      </c>
      <c r="AP899" t="s">
        <v>1834</v>
      </c>
      <c r="AQ899">
        <v>0</v>
      </c>
      <c r="AR899" t="s">
        <v>1758</v>
      </c>
    </row>
    <row r="900" spans="1:44" x14ac:dyDescent="0.25">
      <c r="A900" t="s">
        <v>3141</v>
      </c>
      <c r="D900" t="s">
        <v>3603</v>
      </c>
      <c r="E900" t="s">
        <v>3754</v>
      </c>
      <c r="F900" t="s">
        <v>1755</v>
      </c>
      <c r="G900" t="str">
        <f>CONCATENATE(Master_Packing_Database[[#This Row],[Exp '#]],Master_Packing_Database[[#This Row],[Batch '#]])</f>
        <v>2203rd-</v>
      </c>
      <c r="H900" t="s">
        <v>3755</v>
      </c>
      <c r="I900" t="s">
        <v>3756</v>
      </c>
      <c r="J900" t="s">
        <v>366</v>
      </c>
      <c r="K900" t="s">
        <v>3757</v>
      </c>
      <c r="L900" t="s">
        <v>827</v>
      </c>
      <c r="M900" t="s">
        <v>599</v>
      </c>
      <c r="N900" t="s">
        <v>3758</v>
      </c>
      <c r="O900" t="s">
        <v>3759</v>
      </c>
      <c r="V900" t="s">
        <v>3751</v>
      </c>
      <c r="X900" t="s">
        <v>3760</v>
      </c>
      <c r="Y900" t="s">
        <v>599</v>
      </c>
      <c r="Z900" t="s">
        <v>3761</v>
      </c>
      <c r="AB900" t="s">
        <v>3752</v>
      </c>
      <c r="AE900" t="s">
        <v>3760</v>
      </c>
      <c r="AG900" t="s">
        <v>1303</v>
      </c>
      <c r="AI900" t="s">
        <v>29</v>
      </c>
      <c r="AK900" t="s">
        <v>3753</v>
      </c>
      <c r="AL900" t="s">
        <v>3152</v>
      </c>
      <c r="AN900">
        <v>0</v>
      </c>
      <c r="AO900" t="s">
        <v>1834</v>
      </c>
      <c r="AP900" t="s">
        <v>1834</v>
      </c>
      <c r="AQ900">
        <v>0</v>
      </c>
      <c r="AR900" t="s">
        <v>1758</v>
      </c>
    </row>
    <row r="901" spans="1:44" x14ac:dyDescent="0.25">
      <c r="A901" t="s">
        <v>3141</v>
      </c>
      <c r="D901" t="s">
        <v>1004</v>
      </c>
      <c r="E901" t="s">
        <v>3762</v>
      </c>
      <c r="F901" t="s">
        <v>1755</v>
      </c>
      <c r="G901" t="str">
        <f>CONCATENATE(Master_Packing_Database[[#This Row],[Exp '#]],Master_Packing_Database[[#This Row],[Batch '#]])</f>
        <v>2208th-</v>
      </c>
      <c r="H901" t="s">
        <v>3763</v>
      </c>
      <c r="I901" t="s">
        <v>676</v>
      </c>
      <c r="J901" t="s">
        <v>117</v>
      </c>
      <c r="K901" t="s">
        <v>3158</v>
      </c>
      <c r="L901" t="s">
        <v>975</v>
      </c>
      <c r="M901" t="s">
        <v>599</v>
      </c>
      <c r="N901" t="s">
        <v>3764</v>
      </c>
      <c r="O901" t="s">
        <v>3765</v>
      </c>
      <c r="V901" t="s">
        <v>3751</v>
      </c>
      <c r="X901" t="s">
        <v>3760</v>
      </c>
      <c r="Y901" t="s">
        <v>599</v>
      </c>
      <c r="Z901" t="s">
        <v>3761</v>
      </c>
      <c r="AB901" t="s">
        <v>3752</v>
      </c>
      <c r="AE901" t="s">
        <v>3760</v>
      </c>
      <c r="AG901" t="s">
        <v>1303</v>
      </c>
      <c r="AI901" t="s">
        <v>29</v>
      </c>
      <c r="AK901" t="s">
        <v>3753</v>
      </c>
      <c r="AL901" t="s">
        <v>3152</v>
      </c>
      <c r="AN901">
        <v>0</v>
      </c>
      <c r="AO901" t="s">
        <v>1834</v>
      </c>
      <c r="AP901" t="s">
        <v>1834</v>
      </c>
      <c r="AQ901">
        <v>0</v>
      </c>
      <c r="AR901" t="s">
        <v>1758</v>
      </c>
    </row>
    <row r="902" spans="1:44" x14ac:dyDescent="0.25">
      <c r="A902" t="s">
        <v>3141</v>
      </c>
      <c r="D902" t="s">
        <v>44</v>
      </c>
      <c r="E902" t="s">
        <v>3766</v>
      </c>
      <c r="F902" t="s">
        <v>1755</v>
      </c>
      <c r="G902" t="str">
        <f>CONCATENATE(Master_Packing_Database[[#This Row],[Exp '#]],Master_Packing_Database[[#This Row],[Batch '#]])</f>
        <v>2288th-</v>
      </c>
      <c r="H902" t="s">
        <v>3767</v>
      </c>
      <c r="I902" t="s">
        <v>319</v>
      </c>
      <c r="J902" t="s">
        <v>366</v>
      </c>
      <c r="K902" t="s">
        <v>3768</v>
      </c>
      <c r="L902" t="s">
        <v>599</v>
      </c>
      <c r="M902" t="s">
        <v>116</v>
      </c>
      <c r="N902" t="s">
        <v>3769</v>
      </c>
      <c r="O902" t="s">
        <v>3770</v>
      </c>
      <c r="V902" t="s">
        <v>3771</v>
      </c>
      <c r="X902" t="s">
        <v>3772</v>
      </c>
      <c r="Y902" t="s">
        <v>599</v>
      </c>
      <c r="Z902" t="s">
        <v>403</v>
      </c>
      <c r="AB902" t="s">
        <v>2563</v>
      </c>
      <c r="AE902" t="s">
        <v>3772</v>
      </c>
      <c r="AG902" t="s">
        <v>1303</v>
      </c>
      <c r="AI902" t="s">
        <v>29</v>
      </c>
      <c r="AK902" t="s">
        <v>3773</v>
      </c>
      <c r="AL902" t="s">
        <v>3152</v>
      </c>
      <c r="AN902">
        <v>0</v>
      </c>
      <c r="AO902" t="s">
        <v>1834</v>
      </c>
      <c r="AP902" t="s">
        <v>1834</v>
      </c>
      <c r="AQ902">
        <v>0</v>
      </c>
      <c r="AR902" t="s">
        <v>1758</v>
      </c>
    </row>
    <row r="903" spans="1:44" x14ac:dyDescent="0.25">
      <c r="A903" t="s">
        <v>3141</v>
      </c>
      <c r="D903" t="s">
        <v>917</v>
      </c>
      <c r="E903" t="s">
        <v>3774</v>
      </c>
      <c r="F903" t="s">
        <v>1755</v>
      </c>
      <c r="G903" t="str">
        <f>CONCATENATE(Master_Packing_Database[[#This Row],[Exp '#]],Master_Packing_Database[[#This Row],[Batch '#]])</f>
        <v>2185th-</v>
      </c>
      <c r="H903" t="s">
        <v>3775</v>
      </c>
      <c r="I903" t="s">
        <v>3776</v>
      </c>
      <c r="J903" t="s">
        <v>117</v>
      </c>
      <c r="K903" t="s">
        <v>3777</v>
      </c>
      <c r="L903" t="s">
        <v>116</v>
      </c>
      <c r="M903" t="s">
        <v>116</v>
      </c>
      <c r="N903" t="s">
        <v>3778</v>
      </c>
      <c r="O903" t="s">
        <v>3779</v>
      </c>
      <c r="V903" t="s">
        <v>3780</v>
      </c>
      <c r="X903" t="s">
        <v>3781</v>
      </c>
      <c r="Y903" t="s">
        <v>3392</v>
      </c>
      <c r="Z903" t="s">
        <v>3782</v>
      </c>
      <c r="AB903" t="s">
        <v>3783</v>
      </c>
      <c r="AE903" t="s">
        <v>3781</v>
      </c>
      <c r="AG903" t="s">
        <v>1303</v>
      </c>
      <c r="AI903" t="s">
        <v>29</v>
      </c>
      <c r="AK903" t="s">
        <v>3773</v>
      </c>
      <c r="AL903" t="s">
        <v>3152</v>
      </c>
      <c r="AN903">
        <v>0</v>
      </c>
      <c r="AO903" t="s">
        <v>1834</v>
      </c>
      <c r="AP903" t="s">
        <v>1834</v>
      </c>
      <c r="AQ903">
        <v>0</v>
      </c>
      <c r="AR903" t="s">
        <v>1758</v>
      </c>
    </row>
    <row r="904" spans="1:44" x14ac:dyDescent="0.25">
      <c r="A904" t="s">
        <v>3141</v>
      </c>
      <c r="D904" t="s">
        <v>3680</v>
      </c>
      <c r="E904" t="s">
        <v>3734</v>
      </c>
      <c r="F904" t="s">
        <v>1755</v>
      </c>
      <c r="G904" t="str">
        <f>CONCATENATE(Master_Packing_Database[[#This Row],[Exp '#]],Master_Packing_Database[[#This Row],[Batch '#]])</f>
        <v>2190th-</v>
      </c>
      <c r="H904" t="s">
        <v>3735</v>
      </c>
      <c r="I904" t="s">
        <v>3784</v>
      </c>
      <c r="J904" t="s">
        <v>117</v>
      </c>
      <c r="K904" t="s">
        <v>3673</v>
      </c>
      <c r="L904" t="s">
        <v>599</v>
      </c>
      <c r="M904" t="s">
        <v>116</v>
      </c>
      <c r="N904" t="s">
        <v>3785</v>
      </c>
      <c r="O904" t="s">
        <v>3786</v>
      </c>
      <c r="V904" t="s">
        <v>3787</v>
      </c>
      <c r="X904" t="s">
        <v>3781</v>
      </c>
      <c r="Y904" t="s">
        <v>599</v>
      </c>
      <c r="Z904" t="s">
        <v>3782</v>
      </c>
      <c r="AB904" t="s">
        <v>3788</v>
      </c>
      <c r="AE904" t="s">
        <v>3781</v>
      </c>
      <c r="AG904" t="s">
        <v>1303</v>
      </c>
      <c r="AI904" t="s">
        <v>29</v>
      </c>
      <c r="AK904" t="s">
        <v>3773</v>
      </c>
      <c r="AL904" t="s">
        <v>3152</v>
      </c>
      <c r="AN904">
        <v>0</v>
      </c>
      <c r="AO904" t="s">
        <v>1834</v>
      </c>
      <c r="AP904" t="s">
        <v>1834</v>
      </c>
      <c r="AQ904">
        <v>0</v>
      </c>
      <c r="AR904" t="s">
        <v>1758</v>
      </c>
    </row>
    <row r="905" spans="1:44" x14ac:dyDescent="0.25">
      <c r="A905" t="s">
        <v>3141</v>
      </c>
      <c r="D905" t="s">
        <v>3638</v>
      </c>
      <c r="E905" t="s">
        <v>3639</v>
      </c>
      <c r="F905" t="s">
        <v>422</v>
      </c>
      <c r="G905" t="str">
        <f>CONCATENATE(Master_Packing_Database[[#This Row],[Exp '#]],Master_Packing_Database[[#This Row],[Batch '#]])</f>
        <v>2120th2nd</v>
      </c>
      <c r="H905" t="s">
        <v>3789</v>
      </c>
      <c r="I905" t="s">
        <v>3504</v>
      </c>
      <c r="J905" t="s">
        <v>117</v>
      </c>
      <c r="K905" t="s">
        <v>3790</v>
      </c>
      <c r="L905" t="s">
        <v>116</v>
      </c>
      <c r="M905" t="s">
        <v>116</v>
      </c>
      <c r="N905" t="s">
        <v>3791</v>
      </c>
      <c r="O905" t="s">
        <v>3792</v>
      </c>
      <c r="V905" t="s">
        <v>3643</v>
      </c>
      <c r="X905" t="s">
        <v>3781</v>
      </c>
      <c r="Y905" t="s">
        <v>3498</v>
      </c>
      <c r="Z905" t="s">
        <v>3782</v>
      </c>
      <c r="AB905" t="s">
        <v>2563</v>
      </c>
      <c r="AE905" t="s">
        <v>3781</v>
      </c>
      <c r="AG905" t="s">
        <v>1303</v>
      </c>
      <c r="AI905" t="s">
        <v>29</v>
      </c>
      <c r="AK905" t="s">
        <v>3793</v>
      </c>
      <c r="AL905" t="s">
        <v>3152</v>
      </c>
      <c r="AN905">
        <v>0</v>
      </c>
      <c r="AO905" t="s">
        <v>1834</v>
      </c>
      <c r="AP905" t="s">
        <v>1834</v>
      </c>
      <c r="AQ905">
        <v>0</v>
      </c>
      <c r="AR905" t="s">
        <v>1758</v>
      </c>
    </row>
    <row r="906" spans="1:44" x14ac:dyDescent="0.25">
      <c r="A906" t="s">
        <v>3141</v>
      </c>
      <c r="D906" t="s">
        <v>1077</v>
      </c>
      <c r="E906" t="s">
        <v>3794</v>
      </c>
      <c r="F906" t="s">
        <v>761</v>
      </c>
      <c r="G906" t="str">
        <f>CONCATENATE(Master_Packing_Database[[#This Row],[Exp '#]],Master_Packing_Database[[#This Row],[Batch '#]])</f>
        <v>2200th1st</v>
      </c>
      <c r="H906" t="s">
        <v>3795</v>
      </c>
      <c r="I906" t="s">
        <v>295</v>
      </c>
      <c r="J906" t="s">
        <v>117</v>
      </c>
      <c r="K906" t="s">
        <v>3796</v>
      </c>
      <c r="L906" t="s">
        <v>116</v>
      </c>
      <c r="M906" t="s">
        <v>116</v>
      </c>
      <c r="N906" t="s">
        <v>3797</v>
      </c>
      <c r="O906" t="s">
        <v>3798</v>
      </c>
      <c r="V906" t="s">
        <v>3799</v>
      </c>
      <c r="X906" t="s">
        <v>3799</v>
      </c>
      <c r="Y906" t="s">
        <v>1303</v>
      </c>
      <c r="Z906" t="s">
        <v>3800</v>
      </c>
      <c r="AB906" t="s">
        <v>3801</v>
      </c>
      <c r="AE906" t="s">
        <v>3799</v>
      </c>
      <c r="AG906" t="s">
        <v>1303</v>
      </c>
      <c r="AI906" t="s">
        <v>29</v>
      </c>
      <c r="AK906" t="s">
        <v>3802</v>
      </c>
      <c r="AL906" t="s">
        <v>3152</v>
      </c>
      <c r="AN906">
        <v>0</v>
      </c>
      <c r="AO906" t="s">
        <v>1834</v>
      </c>
      <c r="AP906" t="s">
        <v>1834</v>
      </c>
      <c r="AQ906">
        <v>0</v>
      </c>
      <c r="AR906" t="s">
        <v>1758</v>
      </c>
    </row>
    <row r="907" spans="1:44" x14ac:dyDescent="0.25">
      <c r="A907" t="s">
        <v>3141</v>
      </c>
      <c r="D907" t="s">
        <v>330</v>
      </c>
      <c r="E907" t="s">
        <v>3803</v>
      </c>
      <c r="F907" t="s">
        <v>1755</v>
      </c>
      <c r="G907" t="str">
        <f>CONCATENATE(Master_Packing_Database[[#This Row],[Exp '#]],Master_Packing_Database[[#This Row],[Batch '#]])</f>
        <v>2238th-</v>
      </c>
      <c r="H907" t="s">
        <v>3804</v>
      </c>
      <c r="I907" t="s">
        <v>660</v>
      </c>
      <c r="J907" t="s">
        <v>117</v>
      </c>
      <c r="K907" t="s">
        <v>3805</v>
      </c>
      <c r="L907" t="s">
        <v>599</v>
      </c>
      <c r="M907" t="s">
        <v>116</v>
      </c>
      <c r="N907" t="s">
        <v>3586</v>
      </c>
      <c r="O907" t="s">
        <v>655</v>
      </c>
      <c r="V907" t="s">
        <v>3806</v>
      </c>
      <c r="X907" t="s">
        <v>3806</v>
      </c>
      <c r="Y907" t="s">
        <v>1303</v>
      </c>
      <c r="Z907" t="s">
        <v>3807</v>
      </c>
      <c r="AB907" t="s">
        <v>3808</v>
      </c>
      <c r="AE907" t="s">
        <v>3806</v>
      </c>
      <c r="AG907" t="s">
        <v>1303</v>
      </c>
      <c r="AI907" t="s">
        <v>29</v>
      </c>
      <c r="AK907" t="s">
        <v>3809</v>
      </c>
      <c r="AL907" t="s">
        <v>3152</v>
      </c>
      <c r="AN907">
        <v>0</v>
      </c>
      <c r="AO907" t="s">
        <v>1834</v>
      </c>
      <c r="AP907" t="s">
        <v>1834</v>
      </c>
      <c r="AQ907">
        <v>0</v>
      </c>
      <c r="AR907" t="s">
        <v>1758</v>
      </c>
    </row>
    <row r="908" spans="1:44" x14ac:dyDescent="0.25">
      <c r="A908" t="s">
        <v>3141</v>
      </c>
      <c r="D908" t="s">
        <v>137</v>
      </c>
      <c r="E908" t="s">
        <v>3810</v>
      </c>
      <c r="F908" t="s">
        <v>761</v>
      </c>
      <c r="G908" t="str">
        <f>CONCATENATE(Master_Packing_Database[[#This Row],[Exp '#]],Master_Packing_Database[[#This Row],[Batch '#]])</f>
        <v>2235th1st</v>
      </c>
      <c r="H908" t="s">
        <v>3811</v>
      </c>
      <c r="I908" t="s">
        <v>3157</v>
      </c>
      <c r="J908" t="s">
        <v>117</v>
      </c>
      <c r="K908" t="s">
        <v>3361</v>
      </c>
      <c r="L908" t="s">
        <v>835</v>
      </c>
      <c r="M908" t="s">
        <v>835</v>
      </c>
      <c r="N908" t="s">
        <v>3812</v>
      </c>
      <c r="O908" t="s">
        <v>3813</v>
      </c>
      <c r="V908" t="s">
        <v>3814</v>
      </c>
      <c r="X908" t="s">
        <v>3814</v>
      </c>
      <c r="Y908" t="s">
        <v>1303</v>
      </c>
      <c r="Z908" t="s">
        <v>3815</v>
      </c>
      <c r="AB908" t="s">
        <v>3816</v>
      </c>
      <c r="AE908" t="s">
        <v>3806</v>
      </c>
      <c r="AG908" t="s">
        <v>3817</v>
      </c>
      <c r="AI908" t="s">
        <v>29</v>
      </c>
      <c r="AK908" t="s">
        <v>3809</v>
      </c>
      <c r="AL908" t="s">
        <v>3152</v>
      </c>
      <c r="AN908">
        <v>0</v>
      </c>
      <c r="AO908" t="s">
        <v>1834</v>
      </c>
      <c r="AP908" t="s">
        <v>1834</v>
      </c>
      <c r="AQ908">
        <v>0</v>
      </c>
      <c r="AR908" t="s">
        <v>1758</v>
      </c>
    </row>
    <row r="909" spans="1:44" x14ac:dyDescent="0.25">
      <c r="A909" t="s">
        <v>3141</v>
      </c>
      <c r="D909" t="s">
        <v>3558</v>
      </c>
      <c r="E909" t="s">
        <v>3818</v>
      </c>
      <c r="F909" t="s">
        <v>1755</v>
      </c>
      <c r="G909" t="str">
        <f>CONCATENATE(Master_Packing_Database[[#This Row],[Exp '#]],Master_Packing_Database[[#This Row],[Batch '#]])</f>
        <v>2227th-</v>
      </c>
      <c r="H909" t="s">
        <v>3819</v>
      </c>
      <c r="I909" t="s">
        <v>660</v>
      </c>
      <c r="J909" t="s">
        <v>117</v>
      </c>
      <c r="K909" t="s">
        <v>3820</v>
      </c>
      <c r="L909" t="s">
        <v>544</v>
      </c>
      <c r="M909" t="s">
        <v>599</v>
      </c>
      <c r="N909" t="s">
        <v>3821</v>
      </c>
      <c r="O909" t="s">
        <v>3822</v>
      </c>
      <c r="V909" t="s">
        <v>32</v>
      </c>
      <c r="X909" t="s">
        <v>3806</v>
      </c>
      <c r="Z909" t="s">
        <v>3807</v>
      </c>
      <c r="AE909" t="s">
        <v>3806</v>
      </c>
      <c r="AG909" t="s">
        <v>1303</v>
      </c>
      <c r="AI909" t="s">
        <v>29</v>
      </c>
      <c r="AK909" t="s">
        <v>3823</v>
      </c>
      <c r="AL909" t="s">
        <v>3152</v>
      </c>
      <c r="AN909">
        <v>0</v>
      </c>
      <c r="AO909" t="s">
        <v>1834</v>
      </c>
      <c r="AP909" t="s">
        <v>1834</v>
      </c>
      <c r="AQ909">
        <v>0</v>
      </c>
      <c r="AR909" t="s">
        <v>1758</v>
      </c>
    </row>
    <row r="910" spans="1:44" x14ac:dyDescent="0.25">
      <c r="A910" t="s">
        <v>3141</v>
      </c>
      <c r="D910" t="s">
        <v>154</v>
      </c>
      <c r="E910" t="s">
        <v>3824</v>
      </c>
      <c r="F910" t="s">
        <v>1755</v>
      </c>
      <c r="G910" t="str">
        <f>CONCATENATE(Master_Packing_Database[[#This Row],[Exp '#]],Master_Packing_Database[[#This Row],[Batch '#]])</f>
        <v>2210th-</v>
      </c>
      <c r="H910" t="s">
        <v>3825</v>
      </c>
      <c r="I910" t="s">
        <v>3826</v>
      </c>
      <c r="J910" t="s">
        <v>366</v>
      </c>
      <c r="K910" t="s">
        <v>3827</v>
      </c>
      <c r="L910" t="s">
        <v>3828</v>
      </c>
      <c r="M910" t="s">
        <v>975</v>
      </c>
      <c r="N910" t="s">
        <v>3829</v>
      </c>
      <c r="O910" t="s">
        <v>3830</v>
      </c>
      <c r="V910" t="s">
        <v>32</v>
      </c>
      <c r="X910" t="s">
        <v>3799</v>
      </c>
      <c r="AE910" t="s">
        <v>1755</v>
      </c>
      <c r="AI910" t="s">
        <v>29</v>
      </c>
      <c r="AK910" t="s">
        <v>3823</v>
      </c>
      <c r="AL910" t="s">
        <v>3152</v>
      </c>
      <c r="AN910">
        <v>0</v>
      </c>
      <c r="AO910" t="s">
        <v>1834</v>
      </c>
      <c r="AP910" t="s">
        <v>1834</v>
      </c>
      <c r="AQ910">
        <v>0</v>
      </c>
      <c r="AR910" t="s">
        <v>1835</v>
      </c>
    </row>
    <row r="911" spans="1:44" x14ac:dyDescent="0.25">
      <c r="A911" t="s">
        <v>3141</v>
      </c>
      <c r="D911" t="s">
        <v>154</v>
      </c>
      <c r="E911" t="s">
        <v>3831</v>
      </c>
      <c r="F911" t="s">
        <v>1755</v>
      </c>
      <c r="G911" t="str">
        <f>CONCATENATE(Master_Packing_Database[[#This Row],[Exp '#]],Master_Packing_Database[[#This Row],[Batch '#]])</f>
        <v>2216th-</v>
      </c>
      <c r="H911" t="s">
        <v>3832</v>
      </c>
      <c r="I911" t="s">
        <v>3833</v>
      </c>
      <c r="J911" t="s">
        <v>366</v>
      </c>
      <c r="K911" t="s">
        <v>3238</v>
      </c>
      <c r="L911" t="s">
        <v>3715</v>
      </c>
      <c r="M911" t="s">
        <v>975</v>
      </c>
      <c r="N911" t="s">
        <v>3834</v>
      </c>
      <c r="O911" t="s">
        <v>3835</v>
      </c>
      <c r="V911" t="s">
        <v>32</v>
      </c>
      <c r="X911" t="s">
        <v>3799</v>
      </c>
      <c r="AE911" t="s">
        <v>1755</v>
      </c>
      <c r="AI911" t="s">
        <v>29</v>
      </c>
      <c r="AK911" t="s">
        <v>3823</v>
      </c>
      <c r="AL911" t="s">
        <v>3152</v>
      </c>
      <c r="AN911">
        <v>0</v>
      </c>
      <c r="AO911" t="s">
        <v>1834</v>
      </c>
      <c r="AP911" t="s">
        <v>1834</v>
      </c>
      <c r="AQ911">
        <v>0</v>
      </c>
      <c r="AR911" t="s">
        <v>1835</v>
      </c>
    </row>
    <row r="912" spans="1:44" x14ac:dyDescent="0.25">
      <c r="A912" t="s">
        <v>3141</v>
      </c>
      <c r="D912" t="s">
        <v>1029</v>
      </c>
      <c r="E912" t="s">
        <v>3739</v>
      </c>
      <c r="F912" t="s">
        <v>422</v>
      </c>
      <c r="G912" t="str">
        <f>CONCATENATE(Master_Packing_Database[[#This Row],[Exp '#]],Master_Packing_Database[[#This Row],[Batch '#]])</f>
        <v>2178th2nd</v>
      </c>
      <c r="H912" t="s">
        <v>3836</v>
      </c>
      <c r="I912" t="s">
        <v>3398</v>
      </c>
      <c r="J912" t="s">
        <v>117</v>
      </c>
      <c r="K912" t="s">
        <v>3372</v>
      </c>
      <c r="L912" t="s">
        <v>116</v>
      </c>
      <c r="M912" t="s">
        <v>116</v>
      </c>
      <c r="N912" t="s">
        <v>3837</v>
      </c>
      <c r="O912" t="s">
        <v>3838</v>
      </c>
      <c r="V912" t="s">
        <v>32</v>
      </c>
      <c r="X912" t="s">
        <v>3839</v>
      </c>
      <c r="Z912" t="s">
        <v>3840</v>
      </c>
      <c r="AE912" t="s">
        <v>3839</v>
      </c>
      <c r="AG912" t="s">
        <v>1303</v>
      </c>
      <c r="AI912" t="s">
        <v>29</v>
      </c>
      <c r="AK912" t="s">
        <v>3841</v>
      </c>
      <c r="AL912" t="s">
        <v>3152</v>
      </c>
      <c r="AN912">
        <v>0</v>
      </c>
      <c r="AO912" t="s">
        <v>1834</v>
      </c>
      <c r="AP912" t="s">
        <v>1834</v>
      </c>
      <c r="AQ912">
        <v>0</v>
      </c>
      <c r="AR912" t="s">
        <v>1758</v>
      </c>
    </row>
    <row r="913" spans="1:44" x14ac:dyDescent="0.25">
      <c r="A913" t="s">
        <v>3141</v>
      </c>
      <c r="D913" t="s">
        <v>330</v>
      </c>
      <c r="E913" t="s">
        <v>3842</v>
      </c>
      <c r="F913" t="s">
        <v>1755</v>
      </c>
      <c r="G913" t="str">
        <f>CONCATENATE(Master_Packing_Database[[#This Row],[Exp '#]],Master_Packing_Database[[#This Row],[Batch '#]])</f>
        <v>2241st-</v>
      </c>
      <c r="H913" t="s">
        <v>3843</v>
      </c>
      <c r="I913" t="s">
        <v>2622</v>
      </c>
      <c r="J913" t="s">
        <v>117</v>
      </c>
      <c r="K913" t="s">
        <v>3844</v>
      </c>
      <c r="L913" t="s">
        <v>116</v>
      </c>
      <c r="M913" t="s">
        <v>116</v>
      </c>
      <c r="N913" t="s">
        <v>3845</v>
      </c>
      <c r="O913" t="s">
        <v>353</v>
      </c>
      <c r="V913" t="s">
        <v>32</v>
      </c>
      <c r="X913" t="s">
        <v>3846</v>
      </c>
      <c r="Z913" t="s">
        <v>3847</v>
      </c>
      <c r="AE913" t="s">
        <v>3846</v>
      </c>
      <c r="AG913" t="s">
        <v>1303</v>
      </c>
      <c r="AI913" t="s">
        <v>29</v>
      </c>
      <c r="AK913" t="s">
        <v>3848</v>
      </c>
      <c r="AL913" t="s">
        <v>3152</v>
      </c>
      <c r="AN913">
        <v>0</v>
      </c>
      <c r="AO913" t="s">
        <v>1834</v>
      </c>
      <c r="AP913" t="s">
        <v>1834</v>
      </c>
      <c r="AQ913">
        <v>0</v>
      </c>
      <c r="AR913" t="s">
        <v>1758</v>
      </c>
    </row>
    <row r="914" spans="1:44" x14ac:dyDescent="0.25">
      <c r="A914" t="s">
        <v>3141</v>
      </c>
      <c r="D914" t="s">
        <v>917</v>
      </c>
      <c r="E914" t="s">
        <v>3849</v>
      </c>
      <c r="F914" t="s">
        <v>1755</v>
      </c>
      <c r="G914" t="str">
        <f>CONCATENATE(Master_Packing_Database[[#This Row],[Exp '#]],Master_Packing_Database[[#This Row],[Batch '#]])</f>
        <v>2179th-</v>
      </c>
      <c r="H914" t="s">
        <v>3850</v>
      </c>
      <c r="I914" t="s">
        <v>3851</v>
      </c>
      <c r="J914" t="s">
        <v>117</v>
      </c>
      <c r="K914" t="s">
        <v>3852</v>
      </c>
      <c r="L914" t="s">
        <v>116</v>
      </c>
      <c r="M914" t="s">
        <v>116</v>
      </c>
      <c r="N914" t="s">
        <v>3853</v>
      </c>
      <c r="O914" t="s">
        <v>3127</v>
      </c>
      <c r="V914" t="s">
        <v>32</v>
      </c>
      <c r="X914" t="s">
        <v>3854</v>
      </c>
      <c r="Z914" t="s">
        <v>3855</v>
      </c>
      <c r="AE914" t="s">
        <v>3854</v>
      </c>
      <c r="AG914" t="s">
        <v>1303</v>
      </c>
      <c r="AI914" t="s">
        <v>29</v>
      </c>
      <c r="AK914" t="s">
        <v>3848</v>
      </c>
      <c r="AL914" t="s">
        <v>3152</v>
      </c>
      <c r="AN914">
        <v>0</v>
      </c>
      <c r="AO914" t="s">
        <v>1834</v>
      </c>
      <c r="AP914" t="s">
        <v>1834</v>
      </c>
      <c r="AQ914">
        <v>0</v>
      </c>
      <c r="AR914" t="s">
        <v>1758</v>
      </c>
    </row>
    <row r="915" spans="1:44" x14ac:dyDescent="0.25">
      <c r="A915" t="s">
        <v>3141</v>
      </c>
      <c r="D915" t="s">
        <v>1077</v>
      </c>
      <c r="E915" t="s">
        <v>3794</v>
      </c>
      <c r="F915" t="s">
        <v>422</v>
      </c>
      <c r="G915" t="str">
        <f>CONCATENATE(Master_Packing_Database[[#This Row],[Exp '#]],Master_Packing_Database[[#This Row],[Batch '#]])</f>
        <v>2200th2nd</v>
      </c>
      <c r="H915" t="s">
        <v>3856</v>
      </c>
      <c r="I915" t="s">
        <v>295</v>
      </c>
      <c r="J915" t="s">
        <v>117</v>
      </c>
      <c r="K915" t="s">
        <v>3227</v>
      </c>
      <c r="L915" t="s">
        <v>116</v>
      </c>
      <c r="M915" t="s">
        <v>116</v>
      </c>
      <c r="N915" t="s">
        <v>3857</v>
      </c>
      <c r="O915" t="s">
        <v>3858</v>
      </c>
      <c r="V915" t="s">
        <v>32</v>
      </c>
      <c r="X915" t="s">
        <v>3854</v>
      </c>
      <c r="Z915" t="s">
        <v>3859</v>
      </c>
      <c r="AE915" t="s">
        <v>3860</v>
      </c>
      <c r="AG915" t="s">
        <v>599</v>
      </c>
      <c r="AI915" t="s">
        <v>29</v>
      </c>
      <c r="AK915" t="s">
        <v>3861</v>
      </c>
      <c r="AL915" t="s">
        <v>3152</v>
      </c>
      <c r="AN915">
        <v>0</v>
      </c>
      <c r="AO915" t="s">
        <v>1834</v>
      </c>
      <c r="AP915" t="s">
        <v>1834</v>
      </c>
      <c r="AQ915">
        <v>0</v>
      </c>
      <c r="AR915" t="s">
        <v>1758</v>
      </c>
    </row>
    <row r="916" spans="1:44" x14ac:dyDescent="0.25">
      <c r="A916" t="s">
        <v>3141</v>
      </c>
      <c r="D916" t="s">
        <v>137</v>
      </c>
      <c r="E916" t="s">
        <v>3810</v>
      </c>
      <c r="F916" t="s">
        <v>422</v>
      </c>
      <c r="G916" t="str">
        <f>CONCATENATE(Master_Packing_Database[[#This Row],[Exp '#]],Master_Packing_Database[[#This Row],[Batch '#]])</f>
        <v>2235th2nd</v>
      </c>
      <c r="H916" t="s">
        <v>3862</v>
      </c>
      <c r="I916" t="s">
        <v>3157</v>
      </c>
      <c r="J916" t="s">
        <v>117</v>
      </c>
      <c r="K916" t="s">
        <v>3361</v>
      </c>
      <c r="L916" t="s">
        <v>835</v>
      </c>
      <c r="M916" t="s">
        <v>835</v>
      </c>
      <c r="N916" t="s">
        <v>3863</v>
      </c>
      <c r="O916" t="s">
        <v>3864</v>
      </c>
      <c r="V916" t="s">
        <v>32</v>
      </c>
      <c r="X916" t="s">
        <v>3865</v>
      </c>
      <c r="Z916" t="s">
        <v>3866</v>
      </c>
      <c r="AE916" t="s">
        <v>3860</v>
      </c>
      <c r="AG916" t="s">
        <v>2654</v>
      </c>
      <c r="AI916" t="s">
        <v>29</v>
      </c>
      <c r="AK916" t="s">
        <v>3861</v>
      </c>
      <c r="AL916" t="s">
        <v>3152</v>
      </c>
      <c r="AN916">
        <v>0</v>
      </c>
      <c r="AO916" t="s">
        <v>1834</v>
      </c>
      <c r="AP916" t="s">
        <v>1834</v>
      </c>
      <c r="AQ916">
        <v>0</v>
      </c>
      <c r="AR916" t="s">
        <v>1758</v>
      </c>
    </row>
    <row r="917" spans="1:44" x14ac:dyDescent="0.25">
      <c r="A917" t="s">
        <v>3141</v>
      </c>
      <c r="D917" t="s">
        <v>1077</v>
      </c>
      <c r="E917" t="s">
        <v>3794</v>
      </c>
      <c r="F917" t="s">
        <v>142</v>
      </c>
      <c r="G917" t="str">
        <f>CONCATENATE(Master_Packing_Database[[#This Row],[Exp '#]],Master_Packing_Database[[#This Row],[Batch '#]])</f>
        <v>2200th3rd</v>
      </c>
      <c r="H917" t="s">
        <v>3867</v>
      </c>
      <c r="I917" t="s">
        <v>295</v>
      </c>
      <c r="J917" t="s">
        <v>117</v>
      </c>
      <c r="K917" t="s">
        <v>3227</v>
      </c>
      <c r="L917" t="s">
        <v>116</v>
      </c>
      <c r="M917" t="s">
        <v>116</v>
      </c>
      <c r="N917" t="s">
        <v>3868</v>
      </c>
      <c r="O917" t="s">
        <v>3869</v>
      </c>
      <c r="V917" t="s">
        <v>32</v>
      </c>
      <c r="X917" t="s">
        <v>3865</v>
      </c>
      <c r="Z917" t="s">
        <v>3870</v>
      </c>
      <c r="AE917" t="s">
        <v>3865</v>
      </c>
      <c r="AG917" t="s">
        <v>1303</v>
      </c>
      <c r="AI917" t="s">
        <v>29</v>
      </c>
      <c r="AK917" t="s">
        <v>3871</v>
      </c>
      <c r="AL917" t="s">
        <v>3152</v>
      </c>
      <c r="AN917">
        <v>0</v>
      </c>
      <c r="AO917" t="s">
        <v>1834</v>
      </c>
      <c r="AP917" t="s">
        <v>1834</v>
      </c>
      <c r="AQ917">
        <v>0</v>
      </c>
      <c r="AR917" t="s">
        <v>1758</v>
      </c>
    </row>
    <row r="918" spans="1:44" x14ac:dyDescent="0.25">
      <c r="A918" t="s">
        <v>3141</v>
      </c>
      <c r="D918" t="s">
        <v>1029</v>
      </c>
      <c r="E918" t="s">
        <v>3872</v>
      </c>
      <c r="F918" t="s">
        <v>1755</v>
      </c>
      <c r="G918" t="str">
        <f>CONCATENATE(Master_Packing_Database[[#This Row],[Exp '#]],Master_Packing_Database[[#This Row],[Batch '#]])</f>
        <v>2234th-</v>
      </c>
      <c r="H918" t="s">
        <v>3873</v>
      </c>
      <c r="I918" t="s">
        <v>2622</v>
      </c>
      <c r="J918" t="s">
        <v>117</v>
      </c>
      <c r="K918" t="s">
        <v>3874</v>
      </c>
      <c r="L918" t="s">
        <v>116</v>
      </c>
      <c r="M918" t="s">
        <v>116</v>
      </c>
      <c r="N918" t="s">
        <v>3875</v>
      </c>
      <c r="O918" t="s">
        <v>3876</v>
      </c>
      <c r="V918" t="s">
        <v>32</v>
      </c>
      <c r="X918" t="s">
        <v>3877</v>
      </c>
      <c r="Z918" t="s">
        <v>3878</v>
      </c>
      <c r="AE918" t="s">
        <v>3877</v>
      </c>
      <c r="AG918" t="s">
        <v>1303</v>
      </c>
      <c r="AI918" t="s">
        <v>29</v>
      </c>
      <c r="AK918" t="s">
        <v>3879</v>
      </c>
      <c r="AL918" t="s">
        <v>3152</v>
      </c>
      <c r="AN918">
        <v>0</v>
      </c>
      <c r="AO918" t="s">
        <v>1834</v>
      </c>
      <c r="AP918" t="s">
        <v>1834</v>
      </c>
      <c r="AQ918">
        <v>0</v>
      </c>
      <c r="AR918" t="s">
        <v>1758</v>
      </c>
    </row>
    <row r="919" spans="1:44" x14ac:dyDescent="0.25">
      <c r="A919" t="s">
        <v>3141</v>
      </c>
      <c r="D919" t="s">
        <v>293</v>
      </c>
      <c r="E919" t="s">
        <v>3880</v>
      </c>
      <c r="F919" t="s">
        <v>1755</v>
      </c>
      <c r="G919" t="str">
        <f>CONCATENATE(Master_Packing_Database[[#This Row],[Exp '#]],Master_Packing_Database[[#This Row],[Batch '#]])</f>
        <v>2309th-</v>
      </c>
      <c r="H919" t="s">
        <v>3881</v>
      </c>
      <c r="I919" t="s">
        <v>3339</v>
      </c>
      <c r="J919" t="s">
        <v>366</v>
      </c>
      <c r="K919" t="s">
        <v>3361</v>
      </c>
      <c r="L919" t="s">
        <v>599</v>
      </c>
      <c r="M919" t="s">
        <v>3882</v>
      </c>
      <c r="N919" t="s">
        <v>3883</v>
      </c>
      <c r="O919" t="s">
        <v>2681</v>
      </c>
      <c r="V919" t="s">
        <v>32</v>
      </c>
      <c r="X919" t="s">
        <v>3877</v>
      </c>
      <c r="Z919" t="s">
        <v>3884</v>
      </c>
      <c r="AE919" t="s">
        <v>3877</v>
      </c>
      <c r="AG919" t="s">
        <v>1303</v>
      </c>
      <c r="AI919" t="s">
        <v>29</v>
      </c>
      <c r="AK919" t="s">
        <v>3879</v>
      </c>
      <c r="AL919" t="s">
        <v>3152</v>
      </c>
      <c r="AN919">
        <v>0</v>
      </c>
      <c r="AO919" t="s">
        <v>1834</v>
      </c>
      <c r="AP919" t="s">
        <v>1834</v>
      </c>
      <c r="AQ919">
        <v>0</v>
      </c>
      <c r="AR919" t="s">
        <v>1758</v>
      </c>
    </row>
    <row r="920" spans="1:44" x14ac:dyDescent="0.25">
      <c r="A920" t="s">
        <v>3141</v>
      </c>
      <c r="D920" t="s">
        <v>1029</v>
      </c>
      <c r="E920" t="s">
        <v>3885</v>
      </c>
      <c r="F920" t="s">
        <v>1755</v>
      </c>
      <c r="G920" t="str">
        <f>CONCATENATE(Master_Packing_Database[[#This Row],[Exp '#]],Master_Packing_Database[[#This Row],[Batch '#]])</f>
        <v>2204th-</v>
      </c>
      <c r="H920" t="s">
        <v>3886</v>
      </c>
      <c r="I920" t="s">
        <v>3887</v>
      </c>
      <c r="J920" t="s">
        <v>117</v>
      </c>
      <c r="K920" t="s">
        <v>3372</v>
      </c>
      <c r="L920" t="s">
        <v>599</v>
      </c>
      <c r="M920" t="s">
        <v>599</v>
      </c>
      <c r="N920" t="s">
        <v>3888</v>
      </c>
      <c r="O920" t="s">
        <v>3889</v>
      </c>
      <c r="V920" t="s">
        <v>32</v>
      </c>
      <c r="X920" t="s">
        <v>3890</v>
      </c>
      <c r="Z920" t="s">
        <v>3891</v>
      </c>
      <c r="AE920" t="s">
        <v>3890</v>
      </c>
      <c r="AG920" t="s">
        <v>1303</v>
      </c>
      <c r="AI920" t="s">
        <v>29</v>
      </c>
      <c r="AK920" t="s">
        <v>3892</v>
      </c>
      <c r="AL920" t="s">
        <v>3152</v>
      </c>
      <c r="AN920">
        <v>0</v>
      </c>
      <c r="AO920" t="s">
        <v>1834</v>
      </c>
      <c r="AP920" t="s">
        <v>1834</v>
      </c>
      <c r="AQ920">
        <v>0</v>
      </c>
      <c r="AR920" t="s">
        <v>1758</v>
      </c>
    </row>
    <row r="921" spans="1:44" x14ac:dyDescent="0.25">
      <c r="A921" t="s">
        <v>3141</v>
      </c>
      <c r="D921" t="s">
        <v>1029</v>
      </c>
      <c r="E921" t="s">
        <v>3739</v>
      </c>
      <c r="F921" t="s">
        <v>142</v>
      </c>
      <c r="G921" t="str">
        <f>CONCATENATE(Master_Packing_Database[[#This Row],[Exp '#]],Master_Packing_Database[[#This Row],[Batch '#]])</f>
        <v>2178th3rd</v>
      </c>
      <c r="H921" t="s">
        <v>3893</v>
      </c>
      <c r="I921" t="s">
        <v>3398</v>
      </c>
      <c r="J921" t="s">
        <v>117</v>
      </c>
      <c r="K921" t="s">
        <v>3173</v>
      </c>
      <c r="L921" t="s">
        <v>116</v>
      </c>
      <c r="M921" t="s">
        <v>116</v>
      </c>
      <c r="N921" t="s">
        <v>3894</v>
      </c>
      <c r="O921" t="s">
        <v>3895</v>
      </c>
      <c r="V921" t="s">
        <v>32</v>
      </c>
      <c r="X921" t="s">
        <v>3896</v>
      </c>
      <c r="Z921" t="s">
        <v>3897</v>
      </c>
      <c r="AE921" t="s">
        <v>3896</v>
      </c>
      <c r="AG921" t="s">
        <v>1303</v>
      </c>
      <c r="AI921" t="s">
        <v>29</v>
      </c>
      <c r="AK921" t="s">
        <v>3892</v>
      </c>
      <c r="AL921" t="s">
        <v>3152</v>
      </c>
      <c r="AN921">
        <v>0</v>
      </c>
      <c r="AO921" t="s">
        <v>1834</v>
      </c>
      <c r="AP921" t="s">
        <v>1834</v>
      </c>
      <c r="AQ921">
        <v>0</v>
      </c>
      <c r="AR921" t="s">
        <v>1758</v>
      </c>
    </row>
    <row r="922" spans="1:44" x14ac:dyDescent="0.25">
      <c r="A922" t="s">
        <v>3141</v>
      </c>
      <c r="D922" t="s">
        <v>1103</v>
      </c>
      <c r="E922" t="s">
        <v>3898</v>
      </c>
      <c r="F922" t="s">
        <v>1755</v>
      </c>
      <c r="G922" t="str">
        <f>CONCATENATE(Master_Packing_Database[[#This Row],[Exp '#]],Master_Packing_Database[[#This Row],[Batch '#]])</f>
        <v>2244th-</v>
      </c>
      <c r="H922" t="s">
        <v>3899</v>
      </c>
      <c r="I922" t="s">
        <v>3157</v>
      </c>
      <c r="J922" t="s">
        <v>117</v>
      </c>
      <c r="K922" t="s">
        <v>3900</v>
      </c>
      <c r="L922" t="s">
        <v>835</v>
      </c>
      <c r="M922" t="s">
        <v>835</v>
      </c>
      <c r="N922" t="s">
        <v>3901</v>
      </c>
      <c r="O922" t="s">
        <v>3902</v>
      </c>
      <c r="V922" t="s">
        <v>32</v>
      </c>
      <c r="X922" t="s">
        <v>3896</v>
      </c>
      <c r="Z922" t="s">
        <v>3903</v>
      </c>
      <c r="AE922" t="s">
        <v>3896</v>
      </c>
      <c r="AG922" t="s">
        <v>1303</v>
      </c>
      <c r="AI922" t="s">
        <v>29</v>
      </c>
      <c r="AK922" t="s">
        <v>3892</v>
      </c>
      <c r="AL922" t="s">
        <v>3152</v>
      </c>
      <c r="AN922">
        <v>0</v>
      </c>
      <c r="AO922" t="s">
        <v>1834</v>
      </c>
      <c r="AP922" t="s">
        <v>1834</v>
      </c>
      <c r="AQ922">
        <v>0</v>
      </c>
      <c r="AR922" t="s">
        <v>1758</v>
      </c>
    </row>
    <row r="923" spans="1:44" x14ac:dyDescent="0.25">
      <c r="A923" t="s">
        <v>3141</v>
      </c>
      <c r="D923" t="s">
        <v>1029</v>
      </c>
      <c r="E923" t="s">
        <v>3739</v>
      </c>
      <c r="F923" t="s">
        <v>3904</v>
      </c>
      <c r="G923" t="str">
        <f>CONCATENATE(Master_Packing_Database[[#This Row],[Exp '#]],Master_Packing_Database[[#This Row],[Batch '#]])</f>
        <v>2178th4th +5th</v>
      </c>
      <c r="H923" t="s">
        <v>3905</v>
      </c>
      <c r="I923" t="s">
        <v>3398</v>
      </c>
      <c r="J923" t="s">
        <v>117</v>
      </c>
      <c r="K923" t="s">
        <v>3173</v>
      </c>
      <c r="L923" t="s">
        <v>599</v>
      </c>
      <c r="M923" t="s">
        <v>599</v>
      </c>
      <c r="N923" t="s">
        <v>3906</v>
      </c>
      <c r="O923" t="s">
        <v>3907</v>
      </c>
      <c r="V923" t="s">
        <v>32</v>
      </c>
      <c r="X923" t="s">
        <v>3908</v>
      </c>
      <c r="Z923" t="s">
        <v>3909</v>
      </c>
      <c r="AE923" t="s">
        <v>3908</v>
      </c>
      <c r="AG923" t="s">
        <v>1303</v>
      </c>
      <c r="AI923" t="s">
        <v>29</v>
      </c>
      <c r="AK923" t="s">
        <v>3910</v>
      </c>
      <c r="AL923" t="s">
        <v>3152</v>
      </c>
      <c r="AN923">
        <v>0</v>
      </c>
      <c r="AO923" t="s">
        <v>1834</v>
      </c>
      <c r="AP923" t="s">
        <v>1834</v>
      </c>
      <c r="AQ923">
        <v>0</v>
      </c>
      <c r="AR923" t="s">
        <v>1758</v>
      </c>
    </row>
    <row r="924" spans="1:44" x14ac:dyDescent="0.25">
      <c r="A924" t="s">
        <v>3141</v>
      </c>
      <c r="D924" t="s">
        <v>1029</v>
      </c>
      <c r="E924" t="s">
        <v>3739</v>
      </c>
      <c r="F924" t="s">
        <v>3911</v>
      </c>
      <c r="G924" t="str">
        <f>CONCATENATE(Master_Packing_Database[[#This Row],[Exp '#]],Master_Packing_Database[[#This Row],[Batch '#]])</f>
        <v>2178th6th</v>
      </c>
      <c r="H924" t="s">
        <v>3912</v>
      </c>
      <c r="I924" t="s">
        <v>3398</v>
      </c>
      <c r="J924" t="s">
        <v>117</v>
      </c>
      <c r="K924" t="s">
        <v>3173</v>
      </c>
      <c r="L924" t="s">
        <v>116</v>
      </c>
      <c r="M924" t="s">
        <v>116</v>
      </c>
      <c r="N924" t="s">
        <v>3913</v>
      </c>
      <c r="O924" t="s">
        <v>3914</v>
      </c>
      <c r="V924" t="s">
        <v>32</v>
      </c>
      <c r="X924" t="s">
        <v>3915</v>
      </c>
      <c r="Z924" t="s">
        <v>3916</v>
      </c>
      <c r="AE924" t="s">
        <v>3915</v>
      </c>
      <c r="AG924" t="s">
        <v>1303</v>
      </c>
      <c r="AI924" t="s">
        <v>29</v>
      </c>
      <c r="AK924" t="s">
        <v>3917</v>
      </c>
      <c r="AL924" t="s">
        <v>3152</v>
      </c>
      <c r="AN924">
        <v>0</v>
      </c>
      <c r="AO924" t="s">
        <v>1834</v>
      </c>
      <c r="AP924" t="s">
        <v>1834</v>
      </c>
      <c r="AQ924">
        <v>0</v>
      </c>
      <c r="AR924" t="s">
        <v>1758</v>
      </c>
    </row>
    <row r="925" spans="1:44" x14ac:dyDescent="0.25">
      <c r="A925" t="s">
        <v>3141</v>
      </c>
      <c r="D925" t="s">
        <v>1029</v>
      </c>
      <c r="E925" t="s">
        <v>3918</v>
      </c>
      <c r="F925" t="s">
        <v>761</v>
      </c>
      <c r="G925" t="str">
        <f>CONCATENATE(Master_Packing_Database[[#This Row],[Exp '#]],Master_Packing_Database[[#This Row],[Batch '#]])</f>
        <v>2207th1st</v>
      </c>
      <c r="H925" t="s">
        <v>3919</v>
      </c>
      <c r="I925" t="s">
        <v>295</v>
      </c>
      <c r="J925" t="s">
        <v>117</v>
      </c>
      <c r="K925" t="s">
        <v>3920</v>
      </c>
      <c r="L925" t="s">
        <v>116</v>
      </c>
      <c r="M925" t="s">
        <v>116</v>
      </c>
      <c r="N925" t="s">
        <v>3921</v>
      </c>
      <c r="O925" t="s">
        <v>3922</v>
      </c>
      <c r="V925" t="s">
        <v>32</v>
      </c>
      <c r="X925" t="s">
        <v>3915</v>
      </c>
      <c r="Z925" t="s">
        <v>3916</v>
      </c>
      <c r="AE925" t="s">
        <v>3915</v>
      </c>
      <c r="AG925" t="s">
        <v>1303</v>
      </c>
      <c r="AI925" t="s">
        <v>29</v>
      </c>
      <c r="AK925" t="s">
        <v>3917</v>
      </c>
      <c r="AL925" t="s">
        <v>3152</v>
      </c>
      <c r="AN925">
        <v>0</v>
      </c>
      <c r="AO925" t="s">
        <v>1834</v>
      </c>
      <c r="AP925" t="s">
        <v>1834</v>
      </c>
      <c r="AQ925">
        <v>0</v>
      </c>
      <c r="AR925" t="s">
        <v>1758</v>
      </c>
    </row>
    <row r="926" spans="1:44" x14ac:dyDescent="0.25">
      <c r="A926" t="s">
        <v>3141</v>
      </c>
      <c r="D926" t="s">
        <v>1029</v>
      </c>
      <c r="E926" t="s">
        <v>3918</v>
      </c>
      <c r="F926" t="s">
        <v>422</v>
      </c>
      <c r="G926" t="str">
        <f>CONCATENATE(Master_Packing_Database[[#This Row],[Exp '#]],Master_Packing_Database[[#This Row],[Batch '#]])</f>
        <v>2207th2nd</v>
      </c>
      <c r="H926" t="s">
        <v>3923</v>
      </c>
      <c r="I926" t="s">
        <v>295</v>
      </c>
      <c r="J926" t="s">
        <v>117</v>
      </c>
      <c r="K926" t="s">
        <v>3920</v>
      </c>
      <c r="L926" t="s">
        <v>116</v>
      </c>
      <c r="M926" t="s">
        <v>116</v>
      </c>
      <c r="N926" t="s">
        <v>3924</v>
      </c>
      <c r="O926" t="s">
        <v>3925</v>
      </c>
      <c r="V926" t="s">
        <v>32</v>
      </c>
      <c r="X926" t="s">
        <v>3915</v>
      </c>
      <c r="Z926" t="s">
        <v>3916</v>
      </c>
      <c r="AE926" t="s">
        <v>3915</v>
      </c>
      <c r="AG926" t="s">
        <v>1303</v>
      </c>
      <c r="AI926" t="s">
        <v>29</v>
      </c>
      <c r="AK926" t="s">
        <v>3917</v>
      </c>
      <c r="AL926" t="s">
        <v>3152</v>
      </c>
      <c r="AN926">
        <v>0</v>
      </c>
      <c r="AO926" t="s">
        <v>1834</v>
      </c>
      <c r="AP926" t="s">
        <v>1834</v>
      </c>
      <c r="AQ926">
        <v>0</v>
      </c>
      <c r="AR926" t="s">
        <v>1758</v>
      </c>
    </row>
    <row r="927" spans="1:44" x14ac:dyDescent="0.25">
      <c r="A927" t="s">
        <v>3141</v>
      </c>
      <c r="D927" t="s">
        <v>258</v>
      </c>
      <c r="E927" t="s">
        <v>3698</v>
      </c>
      <c r="F927" t="s">
        <v>422</v>
      </c>
      <c r="G927" t="str">
        <f>CONCATENATE(Master_Packing_Database[[#This Row],[Exp '#]],Master_Packing_Database[[#This Row],[Batch '#]])</f>
        <v>2173rd2nd</v>
      </c>
      <c r="H927" t="s">
        <v>3926</v>
      </c>
      <c r="I927" t="s">
        <v>752</v>
      </c>
      <c r="J927" t="s">
        <v>366</v>
      </c>
      <c r="K927" t="s">
        <v>1042</v>
      </c>
      <c r="L927" t="s">
        <v>116</v>
      </c>
      <c r="M927" t="s">
        <v>116</v>
      </c>
      <c r="N927" t="s">
        <v>3927</v>
      </c>
      <c r="O927" t="s">
        <v>3785</v>
      </c>
      <c r="V927" t="s">
        <v>3687</v>
      </c>
      <c r="X927" t="s">
        <v>3915</v>
      </c>
      <c r="Y927" t="s">
        <v>3928</v>
      </c>
      <c r="Z927" t="s">
        <v>3916</v>
      </c>
      <c r="AB927" t="s">
        <v>3908</v>
      </c>
      <c r="AE927" t="s">
        <v>3915</v>
      </c>
      <c r="AG927" t="s">
        <v>1303</v>
      </c>
      <c r="AI927" t="s">
        <v>29</v>
      </c>
      <c r="AK927" t="s">
        <v>3917</v>
      </c>
      <c r="AL927" t="s">
        <v>3152</v>
      </c>
      <c r="AN927">
        <v>0</v>
      </c>
      <c r="AO927" t="s">
        <v>1834</v>
      </c>
      <c r="AP927" t="s">
        <v>1834</v>
      </c>
      <c r="AQ927">
        <v>0</v>
      </c>
      <c r="AR927" t="s">
        <v>1758</v>
      </c>
    </row>
    <row r="928" spans="1:44" x14ac:dyDescent="0.25">
      <c r="A928" t="s">
        <v>3141</v>
      </c>
      <c r="D928" t="s">
        <v>363</v>
      </c>
      <c r="E928" t="s">
        <v>3929</v>
      </c>
      <c r="F928" t="s">
        <v>1755</v>
      </c>
      <c r="G928" t="str">
        <f>CONCATENATE(Master_Packing_Database[[#This Row],[Exp '#]],Master_Packing_Database[[#This Row],[Batch '#]])</f>
        <v>2229th-</v>
      </c>
      <c r="H928" t="s">
        <v>3930</v>
      </c>
      <c r="I928" t="s">
        <v>295</v>
      </c>
      <c r="J928" t="s">
        <v>117</v>
      </c>
      <c r="K928" t="s">
        <v>3227</v>
      </c>
      <c r="L928" t="s">
        <v>835</v>
      </c>
      <c r="M928" t="s">
        <v>835</v>
      </c>
      <c r="N928" t="s">
        <v>3931</v>
      </c>
      <c r="O928" t="s">
        <v>3932</v>
      </c>
      <c r="V928" t="s">
        <v>32</v>
      </c>
      <c r="X928" t="s">
        <v>3933</v>
      </c>
      <c r="Z928" t="s">
        <v>3934</v>
      </c>
      <c r="AE928" t="s">
        <v>3933</v>
      </c>
      <c r="AG928" t="s">
        <v>1303</v>
      </c>
      <c r="AI928" t="s">
        <v>29</v>
      </c>
      <c r="AK928" t="s">
        <v>3935</v>
      </c>
      <c r="AL928" t="s">
        <v>3152</v>
      </c>
      <c r="AN928">
        <v>0</v>
      </c>
      <c r="AO928" t="s">
        <v>1834</v>
      </c>
      <c r="AP928" t="s">
        <v>1834</v>
      </c>
      <c r="AQ928">
        <v>0</v>
      </c>
      <c r="AR928" t="s">
        <v>1758</v>
      </c>
    </row>
    <row r="929" spans="1:44" x14ac:dyDescent="0.25">
      <c r="A929" t="s">
        <v>3141</v>
      </c>
      <c r="D929" t="s">
        <v>154</v>
      </c>
      <c r="E929" t="s">
        <v>153</v>
      </c>
      <c r="F929" t="s">
        <v>1755</v>
      </c>
      <c r="G929" t="str">
        <f>CONCATENATE(Master_Packing_Database[[#This Row],[Exp '#]],Master_Packing_Database[[#This Row],[Batch '#]])</f>
        <v>2214th-</v>
      </c>
      <c r="H929" t="s">
        <v>155</v>
      </c>
      <c r="I929" t="s">
        <v>156</v>
      </c>
      <c r="J929" t="s">
        <v>117</v>
      </c>
      <c r="K929" t="s">
        <v>3372</v>
      </c>
      <c r="L929" t="s">
        <v>599</v>
      </c>
      <c r="M929" t="s">
        <v>599</v>
      </c>
      <c r="N929" t="s">
        <v>3936</v>
      </c>
      <c r="O929" t="s">
        <v>3937</v>
      </c>
      <c r="V929" t="s">
        <v>32</v>
      </c>
      <c r="X929" t="s">
        <v>3938</v>
      </c>
      <c r="Z929" t="s">
        <v>3939</v>
      </c>
      <c r="AE929" t="s">
        <v>3938</v>
      </c>
      <c r="AG929" t="s">
        <v>1303</v>
      </c>
      <c r="AI929" t="s">
        <v>29</v>
      </c>
      <c r="AK929" t="s">
        <v>3940</v>
      </c>
      <c r="AL929" t="s">
        <v>3152</v>
      </c>
      <c r="AN929">
        <v>0</v>
      </c>
      <c r="AO929" t="s">
        <v>1834</v>
      </c>
      <c r="AP929" t="s">
        <v>1834</v>
      </c>
      <c r="AQ929">
        <v>0</v>
      </c>
      <c r="AR929" t="s">
        <v>1758</v>
      </c>
    </row>
    <row r="930" spans="1:44" x14ac:dyDescent="0.25">
      <c r="A930" t="s">
        <v>3141</v>
      </c>
      <c r="D930" t="s">
        <v>3941</v>
      </c>
      <c r="E930" t="s">
        <v>3942</v>
      </c>
      <c r="F930" t="s">
        <v>1755</v>
      </c>
      <c r="G930" t="str">
        <f>CONCATENATE(Master_Packing_Database[[#This Row],[Exp '#]],Master_Packing_Database[[#This Row],[Batch '#]])</f>
        <v>2293rd-</v>
      </c>
      <c r="H930" t="s">
        <v>3943</v>
      </c>
      <c r="I930" t="s">
        <v>120</v>
      </c>
      <c r="J930" t="s">
        <v>117</v>
      </c>
      <c r="K930" t="s">
        <v>3361</v>
      </c>
      <c r="L930" t="s">
        <v>599</v>
      </c>
      <c r="M930" t="s">
        <v>599</v>
      </c>
      <c r="N930" t="s">
        <v>3944</v>
      </c>
      <c r="O930" t="s">
        <v>3945</v>
      </c>
      <c r="V930" t="s">
        <v>32</v>
      </c>
      <c r="X930" t="s">
        <v>3938</v>
      </c>
      <c r="Z930" t="s">
        <v>3939</v>
      </c>
      <c r="AE930" t="s">
        <v>3938</v>
      </c>
      <c r="AG930" t="s">
        <v>1303</v>
      </c>
      <c r="AI930" t="s">
        <v>29</v>
      </c>
      <c r="AK930" t="s">
        <v>3940</v>
      </c>
      <c r="AL930" t="s">
        <v>3152</v>
      </c>
      <c r="AN930">
        <v>0</v>
      </c>
      <c r="AO930" t="s">
        <v>1834</v>
      </c>
      <c r="AP930" t="s">
        <v>1834</v>
      </c>
      <c r="AQ930">
        <v>0</v>
      </c>
      <c r="AR930" t="s">
        <v>1758</v>
      </c>
    </row>
    <row r="931" spans="1:44" x14ac:dyDescent="0.25">
      <c r="A931" t="s">
        <v>3141</v>
      </c>
      <c r="D931" t="s">
        <v>3603</v>
      </c>
      <c r="E931" t="s">
        <v>3946</v>
      </c>
      <c r="F931" t="s">
        <v>761</v>
      </c>
      <c r="G931" t="str">
        <f>CONCATENATE(Master_Packing_Database[[#This Row],[Exp '#]],Master_Packing_Database[[#This Row],[Batch '#]])</f>
        <v>2228th1st</v>
      </c>
      <c r="H931" t="s">
        <v>3947</v>
      </c>
      <c r="I931" t="s">
        <v>3948</v>
      </c>
      <c r="J931" t="s">
        <v>117</v>
      </c>
      <c r="K931" t="s">
        <v>3949</v>
      </c>
      <c r="L931" t="s">
        <v>116</v>
      </c>
      <c r="M931" t="s">
        <v>116</v>
      </c>
      <c r="N931" t="s">
        <v>3950</v>
      </c>
      <c r="O931" t="s">
        <v>3951</v>
      </c>
      <c r="V931" t="s">
        <v>32</v>
      </c>
      <c r="X931" t="s">
        <v>3938</v>
      </c>
      <c r="AE931" t="s">
        <v>1755</v>
      </c>
      <c r="AI931" t="s">
        <v>29</v>
      </c>
      <c r="AK931" t="s">
        <v>3940</v>
      </c>
      <c r="AL931" t="s">
        <v>3152</v>
      </c>
      <c r="AN931">
        <v>0</v>
      </c>
      <c r="AO931" t="s">
        <v>1834</v>
      </c>
      <c r="AP931" t="s">
        <v>1834</v>
      </c>
      <c r="AQ931">
        <v>0</v>
      </c>
      <c r="AR931" t="s">
        <v>1835</v>
      </c>
    </row>
    <row r="932" spans="1:44" x14ac:dyDescent="0.25">
      <c r="A932" t="s">
        <v>3141</v>
      </c>
      <c r="D932" t="s">
        <v>1004</v>
      </c>
      <c r="E932" t="s">
        <v>3952</v>
      </c>
      <c r="F932" t="s">
        <v>1755</v>
      </c>
      <c r="G932" t="str">
        <f>CONCATENATE(Master_Packing_Database[[#This Row],[Exp '#]],Master_Packing_Database[[#This Row],[Batch '#]])</f>
        <v>2245th-</v>
      </c>
      <c r="H932" t="s">
        <v>3953</v>
      </c>
      <c r="I932" t="s">
        <v>497</v>
      </c>
      <c r="J932" t="s">
        <v>366</v>
      </c>
      <c r="K932" t="s">
        <v>3954</v>
      </c>
      <c r="L932" t="s">
        <v>599</v>
      </c>
      <c r="M932" t="s">
        <v>116</v>
      </c>
      <c r="N932" t="s">
        <v>3955</v>
      </c>
      <c r="O932" t="s">
        <v>3956</v>
      </c>
      <c r="V932" t="s">
        <v>32</v>
      </c>
      <c r="X932" t="s">
        <v>3938</v>
      </c>
      <c r="Z932" t="s">
        <v>3939</v>
      </c>
      <c r="AE932" t="s">
        <v>3938</v>
      </c>
      <c r="AG932" t="s">
        <v>1303</v>
      </c>
      <c r="AI932" t="s">
        <v>29</v>
      </c>
      <c r="AK932" t="s">
        <v>3940</v>
      </c>
      <c r="AL932" t="s">
        <v>3152</v>
      </c>
      <c r="AN932">
        <v>0</v>
      </c>
      <c r="AO932" t="s">
        <v>1834</v>
      </c>
      <c r="AP932" t="s">
        <v>1834</v>
      </c>
      <c r="AQ932">
        <v>0</v>
      </c>
      <c r="AR932" t="s">
        <v>1758</v>
      </c>
    </row>
    <row r="933" spans="1:44" x14ac:dyDescent="0.25">
      <c r="A933" t="s">
        <v>3141</v>
      </c>
      <c r="D933" t="s">
        <v>1004</v>
      </c>
      <c r="E933" t="s">
        <v>3957</v>
      </c>
      <c r="F933" t="s">
        <v>1755</v>
      </c>
      <c r="G933" t="str">
        <f>CONCATENATE(Master_Packing_Database[[#This Row],[Exp '#]],Master_Packing_Database[[#This Row],[Batch '#]])</f>
        <v>2271st-</v>
      </c>
      <c r="H933" t="s">
        <v>3958</v>
      </c>
      <c r="I933" t="s">
        <v>115</v>
      </c>
      <c r="J933" t="s">
        <v>366</v>
      </c>
      <c r="K933" t="s">
        <v>3578</v>
      </c>
      <c r="L933" t="s">
        <v>975</v>
      </c>
      <c r="M933" t="s">
        <v>975</v>
      </c>
      <c r="N933" t="s">
        <v>3959</v>
      </c>
      <c r="O933" t="s">
        <v>3960</v>
      </c>
      <c r="V933" t="s">
        <v>32</v>
      </c>
      <c r="X933" t="s">
        <v>3938</v>
      </c>
      <c r="Z933" t="s">
        <v>3939</v>
      </c>
      <c r="AE933" t="s">
        <v>3938</v>
      </c>
      <c r="AG933" t="s">
        <v>1303</v>
      </c>
      <c r="AI933" t="s">
        <v>29</v>
      </c>
      <c r="AK933" t="s">
        <v>3940</v>
      </c>
      <c r="AL933" t="s">
        <v>3152</v>
      </c>
      <c r="AN933">
        <v>0</v>
      </c>
      <c r="AO933" t="s">
        <v>1834</v>
      </c>
      <c r="AP933" t="s">
        <v>1834</v>
      </c>
      <c r="AQ933">
        <v>0</v>
      </c>
      <c r="AR933" t="s">
        <v>1758</v>
      </c>
    </row>
    <row r="934" spans="1:44" x14ac:dyDescent="0.25">
      <c r="A934" t="s">
        <v>3141</v>
      </c>
      <c r="D934" t="s">
        <v>44</v>
      </c>
      <c r="E934" t="s">
        <v>3961</v>
      </c>
      <c r="F934" t="s">
        <v>1755</v>
      </c>
      <c r="G934" t="str">
        <f>CONCATENATE(Master_Packing_Database[[#This Row],[Exp '#]],Master_Packing_Database[[#This Row],[Batch '#]])</f>
        <v>2253rd-</v>
      </c>
      <c r="H934" t="s">
        <v>3962</v>
      </c>
      <c r="I934" t="s">
        <v>696</v>
      </c>
      <c r="J934" t="s">
        <v>366</v>
      </c>
      <c r="K934" t="s">
        <v>3796</v>
      </c>
      <c r="L934" t="s">
        <v>116</v>
      </c>
      <c r="M934" t="s">
        <v>1016</v>
      </c>
      <c r="N934" t="s">
        <v>3963</v>
      </c>
      <c r="O934" t="s">
        <v>3964</v>
      </c>
      <c r="V934" t="s">
        <v>32</v>
      </c>
      <c r="X934" t="s">
        <v>3938</v>
      </c>
      <c r="Z934" t="s">
        <v>3939</v>
      </c>
      <c r="AE934" t="s">
        <v>3938</v>
      </c>
      <c r="AG934" t="s">
        <v>1303</v>
      </c>
      <c r="AI934" t="s">
        <v>29</v>
      </c>
      <c r="AK934" t="s">
        <v>3940</v>
      </c>
      <c r="AL934" t="s">
        <v>3152</v>
      </c>
      <c r="AN934">
        <v>0</v>
      </c>
      <c r="AO934" t="s">
        <v>1834</v>
      </c>
      <c r="AP934" t="s">
        <v>1834</v>
      </c>
      <c r="AQ934">
        <v>0</v>
      </c>
      <c r="AR934" t="s">
        <v>1758</v>
      </c>
    </row>
    <row r="935" spans="1:44" x14ac:dyDescent="0.25">
      <c r="A935" t="s">
        <v>3141</v>
      </c>
      <c r="D935" t="s">
        <v>154</v>
      </c>
      <c r="E935" t="s">
        <v>322</v>
      </c>
      <c r="F935" t="s">
        <v>1755</v>
      </c>
      <c r="G935" t="str">
        <f>CONCATENATE(Master_Packing_Database[[#This Row],[Exp '#]],Master_Packing_Database[[#This Row],[Batch '#]])</f>
        <v>2272nd-</v>
      </c>
      <c r="H935" t="s">
        <v>323</v>
      </c>
      <c r="I935" t="s">
        <v>120</v>
      </c>
      <c r="J935" t="s">
        <v>117</v>
      </c>
      <c r="K935" t="s">
        <v>3727</v>
      </c>
      <c r="L935" t="s">
        <v>975</v>
      </c>
      <c r="M935" t="s">
        <v>975</v>
      </c>
      <c r="N935" t="s">
        <v>324</v>
      </c>
      <c r="O935" t="s">
        <v>325</v>
      </c>
      <c r="V935" t="s">
        <v>32</v>
      </c>
      <c r="X935" t="s">
        <v>3965</v>
      </c>
      <c r="Z935" t="s">
        <v>3966</v>
      </c>
      <c r="AE935" t="s">
        <v>3965</v>
      </c>
      <c r="AG935" t="s">
        <v>1303</v>
      </c>
      <c r="AI935" t="s">
        <v>29</v>
      </c>
      <c r="AK935" t="s">
        <v>3967</v>
      </c>
      <c r="AL935" t="s">
        <v>3152</v>
      </c>
      <c r="AN935">
        <v>0</v>
      </c>
      <c r="AO935" t="s">
        <v>1834</v>
      </c>
      <c r="AP935" t="s">
        <v>1834</v>
      </c>
      <c r="AQ935">
        <v>0</v>
      </c>
      <c r="AR935" t="s">
        <v>1758</v>
      </c>
    </row>
    <row r="936" spans="1:44" x14ac:dyDescent="0.25">
      <c r="A936" t="s">
        <v>3141</v>
      </c>
      <c r="D936" t="s">
        <v>330</v>
      </c>
      <c r="E936" t="s">
        <v>3968</v>
      </c>
      <c r="F936" t="s">
        <v>1755</v>
      </c>
      <c r="G936" t="str">
        <f>CONCATENATE(Master_Packing_Database[[#This Row],[Exp '#]],Master_Packing_Database[[#This Row],[Batch '#]])</f>
        <v>2299th-</v>
      </c>
      <c r="H936" t="s">
        <v>3969</v>
      </c>
      <c r="I936" t="s">
        <v>3887</v>
      </c>
      <c r="J936" t="s">
        <v>366</v>
      </c>
      <c r="K936" t="s">
        <v>3970</v>
      </c>
      <c r="L936" t="s">
        <v>599</v>
      </c>
      <c r="M936" t="s">
        <v>599</v>
      </c>
      <c r="N936" t="s">
        <v>3971</v>
      </c>
      <c r="O936" t="s">
        <v>3972</v>
      </c>
      <c r="V936" t="s">
        <v>32</v>
      </c>
      <c r="X936" t="s">
        <v>3973</v>
      </c>
      <c r="Z936" t="s">
        <v>3974</v>
      </c>
      <c r="AE936" t="s">
        <v>3973</v>
      </c>
      <c r="AG936" t="s">
        <v>1303</v>
      </c>
      <c r="AI936" t="s">
        <v>29</v>
      </c>
      <c r="AK936" t="s">
        <v>3975</v>
      </c>
      <c r="AL936" t="s">
        <v>3152</v>
      </c>
      <c r="AN936">
        <v>0</v>
      </c>
      <c r="AO936" t="s">
        <v>1834</v>
      </c>
      <c r="AP936" t="s">
        <v>1834</v>
      </c>
      <c r="AQ936">
        <v>0</v>
      </c>
      <c r="AR936" t="s">
        <v>1758</v>
      </c>
    </row>
    <row r="937" spans="1:44" x14ac:dyDescent="0.25">
      <c r="A937" t="s">
        <v>3141</v>
      </c>
      <c r="D937" t="s">
        <v>293</v>
      </c>
      <c r="E937" t="s">
        <v>292</v>
      </c>
      <c r="F937" t="s">
        <v>761</v>
      </c>
      <c r="G937" t="str">
        <f>CONCATENATE(Master_Packing_Database[[#This Row],[Exp '#]],Master_Packing_Database[[#This Row],[Batch '#]])</f>
        <v>2258th1st</v>
      </c>
      <c r="H937" t="s">
        <v>3976</v>
      </c>
      <c r="I937" t="s">
        <v>295</v>
      </c>
      <c r="J937" t="s">
        <v>117</v>
      </c>
      <c r="K937" t="s">
        <v>1042</v>
      </c>
      <c r="L937" t="s">
        <v>599</v>
      </c>
      <c r="M937" t="s">
        <v>599</v>
      </c>
      <c r="N937" t="s">
        <v>3977</v>
      </c>
      <c r="O937" t="s">
        <v>3978</v>
      </c>
      <c r="V937" t="s">
        <v>32</v>
      </c>
      <c r="X937" t="s">
        <v>3979</v>
      </c>
      <c r="Z937" t="s">
        <v>3980</v>
      </c>
      <c r="AE937" t="s">
        <v>3979</v>
      </c>
      <c r="AG937" t="s">
        <v>1303</v>
      </c>
      <c r="AI937" t="s">
        <v>29</v>
      </c>
      <c r="AK937" t="s">
        <v>3975</v>
      </c>
      <c r="AL937" t="s">
        <v>3152</v>
      </c>
      <c r="AN937">
        <v>0</v>
      </c>
      <c r="AO937" t="s">
        <v>1834</v>
      </c>
      <c r="AP937" t="s">
        <v>1834</v>
      </c>
      <c r="AQ937">
        <v>0</v>
      </c>
      <c r="AR937" t="s">
        <v>1758</v>
      </c>
    </row>
    <row r="938" spans="1:44" x14ac:dyDescent="0.25">
      <c r="A938" t="s">
        <v>3141</v>
      </c>
      <c r="D938" t="s">
        <v>137</v>
      </c>
      <c r="E938" t="s">
        <v>136</v>
      </c>
      <c r="F938" t="s">
        <v>761</v>
      </c>
      <c r="G938" t="str">
        <f>CONCATENATE(Master_Packing_Database[[#This Row],[Exp '#]],Master_Packing_Database[[#This Row],[Batch '#]])</f>
        <v>2206th1st</v>
      </c>
      <c r="H938" t="s">
        <v>3981</v>
      </c>
      <c r="I938" t="s">
        <v>139</v>
      </c>
      <c r="J938" t="s">
        <v>366</v>
      </c>
      <c r="K938" t="s">
        <v>1147</v>
      </c>
      <c r="L938" t="s">
        <v>116</v>
      </c>
      <c r="M938" t="s">
        <v>116</v>
      </c>
      <c r="N938" t="s">
        <v>3046</v>
      </c>
      <c r="O938" t="s">
        <v>3982</v>
      </c>
      <c r="V938" t="s">
        <v>3983</v>
      </c>
      <c r="X938" t="s">
        <v>3984</v>
      </c>
      <c r="Y938" t="s">
        <v>3092</v>
      </c>
      <c r="AB938" t="s">
        <v>3231</v>
      </c>
      <c r="AE938" t="s">
        <v>1755</v>
      </c>
      <c r="AI938" t="s">
        <v>29</v>
      </c>
      <c r="AK938" t="s">
        <v>3985</v>
      </c>
      <c r="AL938" t="s">
        <v>3152</v>
      </c>
      <c r="AN938">
        <v>0</v>
      </c>
      <c r="AO938" t="s">
        <v>1834</v>
      </c>
      <c r="AP938" t="s">
        <v>1834</v>
      </c>
      <c r="AQ938">
        <v>0</v>
      </c>
      <c r="AR938" t="s">
        <v>1835</v>
      </c>
    </row>
    <row r="939" spans="1:44" x14ac:dyDescent="0.25">
      <c r="A939" t="s">
        <v>3141</v>
      </c>
      <c r="D939" t="s">
        <v>3747</v>
      </c>
      <c r="E939" t="s">
        <v>3986</v>
      </c>
      <c r="F939" t="s">
        <v>761</v>
      </c>
      <c r="G939" t="str">
        <f>CONCATENATE(Master_Packing_Database[[#This Row],[Exp '#]],Master_Packing_Database[[#This Row],[Batch '#]])</f>
        <v>2281st1st</v>
      </c>
      <c r="H939" t="s">
        <v>3987</v>
      </c>
      <c r="I939" t="s">
        <v>3157</v>
      </c>
      <c r="J939" t="s">
        <v>117</v>
      </c>
      <c r="K939" t="s">
        <v>3227</v>
      </c>
      <c r="L939" t="s">
        <v>835</v>
      </c>
      <c r="M939" t="s">
        <v>835</v>
      </c>
      <c r="N939" t="s">
        <v>3988</v>
      </c>
      <c r="O939" t="s">
        <v>3989</v>
      </c>
      <c r="V939" t="s">
        <v>3990</v>
      </c>
      <c r="X939" t="s">
        <v>3091</v>
      </c>
      <c r="Y939" t="s">
        <v>912</v>
      </c>
      <c r="Z939" t="s">
        <v>655</v>
      </c>
      <c r="AB939" t="s">
        <v>3991</v>
      </c>
      <c r="AE939" t="s">
        <v>3091</v>
      </c>
      <c r="AG939" t="s">
        <v>1303</v>
      </c>
      <c r="AI939" t="s">
        <v>29</v>
      </c>
      <c r="AK939" t="s">
        <v>3992</v>
      </c>
      <c r="AL939" t="s">
        <v>3152</v>
      </c>
      <c r="AN939">
        <v>0</v>
      </c>
      <c r="AO939" t="s">
        <v>1834</v>
      </c>
      <c r="AP939" t="s">
        <v>1834</v>
      </c>
      <c r="AQ939">
        <v>0</v>
      </c>
      <c r="AR939" t="s">
        <v>1758</v>
      </c>
    </row>
    <row r="940" spans="1:44" x14ac:dyDescent="0.25">
      <c r="A940" t="s">
        <v>3141</v>
      </c>
      <c r="D940" t="s">
        <v>1135</v>
      </c>
      <c r="E940" t="s">
        <v>3993</v>
      </c>
      <c r="F940" t="s">
        <v>761</v>
      </c>
      <c r="G940" t="str">
        <f>CONCATENATE(Master_Packing_Database[[#This Row],[Exp '#]],Master_Packing_Database[[#This Row],[Batch '#]])</f>
        <v>2260th1st</v>
      </c>
      <c r="H940" t="s">
        <v>3994</v>
      </c>
      <c r="I940" t="s">
        <v>156</v>
      </c>
      <c r="J940" t="s">
        <v>117</v>
      </c>
      <c r="K940" t="s">
        <v>3173</v>
      </c>
      <c r="L940" t="s">
        <v>975</v>
      </c>
      <c r="M940" t="s">
        <v>975</v>
      </c>
      <c r="N940" t="s">
        <v>3995</v>
      </c>
      <c r="O940" t="s">
        <v>3996</v>
      </c>
      <c r="V940" t="s">
        <v>3990</v>
      </c>
      <c r="X940" t="s">
        <v>3997</v>
      </c>
      <c r="Y940" t="s">
        <v>3263</v>
      </c>
      <c r="Z940" t="s">
        <v>3998</v>
      </c>
      <c r="AB940" t="s">
        <v>3991</v>
      </c>
      <c r="AE940" t="s">
        <v>3997</v>
      </c>
      <c r="AG940" t="s">
        <v>1303</v>
      </c>
      <c r="AI940" t="s">
        <v>29</v>
      </c>
      <c r="AK940" t="s">
        <v>3999</v>
      </c>
      <c r="AL940" t="s">
        <v>3152</v>
      </c>
      <c r="AN940">
        <v>0</v>
      </c>
      <c r="AO940" t="s">
        <v>1834</v>
      </c>
      <c r="AP940" t="s">
        <v>1834</v>
      </c>
      <c r="AQ940">
        <v>0</v>
      </c>
      <c r="AR940" t="s">
        <v>1758</v>
      </c>
    </row>
    <row r="941" spans="1:44" x14ac:dyDescent="0.25">
      <c r="A941" t="s">
        <v>3141</v>
      </c>
      <c r="D941" t="s">
        <v>293</v>
      </c>
      <c r="E941" t="s">
        <v>4000</v>
      </c>
      <c r="F941" t="s">
        <v>761</v>
      </c>
      <c r="G941" t="str">
        <f>CONCATENATE(Master_Packing_Database[[#This Row],[Exp '#]],Master_Packing_Database[[#This Row],[Batch '#]])</f>
        <v>2261st1st</v>
      </c>
      <c r="H941" t="s">
        <v>4001</v>
      </c>
      <c r="I941" t="s">
        <v>156</v>
      </c>
      <c r="J941" t="s">
        <v>117</v>
      </c>
      <c r="K941" t="s">
        <v>3796</v>
      </c>
      <c r="L941" t="s">
        <v>599</v>
      </c>
      <c r="M941" t="s">
        <v>599</v>
      </c>
      <c r="N941" t="s">
        <v>4002</v>
      </c>
      <c r="O941" t="s">
        <v>4003</v>
      </c>
      <c r="V941" t="s">
        <v>4004</v>
      </c>
      <c r="X941" t="s">
        <v>4005</v>
      </c>
      <c r="Y941" t="s">
        <v>1030</v>
      </c>
      <c r="Z941" t="s">
        <v>4006</v>
      </c>
      <c r="AB941" t="s">
        <v>3091</v>
      </c>
      <c r="AE941" t="s">
        <v>4005</v>
      </c>
      <c r="AG941" t="s">
        <v>1303</v>
      </c>
      <c r="AI941" t="s">
        <v>29</v>
      </c>
      <c r="AK941" t="s">
        <v>4007</v>
      </c>
      <c r="AL941" t="s">
        <v>3152</v>
      </c>
      <c r="AN941">
        <v>0</v>
      </c>
      <c r="AO941" t="s">
        <v>1834</v>
      </c>
      <c r="AP941" t="s">
        <v>1834</v>
      </c>
      <c r="AQ941">
        <v>0</v>
      </c>
      <c r="AR941" t="s">
        <v>1758</v>
      </c>
    </row>
    <row r="942" spans="1:44" x14ac:dyDescent="0.25">
      <c r="A942" t="s">
        <v>3141</v>
      </c>
      <c r="D942" t="s">
        <v>293</v>
      </c>
      <c r="E942" t="s">
        <v>292</v>
      </c>
      <c r="F942" t="s">
        <v>422</v>
      </c>
      <c r="G942" t="str">
        <f>CONCATENATE(Master_Packing_Database[[#This Row],[Exp '#]],Master_Packing_Database[[#This Row],[Batch '#]])</f>
        <v>2258th2nd</v>
      </c>
      <c r="H942" t="s">
        <v>4008</v>
      </c>
      <c r="I942" t="s">
        <v>295</v>
      </c>
      <c r="J942" t="s">
        <v>117</v>
      </c>
      <c r="K942" t="s">
        <v>3227</v>
      </c>
      <c r="L942" t="s">
        <v>599</v>
      </c>
      <c r="M942" t="s">
        <v>599</v>
      </c>
      <c r="N942" t="s">
        <v>4009</v>
      </c>
      <c r="O942" t="s">
        <v>4010</v>
      </c>
      <c r="V942" t="s">
        <v>4004</v>
      </c>
      <c r="X942" t="s">
        <v>4011</v>
      </c>
      <c r="Y942" t="s">
        <v>3430</v>
      </c>
      <c r="Z942" t="s">
        <v>4012</v>
      </c>
      <c r="AB942" t="s">
        <v>3091</v>
      </c>
      <c r="AE942" t="s">
        <v>4011</v>
      </c>
      <c r="AG942" t="s">
        <v>1303</v>
      </c>
      <c r="AI942" t="s">
        <v>29</v>
      </c>
      <c r="AK942" t="s">
        <v>4007</v>
      </c>
      <c r="AL942" t="s">
        <v>3152</v>
      </c>
      <c r="AN942">
        <v>0</v>
      </c>
      <c r="AO942" t="s">
        <v>1834</v>
      </c>
      <c r="AP942" t="s">
        <v>1834</v>
      </c>
      <c r="AQ942">
        <v>0</v>
      </c>
      <c r="AR942" t="s">
        <v>1758</v>
      </c>
    </row>
    <row r="943" spans="1:44" x14ac:dyDescent="0.25">
      <c r="A943" t="s">
        <v>3141</v>
      </c>
      <c r="D943" t="s">
        <v>293</v>
      </c>
      <c r="E943" t="s">
        <v>4000</v>
      </c>
      <c r="F943" t="s">
        <v>422</v>
      </c>
      <c r="G943" t="str">
        <f>CONCATENATE(Master_Packing_Database[[#This Row],[Exp '#]],Master_Packing_Database[[#This Row],[Batch '#]])</f>
        <v>2261st2nd</v>
      </c>
      <c r="H943" t="s">
        <v>4013</v>
      </c>
      <c r="I943" t="s">
        <v>156</v>
      </c>
      <c r="J943" t="s">
        <v>117</v>
      </c>
      <c r="K943" t="s">
        <v>3796</v>
      </c>
      <c r="L943" t="s">
        <v>599</v>
      </c>
      <c r="M943" t="s">
        <v>599</v>
      </c>
      <c r="N943" t="s">
        <v>4014</v>
      </c>
      <c r="O943" t="s">
        <v>4015</v>
      </c>
      <c r="V943" t="s">
        <v>4016</v>
      </c>
      <c r="X943" t="s">
        <v>4017</v>
      </c>
      <c r="Y943" t="s">
        <v>376</v>
      </c>
      <c r="Z943" t="s">
        <v>4018</v>
      </c>
      <c r="AB943" t="s">
        <v>4004</v>
      </c>
      <c r="AE943" t="s">
        <v>4017</v>
      </c>
      <c r="AG943" t="s">
        <v>1303</v>
      </c>
      <c r="AI943" t="s">
        <v>29</v>
      </c>
      <c r="AK943" t="s">
        <v>4019</v>
      </c>
      <c r="AL943" t="s">
        <v>3152</v>
      </c>
      <c r="AN943">
        <v>0</v>
      </c>
      <c r="AO943" t="s">
        <v>1834</v>
      </c>
      <c r="AP943" t="s">
        <v>1834</v>
      </c>
      <c r="AQ943">
        <v>0</v>
      </c>
      <c r="AR943" t="s">
        <v>1758</v>
      </c>
    </row>
    <row r="944" spans="1:44" x14ac:dyDescent="0.25">
      <c r="A944" t="s">
        <v>3141</v>
      </c>
      <c r="D944" t="s">
        <v>293</v>
      </c>
      <c r="E944" t="s">
        <v>292</v>
      </c>
      <c r="F944" t="s">
        <v>142</v>
      </c>
      <c r="G944" t="str">
        <f>CONCATENATE(Master_Packing_Database[[#This Row],[Exp '#]],Master_Packing_Database[[#This Row],[Batch '#]])</f>
        <v>2258th3rd</v>
      </c>
      <c r="H944" t="s">
        <v>4020</v>
      </c>
      <c r="I944" t="s">
        <v>295</v>
      </c>
      <c r="J944" t="s">
        <v>117</v>
      </c>
      <c r="K944" t="s">
        <v>3227</v>
      </c>
      <c r="L944" t="s">
        <v>116</v>
      </c>
      <c r="M944" t="s">
        <v>116</v>
      </c>
      <c r="N944" t="s">
        <v>4021</v>
      </c>
      <c r="O944" t="s">
        <v>4022</v>
      </c>
      <c r="V944" t="s">
        <v>4016</v>
      </c>
      <c r="X944" t="s">
        <v>4023</v>
      </c>
      <c r="Y944" t="s">
        <v>1425</v>
      </c>
      <c r="Z944" t="s">
        <v>576</v>
      </c>
      <c r="AB944" t="s">
        <v>4004</v>
      </c>
      <c r="AE944" t="s">
        <v>4023</v>
      </c>
      <c r="AG944" t="s">
        <v>1303</v>
      </c>
      <c r="AI944" t="s">
        <v>29</v>
      </c>
      <c r="AK944" t="s">
        <v>4024</v>
      </c>
      <c r="AL944" t="s">
        <v>3152</v>
      </c>
      <c r="AN944">
        <v>0</v>
      </c>
      <c r="AO944" t="s">
        <v>1834</v>
      </c>
      <c r="AP944" t="s">
        <v>1834</v>
      </c>
      <c r="AQ944">
        <v>0</v>
      </c>
      <c r="AR944" t="s">
        <v>1758</v>
      </c>
    </row>
    <row r="945" spans="1:44" x14ac:dyDescent="0.25">
      <c r="A945" t="s">
        <v>3141</v>
      </c>
      <c r="D945" t="s">
        <v>3680</v>
      </c>
      <c r="E945" t="s">
        <v>4025</v>
      </c>
      <c r="F945" t="s">
        <v>1755</v>
      </c>
      <c r="G945" t="str">
        <f>CONCATENATE(Master_Packing_Database[[#This Row],[Exp '#]],Master_Packing_Database[[#This Row],[Batch '#]])</f>
        <v>2267th-</v>
      </c>
      <c r="H945" t="s">
        <v>4026</v>
      </c>
      <c r="I945" t="s">
        <v>2622</v>
      </c>
      <c r="J945" t="s">
        <v>117</v>
      </c>
      <c r="K945" t="s">
        <v>4027</v>
      </c>
      <c r="L945" t="s">
        <v>116</v>
      </c>
      <c r="M945" t="s">
        <v>116</v>
      </c>
      <c r="N945" t="s">
        <v>4028</v>
      </c>
      <c r="O945" t="s">
        <v>4029</v>
      </c>
      <c r="V945" t="s">
        <v>4016</v>
      </c>
      <c r="X945" t="s">
        <v>4023</v>
      </c>
      <c r="Y945" t="s">
        <v>1425</v>
      </c>
      <c r="Z945" t="s">
        <v>576</v>
      </c>
      <c r="AB945" t="s">
        <v>4004</v>
      </c>
      <c r="AE945" t="s">
        <v>4023</v>
      </c>
      <c r="AG945" t="s">
        <v>1303</v>
      </c>
      <c r="AI945" t="s">
        <v>29</v>
      </c>
      <c r="AK945" t="s">
        <v>4024</v>
      </c>
      <c r="AL945" t="s">
        <v>3152</v>
      </c>
      <c r="AN945">
        <v>0</v>
      </c>
      <c r="AO945" t="s">
        <v>1834</v>
      </c>
      <c r="AP945" t="s">
        <v>1834</v>
      </c>
      <c r="AQ945">
        <v>0</v>
      </c>
      <c r="AR945" t="s">
        <v>1758</v>
      </c>
    </row>
    <row r="946" spans="1:44" x14ac:dyDescent="0.25">
      <c r="A946" t="s">
        <v>3141</v>
      </c>
      <c r="D946" t="s">
        <v>3603</v>
      </c>
      <c r="E946" t="s">
        <v>3946</v>
      </c>
      <c r="F946" t="s">
        <v>422</v>
      </c>
      <c r="G946" t="str">
        <f>CONCATENATE(Master_Packing_Database[[#This Row],[Exp '#]],Master_Packing_Database[[#This Row],[Batch '#]])</f>
        <v>2228th2nd</v>
      </c>
      <c r="H946" t="s">
        <v>4030</v>
      </c>
      <c r="I946" t="s">
        <v>4031</v>
      </c>
      <c r="J946" t="s">
        <v>117</v>
      </c>
      <c r="K946" t="s">
        <v>3949</v>
      </c>
      <c r="L946" t="s">
        <v>116</v>
      </c>
      <c r="M946" t="s">
        <v>116</v>
      </c>
      <c r="N946" t="s">
        <v>416</v>
      </c>
      <c r="O946" t="s">
        <v>4032</v>
      </c>
      <c r="V946" t="s">
        <v>4016</v>
      </c>
      <c r="X946" t="s">
        <v>4023</v>
      </c>
      <c r="Y946" t="s">
        <v>1425</v>
      </c>
      <c r="Z946" t="s">
        <v>576</v>
      </c>
      <c r="AB946" t="s">
        <v>4004</v>
      </c>
      <c r="AE946" t="s">
        <v>4023</v>
      </c>
      <c r="AG946" t="s">
        <v>1303</v>
      </c>
      <c r="AI946" t="s">
        <v>29</v>
      </c>
      <c r="AK946" t="s">
        <v>4033</v>
      </c>
      <c r="AL946" t="s">
        <v>3152</v>
      </c>
      <c r="AN946">
        <v>0</v>
      </c>
      <c r="AO946" t="s">
        <v>1834</v>
      </c>
      <c r="AP946" t="s">
        <v>1834</v>
      </c>
      <c r="AQ946">
        <v>0</v>
      </c>
      <c r="AR946" t="s">
        <v>1758</v>
      </c>
    </row>
    <row r="947" spans="1:44" x14ac:dyDescent="0.25">
      <c r="A947" t="s">
        <v>3141</v>
      </c>
      <c r="D947" t="s">
        <v>1135</v>
      </c>
      <c r="E947" t="s">
        <v>4034</v>
      </c>
      <c r="F947" t="s">
        <v>1755</v>
      </c>
      <c r="G947" t="str">
        <f>CONCATENATE(Master_Packing_Database[[#This Row],[Exp '#]],Master_Packing_Database[[#This Row],[Batch '#]])</f>
        <v>2259th-</v>
      </c>
      <c r="H947" t="s">
        <v>4035</v>
      </c>
      <c r="I947" t="s">
        <v>295</v>
      </c>
      <c r="J947" t="s">
        <v>117</v>
      </c>
      <c r="K947" t="s">
        <v>3426</v>
      </c>
      <c r="L947" t="s">
        <v>544</v>
      </c>
      <c r="M947" t="s">
        <v>544</v>
      </c>
      <c r="N947" t="s">
        <v>4036</v>
      </c>
      <c r="O947" t="s">
        <v>4037</v>
      </c>
      <c r="V947" t="s">
        <v>4016</v>
      </c>
      <c r="X947" t="s">
        <v>4038</v>
      </c>
      <c r="Y947" t="s">
        <v>2564</v>
      </c>
      <c r="Z947" t="s">
        <v>4039</v>
      </c>
      <c r="AB947" t="s">
        <v>4004</v>
      </c>
      <c r="AE947" t="s">
        <v>4040</v>
      </c>
      <c r="AG947" t="s">
        <v>599</v>
      </c>
      <c r="AI947" t="s">
        <v>29</v>
      </c>
      <c r="AK947" t="s">
        <v>4033</v>
      </c>
      <c r="AL947" t="s">
        <v>3152</v>
      </c>
      <c r="AN947">
        <v>0</v>
      </c>
      <c r="AO947" t="s">
        <v>1834</v>
      </c>
      <c r="AP947" t="s">
        <v>1834</v>
      </c>
      <c r="AQ947">
        <v>0</v>
      </c>
      <c r="AR947" t="s">
        <v>1758</v>
      </c>
    </row>
    <row r="948" spans="1:44" x14ac:dyDescent="0.25">
      <c r="A948" t="s">
        <v>3141</v>
      </c>
      <c r="D948" t="s">
        <v>3747</v>
      </c>
      <c r="E948" t="s">
        <v>3986</v>
      </c>
      <c r="F948" t="s">
        <v>422</v>
      </c>
      <c r="G948" t="str">
        <f>CONCATENATE(Master_Packing_Database[[#This Row],[Exp '#]],Master_Packing_Database[[#This Row],[Batch '#]])</f>
        <v>2281st2nd</v>
      </c>
      <c r="H948" t="s">
        <v>4041</v>
      </c>
      <c r="I948" t="s">
        <v>3157</v>
      </c>
      <c r="J948" t="s">
        <v>117</v>
      </c>
      <c r="K948" t="s">
        <v>4042</v>
      </c>
      <c r="L948" t="s">
        <v>835</v>
      </c>
      <c r="M948" t="s">
        <v>835</v>
      </c>
      <c r="N948" t="s">
        <v>4043</v>
      </c>
      <c r="O948" t="s">
        <v>4044</v>
      </c>
      <c r="V948" t="s">
        <v>4016</v>
      </c>
      <c r="X948" t="s">
        <v>4045</v>
      </c>
      <c r="Y948" t="s">
        <v>849</v>
      </c>
      <c r="Z948" t="s">
        <v>4039</v>
      </c>
      <c r="AB948" t="s">
        <v>4004</v>
      </c>
      <c r="AE948" t="s">
        <v>4040</v>
      </c>
      <c r="AG948" t="s">
        <v>116</v>
      </c>
      <c r="AI948" t="s">
        <v>29</v>
      </c>
      <c r="AK948" t="s">
        <v>4033</v>
      </c>
      <c r="AL948" t="s">
        <v>3152</v>
      </c>
      <c r="AN948">
        <v>0</v>
      </c>
      <c r="AO948" t="s">
        <v>1834</v>
      </c>
      <c r="AP948" t="s">
        <v>1834</v>
      </c>
      <c r="AQ948">
        <v>0</v>
      </c>
      <c r="AR948" t="s">
        <v>1758</v>
      </c>
    </row>
    <row r="949" spans="1:44" x14ac:dyDescent="0.25">
      <c r="A949" t="s">
        <v>3141</v>
      </c>
      <c r="D949" t="s">
        <v>44</v>
      </c>
      <c r="E949" t="s">
        <v>301</v>
      </c>
      <c r="F949" t="s">
        <v>761</v>
      </c>
      <c r="G949" t="str">
        <f>CONCATENATE(Master_Packing_Database[[#This Row],[Exp '#]],Master_Packing_Database[[#This Row],[Batch '#]])</f>
        <v>2265th1st</v>
      </c>
      <c r="H949" t="s">
        <v>1336</v>
      </c>
      <c r="I949" t="s">
        <v>4046</v>
      </c>
      <c r="J949" t="s">
        <v>117</v>
      </c>
      <c r="K949" t="s">
        <v>1042</v>
      </c>
      <c r="L949" t="s">
        <v>151</v>
      </c>
      <c r="M949" t="s">
        <v>151</v>
      </c>
      <c r="N949" t="s">
        <v>4047</v>
      </c>
      <c r="O949" t="s">
        <v>4048</v>
      </c>
      <c r="V949" t="s">
        <v>4016</v>
      </c>
      <c r="X949" t="s">
        <v>4045</v>
      </c>
      <c r="Y949" t="s">
        <v>849</v>
      </c>
      <c r="Z949" t="s">
        <v>4039</v>
      </c>
      <c r="AB949" t="s">
        <v>4004</v>
      </c>
      <c r="AE949" t="s">
        <v>4040</v>
      </c>
      <c r="AG949" t="s">
        <v>116</v>
      </c>
      <c r="AI949" t="s">
        <v>29</v>
      </c>
      <c r="AK949" t="s">
        <v>4033</v>
      </c>
      <c r="AL949" t="s">
        <v>3152</v>
      </c>
      <c r="AN949">
        <v>0</v>
      </c>
      <c r="AO949" t="s">
        <v>1834</v>
      </c>
      <c r="AP949" t="s">
        <v>1834</v>
      </c>
      <c r="AQ949">
        <v>0</v>
      </c>
      <c r="AR949" t="s">
        <v>1758</v>
      </c>
    </row>
    <row r="950" spans="1:44" x14ac:dyDescent="0.25">
      <c r="A950" t="s">
        <v>3141</v>
      </c>
      <c r="D950" t="s">
        <v>330</v>
      </c>
      <c r="E950" t="s">
        <v>4049</v>
      </c>
      <c r="F950" t="s">
        <v>1755</v>
      </c>
      <c r="G950" t="str">
        <f>CONCATENATE(Master_Packing_Database[[#This Row],[Exp '#]],Master_Packing_Database[[#This Row],[Batch '#]])</f>
        <v>2296th-</v>
      </c>
      <c r="H950" t="s">
        <v>4050</v>
      </c>
      <c r="I950" t="s">
        <v>3408</v>
      </c>
      <c r="J950" t="s">
        <v>117</v>
      </c>
      <c r="K950" t="s">
        <v>4051</v>
      </c>
      <c r="L950" t="s">
        <v>116</v>
      </c>
      <c r="M950" t="s">
        <v>116</v>
      </c>
      <c r="N950" t="s">
        <v>930</v>
      </c>
      <c r="O950" t="s">
        <v>4052</v>
      </c>
      <c r="V950" t="s">
        <v>4016</v>
      </c>
      <c r="X950" t="s">
        <v>4045</v>
      </c>
      <c r="Y950" t="s">
        <v>849</v>
      </c>
      <c r="Z950" t="s">
        <v>4039</v>
      </c>
      <c r="AB950" t="s">
        <v>4004</v>
      </c>
      <c r="AE950" t="s">
        <v>4040</v>
      </c>
      <c r="AG950" t="s">
        <v>116</v>
      </c>
      <c r="AI950" t="s">
        <v>29</v>
      </c>
      <c r="AK950" t="s">
        <v>4033</v>
      </c>
      <c r="AL950" t="s">
        <v>3152</v>
      </c>
      <c r="AN950">
        <v>0</v>
      </c>
      <c r="AO950" t="s">
        <v>1834</v>
      </c>
      <c r="AP950" t="s">
        <v>1834</v>
      </c>
      <c r="AQ950">
        <v>0</v>
      </c>
      <c r="AR950" t="s">
        <v>1758</v>
      </c>
    </row>
    <row r="951" spans="1:44" x14ac:dyDescent="0.25">
      <c r="A951" t="s">
        <v>3141</v>
      </c>
      <c r="D951" t="s">
        <v>44</v>
      </c>
      <c r="E951" t="s">
        <v>4053</v>
      </c>
      <c r="F951" t="s">
        <v>1755</v>
      </c>
      <c r="G951" t="str">
        <f>CONCATENATE(Master_Packing_Database[[#This Row],[Exp '#]],Master_Packing_Database[[#This Row],[Batch '#]])</f>
        <v>2262nd-</v>
      </c>
      <c r="H951" t="s">
        <v>4054</v>
      </c>
      <c r="I951" t="s">
        <v>156</v>
      </c>
      <c r="J951" t="s">
        <v>117</v>
      </c>
      <c r="K951" t="s">
        <v>4055</v>
      </c>
      <c r="L951" t="s">
        <v>116</v>
      </c>
      <c r="M951" t="s">
        <v>116</v>
      </c>
      <c r="N951" t="s">
        <v>4056</v>
      </c>
      <c r="O951" t="s">
        <v>4057</v>
      </c>
      <c r="V951" t="s">
        <v>4016</v>
      </c>
      <c r="X951" t="s">
        <v>4058</v>
      </c>
      <c r="Y951" t="s">
        <v>2640</v>
      </c>
      <c r="Z951" t="s">
        <v>4039</v>
      </c>
      <c r="AB951" t="s">
        <v>4004</v>
      </c>
      <c r="AE951" t="s">
        <v>4040</v>
      </c>
      <c r="AG951" t="s">
        <v>3385</v>
      </c>
      <c r="AI951" t="s">
        <v>29</v>
      </c>
      <c r="AK951" t="s">
        <v>4033</v>
      </c>
      <c r="AL951" t="s">
        <v>3152</v>
      </c>
      <c r="AN951">
        <v>0</v>
      </c>
      <c r="AO951" t="s">
        <v>1834</v>
      </c>
      <c r="AP951" t="s">
        <v>1834</v>
      </c>
      <c r="AQ951">
        <v>0</v>
      </c>
      <c r="AR951" t="s">
        <v>1758</v>
      </c>
    </row>
    <row r="952" spans="1:44" x14ac:dyDescent="0.25">
      <c r="A952" t="s">
        <v>3141</v>
      </c>
      <c r="D952" t="s">
        <v>258</v>
      </c>
      <c r="E952" t="s">
        <v>257</v>
      </c>
      <c r="F952" t="s">
        <v>1755</v>
      </c>
      <c r="G952" t="str">
        <f>CONCATENATE(Master_Packing_Database[[#This Row],[Exp '#]],Master_Packing_Database[[#This Row],[Batch '#]])</f>
        <v>2254th-</v>
      </c>
      <c r="H952" t="s">
        <v>259</v>
      </c>
      <c r="I952" t="s">
        <v>260</v>
      </c>
      <c r="J952" t="s">
        <v>366</v>
      </c>
      <c r="K952" t="s">
        <v>3531</v>
      </c>
      <c r="L952" t="s">
        <v>116</v>
      </c>
      <c r="M952" t="s">
        <v>116</v>
      </c>
      <c r="N952" t="s">
        <v>261</v>
      </c>
      <c r="O952" t="s">
        <v>262</v>
      </c>
      <c r="V952" t="s">
        <v>4011</v>
      </c>
      <c r="X952" t="s">
        <v>4059</v>
      </c>
      <c r="Y952" t="s">
        <v>1054</v>
      </c>
      <c r="Z952" t="s">
        <v>4060</v>
      </c>
      <c r="AB952" t="s">
        <v>4061</v>
      </c>
      <c r="AE952" t="s">
        <v>4059</v>
      </c>
      <c r="AG952" t="s">
        <v>1303</v>
      </c>
      <c r="AI952" t="s">
        <v>29</v>
      </c>
      <c r="AK952" t="s">
        <v>4062</v>
      </c>
      <c r="AL952" t="s">
        <v>3152</v>
      </c>
      <c r="AN952">
        <v>0</v>
      </c>
      <c r="AO952" t="s">
        <v>1834</v>
      </c>
      <c r="AP952" t="s">
        <v>1834</v>
      </c>
      <c r="AQ952">
        <v>0</v>
      </c>
      <c r="AR952" t="s">
        <v>1758</v>
      </c>
    </row>
    <row r="953" spans="1:44" x14ac:dyDescent="0.25">
      <c r="A953" t="s">
        <v>3141</v>
      </c>
      <c r="D953" t="s">
        <v>293</v>
      </c>
      <c r="E953" t="s">
        <v>292</v>
      </c>
      <c r="F953" t="s">
        <v>4063</v>
      </c>
      <c r="G953" t="str">
        <f>CONCATENATE(Master_Packing_Database[[#This Row],[Exp '#]],Master_Packing_Database[[#This Row],[Batch '#]])</f>
        <v>2258th4th</v>
      </c>
      <c r="H953" t="s">
        <v>4064</v>
      </c>
      <c r="I953" t="s">
        <v>295</v>
      </c>
      <c r="J953" t="s">
        <v>117</v>
      </c>
      <c r="K953" t="s">
        <v>3227</v>
      </c>
      <c r="L953" t="s">
        <v>116</v>
      </c>
      <c r="M953" t="s">
        <v>116</v>
      </c>
      <c r="N953" t="s">
        <v>4065</v>
      </c>
      <c r="O953" t="s">
        <v>4066</v>
      </c>
      <c r="V953" t="s">
        <v>4011</v>
      </c>
      <c r="X953" t="s">
        <v>4059</v>
      </c>
      <c r="Y953" t="s">
        <v>1054</v>
      </c>
      <c r="Z953" t="s">
        <v>4060</v>
      </c>
      <c r="AB953" t="s">
        <v>4061</v>
      </c>
      <c r="AE953" t="s">
        <v>4059</v>
      </c>
      <c r="AG953" t="s">
        <v>1303</v>
      </c>
      <c r="AI953" t="s">
        <v>29</v>
      </c>
      <c r="AK953" t="s">
        <v>4062</v>
      </c>
      <c r="AL953" t="s">
        <v>3152</v>
      </c>
      <c r="AN953">
        <v>0</v>
      </c>
      <c r="AO953" t="s">
        <v>1834</v>
      </c>
      <c r="AP953" t="s">
        <v>1834</v>
      </c>
      <c r="AQ953">
        <v>0</v>
      </c>
      <c r="AR953" t="s">
        <v>1758</v>
      </c>
    </row>
    <row r="954" spans="1:44" x14ac:dyDescent="0.25">
      <c r="A954" t="s">
        <v>3141</v>
      </c>
      <c r="D954" t="s">
        <v>293</v>
      </c>
      <c r="E954" t="s">
        <v>292</v>
      </c>
      <c r="F954" t="s">
        <v>3343</v>
      </c>
      <c r="G954" t="str">
        <f>CONCATENATE(Master_Packing_Database[[#This Row],[Exp '#]],Master_Packing_Database[[#This Row],[Batch '#]])</f>
        <v>2258th5th</v>
      </c>
      <c r="H954" t="s">
        <v>294</v>
      </c>
      <c r="I954" t="s">
        <v>295</v>
      </c>
      <c r="J954" t="s">
        <v>117</v>
      </c>
      <c r="K954" t="s">
        <v>3227</v>
      </c>
      <c r="L954" t="s">
        <v>116</v>
      </c>
      <c r="M954" t="s">
        <v>116</v>
      </c>
      <c r="N954" t="s">
        <v>296</v>
      </c>
      <c r="O954" t="s">
        <v>297</v>
      </c>
      <c r="V954" t="s">
        <v>4011</v>
      </c>
      <c r="X954" t="s">
        <v>4067</v>
      </c>
      <c r="Y954" t="s">
        <v>522</v>
      </c>
      <c r="Z954" t="s">
        <v>4068</v>
      </c>
      <c r="AB954" t="s">
        <v>4061</v>
      </c>
      <c r="AE954" t="s">
        <v>4067</v>
      </c>
      <c r="AG954" t="s">
        <v>1303</v>
      </c>
      <c r="AI954" t="s">
        <v>29</v>
      </c>
      <c r="AK954" t="s">
        <v>4069</v>
      </c>
      <c r="AL954" t="s">
        <v>3152</v>
      </c>
      <c r="AN954">
        <v>0</v>
      </c>
      <c r="AO954" t="s">
        <v>1834</v>
      </c>
      <c r="AP954" t="s">
        <v>1834</v>
      </c>
      <c r="AQ954">
        <v>0</v>
      </c>
      <c r="AR954" t="s">
        <v>1758</v>
      </c>
    </row>
    <row r="955" spans="1:44" x14ac:dyDescent="0.25">
      <c r="A955" t="s">
        <v>3141</v>
      </c>
      <c r="D955" t="s">
        <v>4070</v>
      </c>
      <c r="E955" t="s">
        <v>539</v>
      </c>
      <c r="F955" t="s">
        <v>1755</v>
      </c>
      <c r="G955" t="str">
        <f>CONCATENATE(Master_Packing_Database[[#This Row],[Exp '#]],Master_Packing_Database[[#This Row],[Batch '#]])</f>
        <v>2315th-</v>
      </c>
      <c r="H955" t="s">
        <v>540</v>
      </c>
      <c r="I955" t="s">
        <v>120</v>
      </c>
      <c r="J955" t="s">
        <v>117</v>
      </c>
      <c r="K955" t="s">
        <v>3757</v>
      </c>
      <c r="L955" t="s">
        <v>116</v>
      </c>
      <c r="M955" t="s">
        <v>116</v>
      </c>
      <c r="N955" t="s">
        <v>4071</v>
      </c>
      <c r="O955" t="s">
        <v>4072</v>
      </c>
      <c r="V955" t="s">
        <v>32</v>
      </c>
      <c r="X955" t="s">
        <v>4073</v>
      </c>
      <c r="Z955" t="s">
        <v>4074</v>
      </c>
      <c r="AB955" t="s">
        <v>4075</v>
      </c>
      <c r="AE955" t="s">
        <v>4073</v>
      </c>
      <c r="AG955" t="s">
        <v>1303</v>
      </c>
      <c r="AI955" t="s">
        <v>29</v>
      </c>
      <c r="AK955" t="s">
        <v>4076</v>
      </c>
      <c r="AL955" t="s">
        <v>3152</v>
      </c>
      <c r="AN955">
        <v>0</v>
      </c>
      <c r="AO955" t="s">
        <v>1834</v>
      </c>
      <c r="AP955" t="s">
        <v>1834</v>
      </c>
      <c r="AQ955">
        <v>0</v>
      </c>
      <c r="AR955" t="s">
        <v>1758</v>
      </c>
    </row>
    <row r="956" spans="1:44" x14ac:dyDescent="0.25">
      <c r="A956" t="s">
        <v>3141</v>
      </c>
      <c r="D956" t="s">
        <v>330</v>
      </c>
      <c r="E956" t="s">
        <v>329</v>
      </c>
      <c r="F956" t="s">
        <v>1755</v>
      </c>
      <c r="G956" t="str">
        <f>CONCATENATE(Master_Packing_Database[[#This Row],[Exp '#]],Master_Packing_Database[[#This Row],[Batch '#]])</f>
        <v>2273rd-</v>
      </c>
      <c r="H956" t="s">
        <v>331</v>
      </c>
      <c r="I956" t="s">
        <v>332</v>
      </c>
      <c r="J956" t="s">
        <v>117</v>
      </c>
      <c r="K956" t="s">
        <v>3173</v>
      </c>
      <c r="L956" t="s">
        <v>599</v>
      </c>
      <c r="M956" t="s">
        <v>116</v>
      </c>
      <c r="N956" t="s">
        <v>4077</v>
      </c>
      <c r="O956" t="s">
        <v>1058</v>
      </c>
      <c r="V956" t="s">
        <v>32</v>
      </c>
      <c r="X956" t="s">
        <v>4073</v>
      </c>
      <c r="Z956" t="s">
        <v>4074</v>
      </c>
      <c r="AB956" t="s">
        <v>3070</v>
      </c>
      <c r="AE956" t="s">
        <v>4073</v>
      </c>
      <c r="AG956" t="s">
        <v>1303</v>
      </c>
      <c r="AI956" t="s">
        <v>29</v>
      </c>
      <c r="AK956" t="s">
        <v>4076</v>
      </c>
      <c r="AL956" t="s">
        <v>3152</v>
      </c>
      <c r="AN956">
        <v>0</v>
      </c>
      <c r="AO956" t="s">
        <v>1834</v>
      </c>
      <c r="AP956" t="s">
        <v>1834</v>
      </c>
      <c r="AQ956">
        <v>0</v>
      </c>
      <c r="AR956" t="s">
        <v>1758</v>
      </c>
    </row>
    <row r="957" spans="1:44" x14ac:dyDescent="0.25">
      <c r="A957" t="s">
        <v>3141</v>
      </c>
      <c r="D957" t="s">
        <v>137</v>
      </c>
      <c r="E957" t="s">
        <v>136</v>
      </c>
      <c r="F957" t="s">
        <v>422</v>
      </c>
      <c r="G957" t="str">
        <f>CONCATENATE(Master_Packing_Database[[#This Row],[Exp '#]],Master_Packing_Database[[#This Row],[Batch '#]])</f>
        <v>2206th2nd</v>
      </c>
      <c r="H957" t="s">
        <v>138</v>
      </c>
      <c r="I957" t="s">
        <v>139</v>
      </c>
      <c r="J957" t="s">
        <v>366</v>
      </c>
      <c r="K957" t="s">
        <v>4078</v>
      </c>
      <c r="L957" t="s">
        <v>116</v>
      </c>
      <c r="M957" t="s">
        <v>599</v>
      </c>
      <c r="N957" t="s">
        <v>4079</v>
      </c>
      <c r="O957" t="s">
        <v>140</v>
      </c>
      <c r="V957" t="s">
        <v>3068</v>
      </c>
      <c r="X957" t="s">
        <v>4080</v>
      </c>
      <c r="Y957" t="s">
        <v>4081</v>
      </c>
      <c r="Z957" t="s">
        <v>4082</v>
      </c>
      <c r="AE957" t="s">
        <v>4080</v>
      </c>
      <c r="AG957" t="s">
        <v>4083</v>
      </c>
      <c r="AI957" t="s">
        <v>29</v>
      </c>
      <c r="AK957" t="s">
        <v>4084</v>
      </c>
      <c r="AL957" t="s">
        <v>3152</v>
      </c>
      <c r="AN957">
        <v>0</v>
      </c>
      <c r="AO957" t="s">
        <v>1834</v>
      </c>
      <c r="AP957" t="s">
        <v>1834</v>
      </c>
      <c r="AQ957">
        <v>0</v>
      </c>
      <c r="AR957" t="s">
        <v>1758</v>
      </c>
    </row>
    <row r="958" spans="1:44" x14ac:dyDescent="0.25">
      <c r="A958" t="s">
        <v>3141</v>
      </c>
      <c r="D958" t="s">
        <v>1029</v>
      </c>
      <c r="E958" t="s">
        <v>444</v>
      </c>
      <c r="F958" t="s">
        <v>1755</v>
      </c>
      <c r="G958" t="str">
        <f>CONCATENATE(Master_Packing_Database[[#This Row],[Exp '#]],Master_Packing_Database[[#This Row],[Batch '#]])</f>
        <v>2297th-</v>
      </c>
      <c r="H958" t="s">
        <v>446</v>
      </c>
      <c r="I958" t="s">
        <v>156</v>
      </c>
      <c r="J958" t="s">
        <v>117</v>
      </c>
      <c r="K958" t="s">
        <v>3173</v>
      </c>
      <c r="L958" t="s">
        <v>975</v>
      </c>
      <c r="M958" t="s">
        <v>975</v>
      </c>
      <c r="N958" t="s">
        <v>4085</v>
      </c>
      <c r="O958" t="s">
        <v>4086</v>
      </c>
      <c r="V958" t="s">
        <v>4067</v>
      </c>
      <c r="X958" t="s">
        <v>4087</v>
      </c>
      <c r="Y958" t="s">
        <v>376</v>
      </c>
      <c r="Z958" t="s">
        <v>4088</v>
      </c>
      <c r="AB958" t="s">
        <v>4089</v>
      </c>
      <c r="AE958" t="s">
        <v>4087</v>
      </c>
      <c r="AG958" t="s">
        <v>1303</v>
      </c>
      <c r="AI958" t="s">
        <v>29</v>
      </c>
      <c r="AK958" t="s">
        <v>4090</v>
      </c>
      <c r="AL958" t="s">
        <v>3152</v>
      </c>
      <c r="AN958">
        <v>0</v>
      </c>
      <c r="AO958" t="s">
        <v>1834</v>
      </c>
      <c r="AP958" t="s">
        <v>1834</v>
      </c>
      <c r="AQ958">
        <v>0</v>
      </c>
      <c r="AR958" t="s">
        <v>1758</v>
      </c>
    </row>
    <row r="959" spans="1:44" x14ac:dyDescent="0.25">
      <c r="A959" t="s">
        <v>3141</v>
      </c>
      <c r="D959" t="s">
        <v>1032</v>
      </c>
      <c r="E959" t="s">
        <v>552</v>
      </c>
      <c r="F959" t="s">
        <v>1755</v>
      </c>
      <c r="G959" t="str">
        <f>CONCATENATE(Master_Packing_Database[[#This Row],[Exp '#]],Master_Packing_Database[[#This Row],[Batch '#]])</f>
        <v>2318th-</v>
      </c>
      <c r="H959" t="s">
        <v>554</v>
      </c>
      <c r="I959" t="s">
        <v>497</v>
      </c>
      <c r="J959" t="s">
        <v>366</v>
      </c>
      <c r="K959" t="s">
        <v>4091</v>
      </c>
      <c r="L959" t="s">
        <v>599</v>
      </c>
      <c r="M959" t="s">
        <v>116</v>
      </c>
      <c r="N959" t="s">
        <v>4092</v>
      </c>
      <c r="O959" t="s">
        <v>352</v>
      </c>
      <c r="V959" t="s">
        <v>4093</v>
      </c>
      <c r="X959" t="s">
        <v>4094</v>
      </c>
      <c r="Y959" t="s">
        <v>1072</v>
      </c>
      <c r="Z959" t="s">
        <v>4095</v>
      </c>
      <c r="AB959" t="s">
        <v>4096</v>
      </c>
      <c r="AE959" t="s">
        <v>4094</v>
      </c>
      <c r="AG959" t="s">
        <v>1303</v>
      </c>
      <c r="AI959" t="s">
        <v>29</v>
      </c>
      <c r="AK959" t="s">
        <v>4097</v>
      </c>
      <c r="AL959" t="s">
        <v>3152</v>
      </c>
      <c r="AN959">
        <v>0</v>
      </c>
      <c r="AO959" t="s">
        <v>1834</v>
      </c>
      <c r="AP959" t="s">
        <v>1834</v>
      </c>
      <c r="AQ959">
        <v>0</v>
      </c>
      <c r="AR959" t="s">
        <v>1758</v>
      </c>
    </row>
    <row r="960" spans="1:44" x14ac:dyDescent="0.25">
      <c r="A960" t="s">
        <v>3141</v>
      </c>
      <c r="D960" t="s">
        <v>137</v>
      </c>
      <c r="E960" t="s">
        <v>494</v>
      </c>
      <c r="F960" t="s">
        <v>1755</v>
      </c>
      <c r="G960" t="str">
        <f>CONCATENATE(Master_Packing_Database[[#This Row],[Exp '#]],Master_Packing_Database[[#This Row],[Batch '#]])</f>
        <v>2307th-</v>
      </c>
      <c r="H960" t="s">
        <v>496</v>
      </c>
      <c r="I960" t="s">
        <v>497</v>
      </c>
      <c r="J960" t="s">
        <v>366</v>
      </c>
      <c r="K960" t="s">
        <v>3426</v>
      </c>
      <c r="L960" t="s">
        <v>975</v>
      </c>
      <c r="M960" t="s">
        <v>116</v>
      </c>
      <c r="N960" t="s">
        <v>4098</v>
      </c>
      <c r="O960" t="s">
        <v>4099</v>
      </c>
      <c r="V960" t="s">
        <v>4093</v>
      </c>
      <c r="X960" t="s">
        <v>4094</v>
      </c>
      <c r="Y960" t="s">
        <v>1072</v>
      </c>
      <c r="Z960" t="s">
        <v>4095</v>
      </c>
      <c r="AB960" t="s">
        <v>4096</v>
      </c>
      <c r="AE960" t="s">
        <v>4094</v>
      </c>
      <c r="AG960" t="s">
        <v>1303</v>
      </c>
      <c r="AI960" t="s">
        <v>29</v>
      </c>
      <c r="AK960" t="s">
        <v>4097</v>
      </c>
      <c r="AL960" t="s">
        <v>3152</v>
      </c>
      <c r="AN960">
        <v>0</v>
      </c>
      <c r="AO960" t="s">
        <v>1834</v>
      </c>
      <c r="AP960" t="s">
        <v>1834</v>
      </c>
      <c r="AQ960">
        <v>0</v>
      </c>
      <c r="AR960" t="s">
        <v>1758</v>
      </c>
    </row>
    <row r="961" spans="1:44" x14ac:dyDescent="0.25">
      <c r="A961" t="s">
        <v>3141</v>
      </c>
      <c r="D961" t="s">
        <v>3603</v>
      </c>
      <c r="E961" t="s">
        <v>377</v>
      </c>
      <c r="F961" t="s">
        <v>1755</v>
      </c>
      <c r="G961" t="str">
        <f>CONCATENATE(Master_Packing_Database[[#This Row],[Exp '#]],Master_Packing_Database[[#This Row],[Batch '#]])</f>
        <v>2283rd-</v>
      </c>
      <c r="H961" t="s">
        <v>379</v>
      </c>
      <c r="I961" t="s">
        <v>4100</v>
      </c>
      <c r="J961" t="s">
        <v>117</v>
      </c>
      <c r="K961" t="s">
        <v>3248</v>
      </c>
      <c r="L961" t="s">
        <v>116</v>
      </c>
      <c r="M961" t="s">
        <v>116</v>
      </c>
      <c r="N961" t="s">
        <v>381</v>
      </c>
      <c r="O961" t="s">
        <v>382</v>
      </c>
      <c r="V961" t="s">
        <v>4067</v>
      </c>
      <c r="X961" t="s">
        <v>4101</v>
      </c>
      <c r="Y961" t="s">
        <v>3412</v>
      </c>
      <c r="Z961" t="s">
        <v>4095</v>
      </c>
      <c r="AB961" t="s">
        <v>4102</v>
      </c>
      <c r="AE961" t="s">
        <v>4094</v>
      </c>
      <c r="AG961" t="s">
        <v>2654</v>
      </c>
      <c r="AI961" t="s">
        <v>29</v>
      </c>
      <c r="AK961" t="s">
        <v>4097</v>
      </c>
      <c r="AL961" t="s">
        <v>3152</v>
      </c>
      <c r="AN961">
        <v>0</v>
      </c>
      <c r="AO961" t="s">
        <v>1834</v>
      </c>
      <c r="AP961" t="s">
        <v>1834</v>
      </c>
      <c r="AQ961">
        <v>0</v>
      </c>
      <c r="AR961" t="s">
        <v>1758</v>
      </c>
    </row>
    <row r="962" spans="1:44" x14ac:dyDescent="0.25">
      <c r="A962" t="s">
        <v>3141</v>
      </c>
      <c r="D962" t="s">
        <v>1103</v>
      </c>
      <c r="E962" t="s">
        <v>457</v>
      </c>
      <c r="F962" t="s">
        <v>1755</v>
      </c>
      <c r="G962" t="str">
        <f>CONCATENATE(Master_Packing_Database[[#This Row],[Exp '#]],Master_Packing_Database[[#This Row],[Batch '#]])</f>
        <v>2302nd-</v>
      </c>
      <c r="H962" t="s">
        <v>459</v>
      </c>
      <c r="I962" t="s">
        <v>460</v>
      </c>
      <c r="J962" t="s">
        <v>117</v>
      </c>
      <c r="K962" t="s">
        <v>4103</v>
      </c>
      <c r="L962" t="s">
        <v>975</v>
      </c>
      <c r="M962" t="s">
        <v>116</v>
      </c>
      <c r="N962" t="s">
        <v>461</v>
      </c>
      <c r="O962" t="s">
        <v>462</v>
      </c>
      <c r="V962" t="s">
        <v>4067</v>
      </c>
      <c r="X962" t="s">
        <v>4104</v>
      </c>
      <c r="Y962" t="s">
        <v>2569</v>
      </c>
      <c r="Z962" t="s">
        <v>4105</v>
      </c>
      <c r="AB962" t="s">
        <v>4106</v>
      </c>
      <c r="AE962" t="s">
        <v>4104</v>
      </c>
      <c r="AG962" t="s">
        <v>1303</v>
      </c>
      <c r="AI962" t="s">
        <v>29</v>
      </c>
      <c r="AK962" t="s">
        <v>4107</v>
      </c>
      <c r="AL962" t="s">
        <v>3152</v>
      </c>
      <c r="AN962">
        <v>0</v>
      </c>
      <c r="AO962" t="s">
        <v>1834</v>
      </c>
      <c r="AP962" t="s">
        <v>1834</v>
      </c>
      <c r="AQ962">
        <v>0</v>
      </c>
      <c r="AR962" t="s">
        <v>1758</v>
      </c>
    </row>
    <row r="963" spans="1:44" x14ac:dyDescent="0.25">
      <c r="A963" t="s">
        <v>3141</v>
      </c>
      <c r="D963" t="s">
        <v>330</v>
      </c>
      <c r="E963" t="s">
        <v>463</v>
      </c>
      <c r="F963" t="s">
        <v>1755</v>
      </c>
      <c r="G963" t="str">
        <f>CONCATENATE(Master_Packing_Database[[#This Row],[Exp '#]],Master_Packing_Database[[#This Row],[Batch '#]])</f>
        <v>2303rd-</v>
      </c>
      <c r="H963" t="s">
        <v>465</v>
      </c>
      <c r="I963" t="s">
        <v>466</v>
      </c>
      <c r="J963" t="s">
        <v>117</v>
      </c>
      <c r="K963" t="s">
        <v>4078</v>
      </c>
      <c r="L963" t="s">
        <v>116</v>
      </c>
      <c r="M963" t="s">
        <v>116</v>
      </c>
      <c r="N963" t="s">
        <v>467</v>
      </c>
      <c r="O963" t="s">
        <v>468</v>
      </c>
      <c r="V963" t="s">
        <v>4087</v>
      </c>
      <c r="X963" t="s">
        <v>4108</v>
      </c>
      <c r="Y963" t="s">
        <v>3263</v>
      </c>
      <c r="Z963" t="s">
        <v>4109</v>
      </c>
      <c r="AB963" t="s">
        <v>4101</v>
      </c>
      <c r="AE963" t="s">
        <v>4108</v>
      </c>
      <c r="AG963" t="s">
        <v>1303</v>
      </c>
      <c r="AI963" t="s">
        <v>29</v>
      </c>
      <c r="AK963" t="s">
        <v>4107</v>
      </c>
      <c r="AL963" t="s">
        <v>3152</v>
      </c>
      <c r="AN963">
        <v>0</v>
      </c>
      <c r="AO963" t="s">
        <v>1834</v>
      </c>
      <c r="AP963" t="s">
        <v>1834</v>
      </c>
      <c r="AQ963">
        <v>0</v>
      </c>
      <c r="AR963" t="s">
        <v>1758</v>
      </c>
    </row>
    <row r="964" spans="1:44" x14ac:dyDescent="0.25">
      <c r="A964" t="s">
        <v>3141</v>
      </c>
      <c r="D964" t="s">
        <v>4110</v>
      </c>
      <c r="E964" t="s">
        <v>266</v>
      </c>
      <c r="F964" t="s">
        <v>761</v>
      </c>
      <c r="G964" t="str">
        <f>CONCATENATE(Master_Packing_Database[[#This Row],[Exp '#]],Master_Packing_Database[[#This Row],[Batch '#]])</f>
        <v>2255th1st</v>
      </c>
      <c r="H964" t="s">
        <v>4111</v>
      </c>
      <c r="I964" t="s">
        <v>269</v>
      </c>
      <c r="J964" t="s">
        <v>117</v>
      </c>
      <c r="K964" t="s">
        <v>4112</v>
      </c>
      <c r="L964" t="s">
        <v>116</v>
      </c>
      <c r="M964" t="s">
        <v>116</v>
      </c>
      <c r="N964" t="s">
        <v>4113</v>
      </c>
      <c r="O964" t="s">
        <v>4114</v>
      </c>
      <c r="V964" t="s">
        <v>4115</v>
      </c>
      <c r="X964" t="s">
        <v>4108</v>
      </c>
      <c r="Y964" t="s">
        <v>1030</v>
      </c>
      <c r="Z964" t="s">
        <v>4109</v>
      </c>
      <c r="AB964" t="s">
        <v>4101</v>
      </c>
      <c r="AE964" t="s">
        <v>4108</v>
      </c>
      <c r="AG964" t="s">
        <v>1303</v>
      </c>
      <c r="AI964" t="s">
        <v>29</v>
      </c>
      <c r="AK964" t="s">
        <v>4107</v>
      </c>
      <c r="AL964" t="s">
        <v>3152</v>
      </c>
      <c r="AN964">
        <v>0</v>
      </c>
      <c r="AO964" t="s">
        <v>1834</v>
      </c>
      <c r="AP964" t="s">
        <v>1834</v>
      </c>
      <c r="AQ964">
        <v>0</v>
      </c>
      <c r="AR964" t="s">
        <v>1758</v>
      </c>
    </row>
    <row r="965" spans="1:44" x14ac:dyDescent="0.25">
      <c r="A965" t="s">
        <v>3141</v>
      </c>
      <c r="D965" t="s">
        <v>4116</v>
      </c>
      <c r="E965" t="s">
        <v>384</v>
      </c>
      <c r="F965" t="s">
        <v>1755</v>
      </c>
      <c r="G965" t="str">
        <f>CONCATENATE(Master_Packing_Database[[#This Row],[Exp '#]],Master_Packing_Database[[#This Row],[Batch '#]])</f>
        <v>2284th-</v>
      </c>
      <c r="H965" t="s">
        <v>386</v>
      </c>
      <c r="I965" t="s">
        <v>387</v>
      </c>
      <c r="J965" t="s">
        <v>117</v>
      </c>
      <c r="K965" t="s">
        <v>4117</v>
      </c>
      <c r="L965" t="s">
        <v>116</v>
      </c>
      <c r="M965" t="s">
        <v>116</v>
      </c>
      <c r="N965" t="s">
        <v>4118</v>
      </c>
      <c r="O965" t="s">
        <v>388</v>
      </c>
      <c r="V965" t="s">
        <v>3071</v>
      </c>
      <c r="X965" t="s">
        <v>4119</v>
      </c>
      <c r="Y965" t="s">
        <v>4120</v>
      </c>
      <c r="Z965" t="s">
        <v>4121</v>
      </c>
      <c r="AB965" t="s">
        <v>4122</v>
      </c>
      <c r="AE965" t="s">
        <v>4119</v>
      </c>
      <c r="AG965" t="s">
        <v>1303</v>
      </c>
      <c r="AI965" t="s">
        <v>29</v>
      </c>
      <c r="AK965" t="s">
        <v>4123</v>
      </c>
      <c r="AL965" t="s">
        <v>3152</v>
      </c>
      <c r="AN965">
        <v>0</v>
      </c>
      <c r="AO965" t="s">
        <v>1834</v>
      </c>
      <c r="AP965" t="s">
        <v>1834</v>
      </c>
      <c r="AQ965">
        <v>0</v>
      </c>
      <c r="AR965" t="s">
        <v>1758</v>
      </c>
    </row>
    <row r="966" spans="1:44" x14ac:dyDescent="0.25">
      <c r="A966" t="s">
        <v>3141</v>
      </c>
      <c r="D966" t="s">
        <v>3747</v>
      </c>
      <c r="E966" t="s">
        <v>367</v>
      </c>
      <c r="F966" t="s">
        <v>1755</v>
      </c>
      <c r="G966" t="str">
        <f>CONCATENATE(Master_Packing_Database[[#This Row],[Exp '#]],Master_Packing_Database[[#This Row],[Batch '#]])</f>
        <v>2280th-</v>
      </c>
      <c r="H966" t="s">
        <v>369</v>
      </c>
      <c r="I966" t="s">
        <v>295</v>
      </c>
      <c r="J966" t="s">
        <v>117</v>
      </c>
      <c r="K966" t="s">
        <v>4124</v>
      </c>
      <c r="L966" t="s">
        <v>835</v>
      </c>
      <c r="M966" t="s">
        <v>835</v>
      </c>
      <c r="N966" t="s">
        <v>370</v>
      </c>
      <c r="O966" t="s">
        <v>371</v>
      </c>
      <c r="V966" t="s">
        <v>4115</v>
      </c>
      <c r="X966" t="s">
        <v>4119</v>
      </c>
      <c r="Y966" t="s">
        <v>849</v>
      </c>
      <c r="Z966" t="s">
        <v>4125</v>
      </c>
      <c r="AB966" t="s">
        <v>4122</v>
      </c>
      <c r="AE966" t="s">
        <v>4119</v>
      </c>
      <c r="AG966" t="s">
        <v>1303</v>
      </c>
      <c r="AI966" t="s">
        <v>29</v>
      </c>
      <c r="AK966" t="s">
        <v>4123</v>
      </c>
      <c r="AL966" t="s">
        <v>3152</v>
      </c>
      <c r="AN966">
        <v>0</v>
      </c>
      <c r="AO966" t="s">
        <v>1834</v>
      </c>
      <c r="AP966" t="s">
        <v>1834</v>
      </c>
      <c r="AQ966">
        <v>0</v>
      </c>
      <c r="AR966" t="s">
        <v>1758</v>
      </c>
    </row>
    <row r="967" spans="1:44" x14ac:dyDescent="0.25">
      <c r="A967" t="s">
        <v>3141</v>
      </c>
      <c r="D967" t="s">
        <v>1004</v>
      </c>
      <c r="E967" t="s">
        <v>681</v>
      </c>
      <c r="F967" t="s">
        <v>1755</v>
      </c>
      <c r="G967" t="str">
        <f>CONCATENATE(Master_Packing_Database[[#This Row],[Exp '#]],Master_Packing_Database[[#This Row],[Batch '#]])</f>
        <v>2340th-</v>
      </c>
      <c r="H967" t="s">
        <v>682</v>
      </c>
      <c r="I967" t="s">
        <v>683</v>
      </c>
      <c r="J967" t="s">
        <v>366</v>
      </c>
      <c r="K967" t="s">
        <v>1147</v>
      </c>
      <c r="L967" t="s">
        <v>912</v>
      </c>
      <c r="M967" t="s">
        <v>116</v>
      </c>
      <c r="N967" t="s">
        <v>684</v>
      </c>
      <c r="O967" t="s">
        <v>549</v>
      </c>
      <c r="V967" t="s">
        <v>32</v>
      </c>
      <c r="X967" t="s">
        <v>4126</v>
      </c>
      <c r="Z967" t="s">
        <v>4127</v>
      </c>
      <c r="AB967" t="s">
        <v>4128</v>
      </c>
      <c r="AE967" t="s">
        <v>4126</v>
      </c>
      <c r="AG967" t="s">
        <v>1303</v>
      </c>
      <c r="AI967" t="s">
        <v>29</v>
      </c>
      <c r="AK967" t="s">
        <v>4129</v>
      </c>
      <c r="AL967" t="s">
        <v>3152</v>
      </c>
      <c r="AN967">
        <v>0</v>
      </c>
      <c r="AO967" t="s">
        <v>1834</v>
      </c>
      <c r="AP967" t="s">
        <v>1834</v>
      </c>
      <c r="AQ967">
        <v>0</v>
      </c>
      <c r="AR967" t="s">
        <v>1758</v>
      </c>
    </row>
    <row r="968" spans="1:44" x14ac:dyDescent="0.25">
      <c r="A968" t="s">
        <v>3141</v>
      </c>
      <c r="D968" t="s">
        <v>1135</v>
      </c>
      <c r="E968" t="s">
        <v>693</v>
      </c>
      <c r="F968" t="s">
        <v>1755</v>
      </c>
      <c r="G968" t="str">
        <f>CONCATENATE(Master_Packing_Database[[#This Row],[Exp '#]],Master_Packing_Database[[#This Row],[Batch '#]])</f>
        <v>2342nd-</v>
      </c>
      <c r="H968" t="s">
        <v>695</v>
      </c>
      <c r="I968" t="s">
        <v>696</v>
      </c>
      <c r="J968" t="s">
        <v>366</v>
      </c>
      <c r="K968" t="s">
        <v>1042</v>
      </c>
      <c r="L968" t="s">
        <v>599</v>
      </c>
      <c r="M968" t="s">
        <v>970</v>
      </c>
      <c r="N968" t="s">
        <v>140</v>
      </c>
      <c r="O968" t="s">
        <v>697</v>
      </c>
      <c r="V968" t="s">
        <v>32</v>
      </c>
      <c r="X968" t="s">
        <v>4126</v>
      </c>
      <c r="Z968" t="s">
        <v>4127</v>
      </c>
      <c r="AB968" t="s">
        <v>4128</v>
      </c>
      <c r="AE968" t="s">
        <v>4126</v>
      </c>
      <c r="AG968" t="s">
        <v>1303</v>
      </c>
      <c r="AI968" t="s">
        <v>29</v>
      </c>
      <c r="AK968" t="s">
        <v>4129</v>
      </c>
      <c r="AL968" t="s">
        <v>3152</v>
      </c>
      <c r="AN968">
        <v>0</v>
      </c>
      <c r="AO968" t="s">
        <v>1834</v>
      </c>
      <c r="AP968" t="s">
        <v>1834</v>
      </c>
      <c r="AQ968">
        <v>0</v>
      </c>
      <c r="AR968" t="s">
        <v>1758</v>
      </c>
    </row>
    <row r="969" spans="1:44" x14ac:dyDescent="0.25">
      <c r="A969" t="s">
        <v>3141</v>
      </c>
      <c r="D969" t="s">
        <v>664</v>
      </c>
      <c r="E969" t="s">
        <v>663</v>
      </c>
      <c r="F969" t="s">
        <v>1755</v>
      </c>
      <c r="G969" t="str">
        <f>CONCATENATE(Master_Packing_Database[[#This Row],[Exp '#]],Master_Packing_Database[[#This Row],[Batch '#]])</f>
        <v>2338th-</v>
      </c>
      <c r="H969" t="s">
        <v>665</v>
      </c>
      <c r="I969" t="s">
        <v>497</v>
      </c>
      <c r="J969" t="s">
        <v>366</v>
      </c>
      <c r="K969" t="s">
        <v>4130</v>
      </c>
      <c r="L969" t="s">
        <v>835</v>
      </c>
      <c r="M969" t="s">
        <v>116</v>
      </c>
      <c r="N969" t="s">
        <v>666</v>
      </c>
      <c r="O969" t="s">
        <v>667</v>
      </c>
      <c r="V969" t="s">
        <v>32</v>
      </c>
      <c r="X969" t="s">
        <v>4126</v>
      </c>
      <c r="Z969" t="s">
        <v>4127</v>
      </c>
      <c r="AB969" t="s">
        <v>4128</v>
      </c>
      <c r="AE969" t="s">
        <v>4126</v>
      </c>
      <c r="AG969" t="s">
        <v>1303</v>
      </c>
      <c r="AI969" t="s">
        <v>29</v>
      </c>
      <c r="AK969" t="s">
        <v>4129</v>
      </c>
      <c r="AL969" t="s">
        <v>3152</v>
      </c>
      <c r="AN969">
        <v>0</v>
      </c>
      <c r="AO969" t="s">
        <v>1834</v>
      </c>
      <c r="AP969" t="s">
        <v>1834</v>
      </c>
      <c r="AQ969">
        <v>0</v>
      </c>
      <c r="AR969" t="s">
        <v>1758</v>
      </c>
    </row>
    <row r="970" spans="1:44" x14ac:dyDescent="0.25">
      <c r="A970" t="s">
        <v>3141</v>
      </c>
      <c r="D970" t="s">
        <v>44</v>
      </c>
      <c r="E970" t="s">
        <v>301</v>
      </c>
      <c r="F970" t="s">
        <v>142</v>
      </c>
      <c r="G970" t="str">
        <f>CONCATENATE(Master_Packing_Database[[#This Row],[Exp '#]],Master_Packing_Database[[#This Row],[Batch '#]])</f>
        <v>2265th3rd</v>
      </c>
      <c r="H970" t="s">
        <v>303</v>
      </c>
      <c r="I970" t="s">
        <v>304</v>
      </c>
      <c r="J970" t="s">
        <v>117</v>
      </c>
      <c r="K970" t="s">
        <v>3173</v>
      </c>
      <c r="L970" t="s">
        <v>1419</v>
      </c>
      <c r="M970" t="s">
        <v>912</v>
      </c>
      <c r="N970" t="s">
        <v>305</v>
      </c>
      <c r="O970" t="s">
        <v>306</v>
      </c>
      <c r="V970" t="s">
        <v>4067</v>
      </c>
      <c r="X970" t="s">
        <v>4126</v>
      </c>
      <c r="Y970" t="s">
        <v>391</v>
      </c>
      <c r="Z970" t="s">
        <v>4131</v>
      </c>
      <c r="AB970" t="s">
        <v>4128</v>
      </c>
      <c r="AE970" t="s">
        <v>4126</v>
      </c>
      <c r="AG970" t="s">
        <v>1303</v>
      </c>
      <c r="AI970" t="s">
        <v>29</v>
      </c>
      <c r="AK970" t="s">
        <v>4129</v>
      </c>
      <c r="AL970" t="s">
        <v>3152</v>
      </c>
      <c r="AN970">
        <v>0</v>
      </c>
      <c r="AO970" t="s">
        <v>1834</v>
      </c>
      <c r="AP970" t="s">
        <v>1834</v>
      </c>
      <c r="AQ970">
        <v>0</v>
      </c>
      <c r="AR970" t="s">
        <v>1758</v>
      </c>
    </row>
    <row r="971" spans="1:44" x14ac:dyDescent="0.25">
      <c r="A971" t="s">
        <v>3141</v>
      </c>
      <c r="D971" t="s">
        <v>4110</v>
      </c>
      <c r="E971" t="s">
        <v>646</v>
      </c>
      <c r="F971" t="s">
        <v>1755</v>
      </c>
      <c r="G971" t="str">
        <f>CONCATENATE(Master_Packing_Database[[#This Row],[Exp '#]],Master_Packing_Database[[#This Row],[Batch '#]])</f>
        <v>2335th-</v>
      </c>
      <c r="H971" t="s">
        <v>647</v>
      </c>
      <c r="I971" t="s">
        <v>156</v>
      </c>
      <c r="J971" t="s">
        <v>117</v>
      </c>
      <c r="K971" t="s">
        <v>3578</v>
      </c>
      <c r="L971" t="s">
        <v>599</v>
      </c>
      <c r="M971" t="s">
        <v>599</v>
      </c>
      <c r="N971" t="s">
        <v>648</v>
      </c>
      <c r="O971" t="s">
        <v>649</v>
      </c>
      <c r="V971" t="s">
        <v>32</v>
      </c>
      <c r="X971" t="s">
        <v>4132</v>
      </c>
      <c r="Z971" t="s">
        <v>4133</v>
      </c>
      <c r="AB971" t="s">
        <v>4134</v>
      </c>
      <c r="AE971" t="s">
        <v>4135</v>
      </c>
      <c r="AG971" t="s">
        <v>4136</v>
      </c>
      <c r="AI971" t="s">
        <v>29</v>
      </c>
      <c r="AK971" t="s">
        <v>4137</v>
      </c>
      <c r="AL971" t="s">
        <v>3152</v>
      </c>
      <c r="AN971">
        <v>0</v>
      </c>
      <c r="AO971" t="s">
        <v>1834</v>
      </c>
      <c r="AP971" t="s">
        <v>1834</v>
      </c>
      <c r="AQ971">
        <v>0</v>
      </c>
      <c r="AR971" t="s">
        <v>1758</v>
      </c>
    </row>
    <row r="972" spans="1:44" x14ac:dyDescent="0.25">
      <c r="A972" t="s">
        <v>3141</v>
      </c>
      <c r="D972" t="s">
        <v>154</v>
      </c>
      <c r="E972" t="s">
        <v>589</v>
      </c>
      <c r="F972" t="s">
        <v>1755</v>
      </c>
      <c r="G972" t="str">
        <f>CONCATENATE(Master_Packing_Database[[#This Row],[Exp '#]],Master_Packing_Database[[#This Row],[Batch '#]])</f>
        <v>2325th-</v>
      </c>
      <c r="H972" t="s">
        <v>591</v>
      </c>
      <c r="I972" t="s">
        <v>497</v>
      </c>
      <c r="J972" t="s">
        <v>366</v>
      </c>
      <c r="K972" t="s">
        <v>3796</v>
      </c>
      <c r="L972" t="s">
        <v>975</v>
      </c>
      <c r="M972" t="s">
        <v>116</v>
      </c>
      <c r="N972" t="s">
        <v>4138</v>
      </c>
      <c r="O972" t="s">
        <v>592</v>
      </c>
      <c r="V972" t="s">
        <v>4139</v>
      </c>
      <c r="X972" t="s">
        <v>4140</v>
      </c>
      <c r="Y972" t="s">
        <v>4141</v>
      </c>
      <c r="Z972" t="s">
        <v>3598</v>
      </c>
      <c r="AB972" t="s">
        <v>4142</v>
      </c>
      <c r="AE972" t="s">
        <v>4140</v>
      </c>
      <c r="AG972" t="s">
        <v>1303</v>
      </c>
      <c r="AI972" t="s">
        <v>29</v>
      </c>
      <c r="AK972" t="s">
        <v>4137</v>
      </c>
      <c r="AL972" t="s">
        <v>3152</v>
      </c>
      <c r="AN972">
        <v>0</v>
      </c>
      <c r="AO972" t="s">
        <v>1834</v>
      </c>
      <c r="AP972" t="s">
        <v>1834</v>
      </c>
      <c r="AQ972">
        <v>0</v>
      </c>
      <c r="AR972" t="s">
        <v>1758</v>
      </c>
    </row>
    <row r="973" spans="1:44" x14ac:dyDescent="0.25">
      <c r="A973" t="s">
        <v>3141</v>
      </c>
      <c r="D973" t="s">
        <v>4110</v>
      </c>
      <c r="E973" t="s">
        <v>266</v>
      </c>
      <c r="F973" t="s">
        <v>422</v>
      </c>
      <c r="G973" t="str">
        <f>CONCATENATE(Master_Packing_Database[[#This Row],[Exp '#]],Master_Packing_Database[[#This Row],[Batch '#]])</f>
        <v>2255th2nd</v>
      </c>
      <c r="H973" t="s">
        <v>4143</v>
      </c>
      <c r="I973" t="s">
        <v>269</v>
      </c>
      <c r="J973" t="s">
        <v>117</v>
      </c>
      <c r="K973" t="s">
        <v>3258</v>
      </c>
      <c r="L973" t="s">
        <v>116</v>
      </c>
      <c r="M973" t="s">
        <v>116</v>
      </c>
      <c r="N973" t="s">
        <v>4144</v>
      </c>
      <c r="O973" t="s">
        <v>4145</v>
      </c>
      <c r="V973" t="s">
        <v>4115</v>
      </c>
      <c r="X973" t="s">
        <v>4146</v>
      </c>
      <c r="Y973" t="s">
        <v>194</v>
      </c>
      <c r="Z973" t="s">
        <v>4147</v>
      </c>
      <c r="AB973" t="s">
        <v>4148</v>
      </c>
      <c r="AE973" t="s">
        <v>4146</v>
      </c>
      <c r="AG973" t="s">
        <v>1303</v>
      </c>
      <c r="AI973" t="s">
        <v>29</v>
      </c>
      <c r="AK973" t="s">
        <v>4149</v>
      </c>
      <c r="AL973" t="s">
        <v>3152</v>
      </c>
      <c r="AN973">
        <v>0</v>
      </c>
      <c r="AO973" t="s">
        <v>1834</v>
      </c>
      <c r="AP973" t="s">
        <v>1834</v>
      </c>
      <c r="AQ973">
        <v>0</v>
      </c>
      <c r="AR973" t="s">
        <v>1758</v>
      </c>
    </row>
    <row r="974" spans="1:44" x14ac:dyDescent="0.25">
      <c r="A974" t="s">
        <v>3141</v>
      </c>
      <c r="D974" t="s">
        <v>137</v>
      </c>
      <c r="E974" t="s">
        <v>790</v>
      </c>
      <c r="F974" t="s">
        <v>1755</v>
      </c>
      <c r="G974" t="str">
        <f>CONCATENATE(Master_Packing_Database[[#This Row],[Exp '#]],Master_Packing_Database[[#This Row],[Batch '#]])</f>
        <v>2363rd-</v>
      </c>
      <c r="H974" t="s">
        <v>792</v>
      </c>
      <c r="I974" t="s">
        <v>791</v>
      </c>
      <c r="J974" t="s">
        <v>117</v>
      </c>
      <c r="K974" t="s">
        <v>1042</v>
      </c>
      <c r="L974" t="s">
        <v>521</v>
      </c>
      <c r="M974" t="s">
        <v>116</v>
      </c>
      <c r="N974" t="s">
        <v>4150</v>
      </c>
      <c r="O974" t="s">
        <v>4151</v>
      </c>
      <c r="V974" t="s">
        <v>4152</v>
      </c>
      <c r="X974" t="s">
        <v>4153</v>
      </c>
      <c r="Y974" t="s">
        <v>116</v>
      </c>
      <c r="Z974" t="s">
        <v>4154</v>
      </c>
      <c r="AB974" t="s">
        <v>4155</v>
      </c>
      <c r="AE974" t="s">
        <v>4153</v>
      </c>
      <c r="AG974" t="s">
        <v>1303</v>
      </c>
      <c r="AI974" t="s">
        <v>29</v>
      </c>
      <c r="AK974" t="s">
        <v>4156</v>
      </c>
      <c r="AL974" t="s">
        <v>3152</v>
      </c>
      <c r="AN974">
        <v>0</v>
      </c>
      <c r="AO974" t="s">
        <v>1834</v>
      </c>
      <c r="AP974" t="s">
        <v>1834</v>
      </c>
      <c r="AQ974">
        <v>0</v>
      </c>
      <c r="AR974" t="s">
        <v>1758</v>
      </c>
    </row>
    <row r="975" spans="1:44" x14ac:dyDescent="0.25">
      <c r="A975" t="s">
        <v>3141</v>
      </c>
      <c r="D975" t="s">
        <v>917</v>
      </c>
      <c r="E975" t="s">
        <v>674</v>
      </c>
      <c r="F975" t="s">
        <v>1755</v>
      </c>
      <c r="G975" t="str">
        <f>CONCATENATE(Master_Packing_Database[[#This Row],[Exp '#]],Master_Packing_Database[[#This Row],[Batch '#]])</f>
        <v>2339th-</v>
      </c>
      <c r="H975" t="s">
        <v>675</v>
      </c>
      <c r="I975" t="s">
        <v>676</v>
      </c>
      <c r="J975" t="s">
        <v>117</v>
      </c>
      <c r="K975" t="s">
        <v>4157</v>
      </c>
      <c r="L975" t="s">
        <v>835</v>
      </c>
      <c r="M975" t="s">
        <v>116</v>
      </c>
      <c r="N975" t="s">
        <v>677</v>
      </c>
      <c r="O975" t="s">
        <v>678</v>
      </c>
      <c r="V975" t="s">
        <v>4158</v>
      </c>
      <c r="X975" t="s">
        <v>4153</v>
      </c>
      <c r="Y975" t="s">
        <v>975</v>
      </c>
      <c r="Z975" t="s">
        <v>4154</v>
      </c>
      <c r="AB975" t="s">
        <v>4155</v>
      </c>
      <c r="AE975" t="s">
        <v>4153</v>
      </c>
      <c r="AG975" t="s">
        <v>1303</v>
      </c>
      <c r="AI975" t="s">
        <v>29</v>
      </c>
      <c r="AK975" t="s">
        <v>4156</v>
      </c>
      <c r="AL975" t="s">
        <v>3152</v>
      </c>
      <c r="AN975">
        <v>0</v>
      </c>
      <c r="AO975" t="s">
        <v>1834</v>
      </c>
      <c r="AP975" t="s">
        <v>1834</v>
      </c>
      <c r="AQ975">
        <v>0</v>
      </c>
      <c r="AR975" t="s">
        <v>1758</v>
      </c>
    </row>
    <row r="976" spans="1:44" x14ac:dyDescent="0.25">
      <c r="A976" t="s">
        <v>3141</v>
      </c>
      <c r="D976" t="s">
        <v>44</v>
      </c>
      <c r="E976" t="s">
        <v>627</v>
      </c>
      <c r="F976" t="s">
        <v>1755</v>
      </c>
      <c r="G976" t="str">
        <f>CONCATENATE(Master_Packing_Database[[#This Row],[Exp '#]],Master_Packing_Database[[#This Row],[Batch '#]])</f>
        <v>2330th-</v>
      </c>
      <c r="H976" t="s">
        <v>569</v>
      </c>
      <c r="I976" t="s">
        <v>570</v>
      </c>
      <c r="J976" t="s">
        <v>4159</v>
      </c>
      <c r="K976" t="s">
        <v>4160</v>
      </c>
      <c r="L976" t="s">
        <v>1072</v>
      </c>
      <c r="M976" t="s">
        <v>835</v>
      </c>
      <c r="N976" t="s">
        <v>571</v>
      </c>
      <c r="O976" t="s">
        <v>572</v>
      </c>
      <c r="V976" t="s">
        <v>4152</v>
      </c>
      <c r="X976" t="s">
        <v>4153</v>
      </c>
      <c r="Y976" t="s">
        <v>116</v>
      </c>
      <c r="Z976" t="s">
        <v>4161</v>
      </c>
      <c r="AB976" t="s">
        <v>4155</v>
      </c>
      <c r="AE976" t="s">
        <v>4162</v>
      </c>
      <c r="AG976" t="s">
        <v>116</v>
      </c>
      <c r="AI976" t="s">
        <v>29</v>
      </c>
      <c r="AK976" t="s">
        <v>4156</v>
      </c>
      <c r="AL976" t="s">
        <v>3152</v>
      </c>
      <c r="AN976">
        <v>0</v>
      </c>
      <c r="AO976" t="s">
        <v>1834</v>
      </c>
      <c r="AP976" t="s">
        <v>1834</v>
      </c>
      <c r="AQ976">
        <v>0</v>
      </c>
      <c r="AR976" t="s">
        <v>1758</v>
      </c>
    </row>
    <row r="977" spans="1:44" x14ac:dyDescent="0.25">
      <c r="A977" t="s">
        <v>3141</v>
      </c>
      <c r="D977" t="s">
        <v>4163</v>
      </c>
      <c r="E977" t="s">
        <v>718</v>
      </c>
      <c r="F977" t="s">
        <v>1755</v>
      </c>
      <c r="G977" t="str">
        <f>CONCATENATE(Master_Packing_Database[[#This Row],[Exp '#]],Master_Packing_Database[[#This Row],[Batch '#]])</f>
        <v>2351st-</v>
      </c>
      <c r="H977" t="s">
        <v>4164</v>
      </c>
      <c r="I977" t="s">
        <v>4165</v>
      </c>
      <c r="J977" t="s">
        <v>366</v>
      </c>
      <c r="K977" t="s">
        <v>3426</v>
      </c>
      <c r="L977" t="s">
        <v>4166</v>
      </c>
      <c r="M977" t="s">
        <v>975</v>
      </c>
      <c r="N977" t="s">
        <v>4167</v>
      </c>
      <c r="O977" t="s">
        <v>3868</v>
      </c>
      <c r="V977" t="s">
        <v>4158</v>
      </c>
      <c r="X977" t="s">
        <v>4168</v>
      </c>
      <c r="Y977" t="s">
        <v>544</v>
      </c>
      <c r="Z977" t="s">
        <v>4169</v>
      </c>
      <c r="AB977" t="s">
        <v>4170</v>
      </c>
      <c r="AE977" t="s">
        <v>4168</v>
      </c>
      <c r="AG977" t="s">
        <v>1303</v>
      </c>
      <c r="AI977" t="s">
        <v>29</v>
      </c>
      <c r="AK977" t="s">
        <v>4156</v>
      </c>
      <c r="AL977" t="s">
        <v>3152</v>
      </c>
      <c r="AN977">
        <v>0</v>
      </c>
      <c r="AO977" t="s">
        <v>1834</v>
      </c>
      <c r="AP977" t="s">
        <v>1834</v>
      </c>
      <c r="AQ977">
        <v>0</v>
      </c>
      <c r="AR977" t="s">
        <v>1758</v>
      </c>
    </row>
    <row r="978" spans="1:44" x14ac:dyDescent="0.25">
      <c r="A978" t="s">
        <v>3141</v>
      </c>
      <c r="D978" t="s">
        <v>258</v>
      </c>
      <c r="E978" t="s">
        <v>715</v>
      </c>
      <c r="F978" t="s">
        <v>1755</v>
      </c>
      <c r="G978" t="str">
        <f>CONCATENATE(Master_Packing_Database[[#This Row],[Exp '#]],Master_Packing_Database[[#This Row],[Batch '#]])</f>
        <v>2349th-</v>
      </c>
      <c r="H978" t="s">
        <v>4171</v>
      </c>
      <c r="I978" t="s">
        <v>4172</v>
      </c>
      <c r="J978" t="s">
        <v>117</v>
      </c>
      <c r="K978" t="s">
        <v>3399</v>
      </c>
      <c r="L978" t="s">
        <v>1016</v>
      </c>
      <c r="M978" t="s">
        <v>835</v>
      </c>
      <c r="N978" t="s">
        <v>4173</v>
      </c>
      <c r="O978" t="s">
        <v>4174</v>
      </c>
      <c r="V978" t="s">
        <v>4153</v>
      </c>
      <c r="X978" t="s">
        <v>4175</v>
      </c>
      <c r="Y978" t="s">
        <v>1425</v>
      </c>
      <c r="Z978" t="s">
        <v>4176</v>
      </c>
      <c r="AB978" t="s">
        <v>4177</v>
      </c>
      <c r="AE978" t="s">
        <v>4175</v>
      </c>
      <c r="AG978" t="s">
        <v>1303</v>
      </c>
      <c r="AI978" t="s">
        <v>29</v>
      </c>
      <c r="AK978" t="s">
        <v>4178</v>
      </c>
      <c r="AL978" t="s">
        <v>3152</v>
      </c>
      <c r="AN978">
        <v>0</v>
      </c>
      <c r="AO978" t="s">
        <v>1834</v>
      </c>
      <c r="AP978" t="s">
        <v>1834</v>
      </c>
      <c r="AQ978">
        <v>0</v>
      </c>
      <c r="AR978" t="s">
        <v>1758</v>
      </c>
    </row>
    <row r="979" spans="1:44" x14ac:dyDescent="0.25">
      <c r="A979" t="s">
        <v>3141</v>
      </c>
      <c r="D979" t="s">
        <v>258</v>
      </c>
      <c r="E979" t="s">
        <v>701</v>
      </c>
      <c r="F979" t="s">
        <v>1755</v>
      </c>
      <c r="G979" t="str">
        <f>CONCATENATE(Master_Packing_Database[[#This Row],[Exp '#]],Master_Packing_Database[[#This Row],[Batch '#]])</f>
        <v>2344th-</v>
      </c>
      <c r="H979" t="s">
        <v>4179</v>
      </c>
      <c r="I979" t="s">
        <v>4180</v>
      </c>
      <c r="J979" t="s">
        <v>117</v>
      </c>
      <c r="K979" t="s">
        <v>3173</v>
      </c>
      <c r="L979" t="s">
        <v>975</v>
      </c>
      <c r="M979" t="s">
        <v>599</v>
      </c>
      <c r="N979" t="s">
        <v>4181</v>
      </c>
      <c r="O979" t="s">
        <v>1246</v>
      </c>
      <c r="V979" t="s">
        <v>4162</v>
      </c>
      <c r="X979" t="s">
        <v>4175</v>
      </c>
      <c r="Y979" t="s">
        <v>3392</v>
      </c>
      <c r="Z979" t="s">
        <v>4176</v>
      </c>
      <c r="AB979" t="s">
        <v>4177</v>
      </c>
      <c r="AE979" t="s">
        <v>4175</v>
      </c>
      <c r="AG979" t="s">
        <v>1303</v>
      </c>
      <c r="AI979" t="s">
        <v>29</v>
      </c>
      <c r="AK979" t="s">
        <v>4178</v>
      </c>
      <c r="AL979" t="s">
        <v>3152</v>
      </c>
      <c r="AN979">
        <v>0</v>
      </c>
      <c r="AO979" t="s">
        <v>1834</v>
      </c>
      <c r="AP979" t="s">
        <v>1834</v>
      </c>
      <c r="AQ979">
        <v>0</v>
      </c>
      <c r="AR979" t="s">
        <v>1758</v>
      </c>
    </row>
    <row r="980" spans="1:44" x14ac:dyDescent="0.25">
      <c r="A980" t="s">
        <v>3141</v>
      </c>
      <c r="D980" t="s">
        <v>1004</v>
      </c>
      <c r="E980" t="s">
        <v>717</v>
      </c>
      <c r="F980" t="s">
        <v>631</v>
      </c>
      <c r="G980" t="str">
        <f>CONCATENATE(Master_Packing_Database[[#This Row],[Exp '#]],Master_Packing_Database[[#This Row],[Batch '#]])</f>
        <v>2350thBy Air</v>
      </c>
      <c r="H980" t="s">
        <v>4182</v>
      </c>
      <c r="I980" t="s">
        <v>1066</v>
      </c>
      <c r="J980" t="s">
        <v>117</v>
      </c>
      <c r="K980" t="s">
        <v>1147</v>
      </c>
      <c r="L980" t="s">
        <v>599</v>
      </c>
      <c r="M980" t="s">
        <v>116</v>
      </c>
      <c r="N980" t="s">
        <v>4183</v>
      </c>
      <c r="O980" t="s">
        <v>667</v>
      </c>
      <c r="V980" t="s">
        <v>4158</v>
      </c>
      <c r="X980" t="s">
        <v>4153</v>
      </c>
      <c r="Y980" t="s">
        <v>975</v>
      </c>
      <c r="Z980" t="s">
        <v>4169</v>
      </c>
      <c r="AB980" t="s">
        <v>4155</v>
      </c>
      <c r="AE980" t="s">
        <v>4168</v>
      </c>
      <c r="AG980" t="s">
        <v>599</v>
      </c>
      <c r="AI980" t="s">
        <v>29</v>
      </c>
      <c r="AK980" t="s">
        <v>4178</v>
      </c>
      <c r="AL980" t="s">
        <v>3152</v>
      </c>
      <c r="AN980">
        <v>0</v>
      </c>
      <c r="AO980" t="s">
        <v>1834</v>
      </c>
      <c r="AP980" t="s">
        <v>1834</v>
      </c>
      <c r="AQ980">
        <v>0</v>
      </c>
      <c r="AR980" t="s">
        <v>1758</v>
      </c>
    </row>
    <row r="981" spans="1:44" x14ac:dyDescent="0.25">
      <c r="A981" t="s">
        <v>3141</v>
      </c>
      <c r="D981" t="s">
        <v>1004</v>
      </c>
      <c r="E981" t="s">
        <v>709</v>
      </c>
      <c r="F981" t="s">
        <v>631</v>
      </c>
      <c r="G981" t="str">
        <f>CONCATENATE(Master_Packing_Database[[#This Row],[Exp '#]],Master_Packing_Database[[#This Row],[Batch '#]])</f>
        <v>2347thBy Air</v>
      </c>
      <c r="H981" t="s">
        <v>4184</v>
      </c>
      <c r="I981" t="s">
        <v>660</v>
      </c>
      <c r="J981" t="s">
        <v>117</v>
      </c>
      <c r="K981" t="s">
        <v>1147</v>
      </c>
      <c r="L981" t="s">
        <v>835</v>
      </c>
      <c r="M981" t="s">
        <v>116</v>
      </c>
      <c r="N981" t="s">
        <v>1362</v>
      </c>
      <c r="O981" t="s">
        <v>4185</v>
      </c>
      <c r="V981" t="s">
        <v>4158</v>
      </c>
      <c r="X981" t="s">
        <v>4186</v>
      </c>
      <c r="Y981" t="s">
        <v>1425</v>
      </c>
      <c r="Z981" t="s">
        <v>4187</v>
      </c>
      <c r="AB981" t="s">
        <v>4188</v>
      </c>
      <c r="AE981" t="s">
        <v>4186</v>
      </c>
      <c r="AG981" t="s">
        <v>1303</v>
      </c>
      <c r="AI981" t="s">
        <v>29</v>
      </c>
      <c r="AK981" t="s">
        <v>4178</v>
      </c>
      <c r="AL981" t="s">
        <v>3152</v>
      </c>
      <c r="AN981">
        <v>0</v>
      </c>
      <c r="AO981" t="s">
        <v>1834</v>
      </c>
      <c r="AP981" t="s">
        <v>1834</v>
      </c>
      <c r="AQ981">
        <v>0</v>
      </c>
      <c r="AR981" t="s">
        <v>1758</v>
      </c>
    </row>
    <row r="982" spans="1:44" x14ac:dyDescent="0.25">
      <c r="A982" t="s">
        <v>3141</v>
      </c>
      <c r="D982" t="s">
        <v>917</v>
      </c>
      <c r="E982" t="s">
        <v>567</v>
      </c>
      <c r="F982" t="s">
        <v>1755</v>
      </c>
      <c r="G982" t="str">
        <f>CONCATENATE(Master_Packing_Database[[#This Row],[Exp '#]],Master_Packing_Database[[#This Row],[Batch '#]])</f>
        <v>2321st-</v>
      </c>
      <c r="H982" t="s">
        <v>4189</v>
      </c>
      <c r="I982" t="s">
        <v>4190</v>
      </c>
      <c r="J982" t="s">
        <v>117</v>
      </c>
      <c r="K982" t="s">
        <v>4078</v>
      </c>
      <c r="L982" t="s">
        <v>4191</v>
      </c>
      <c r="M982" t="s">
        <v>835</v>
      </c>
      <c r="N982" t="s">
        <v>4192</v>
      </c>
      <c r="O982" t="s">
        <v>4193</v>
      </c>
      <c r="V982" t="s">
        <v>4153</v>
      </c>
      <c r="X982" t="s">
        <v>4175</v>
      </c>
      <c r="Y982" t="s">
        <v>1425</v>
      </c>
      <c r="Z982" t="s">
        <v>4176</v>
      </c>
      <c r="AB982" t="s">
        <v>4177</v>
      </c>
      <c r="AE982" t="s">
        <v>4175</v>
      </c>
      <c r="AG982" t="s">
        <v>1303</v>
      </c>
      <c r="AI982" t="s">
        <v>29</v>
      </c>
      <c r="AK982" t="s">
        <v>4194</v>
      </c>
      <c r="AL982" t="s">
        <v>3152</v>
      </c>
      <c r="AN982">
        <v>0</v>
      </c>
      <c r="AO982" t="s">
        <v>1834</v>
      </c>
      <c r="AP982" t="s">
        <v>1834</v>
      </c>
      <c r="AQ982">
        <v>0</v>
      </c>
      <c r="AR982" t="s">
        <v>1758</v>
      </c>
    </row>
    <row r="983" spans="1:44" x14ac:dyDescent="0.25">
      <c r="A983" t="s">
        <v>3141</v>
      </c>
      <c r="D983" t="s">
        <v>1103</v>
      </c>
      <c r="E983" t="s">
        <v>711</v>
      </c>
      <c r="F983" t="s">
        <v>761</v>
      </c>
      <c r="G983" t="str">
        <f>CONCATENATE(Master_Packing_Database[[#This Row],[Exp '#]],Master_Packing_Database[[#This Row],[Batch '#]])</f>
        <v>2348th1st</v>
      </c>
      <c r="H983" t="s">
        <v>712</v>
      </c>
      <c r="I983" t="s">
        <v>713</v>
      </c>
      <c r="J983" t="s">
        <v>117</v>
      </c>
      <c r="K983" t="s">
        <v>1042</v>
      </c>
      <c r="L983" t="s">
        <v>544</v>
      </c>
      <c r="M983" t="s">
        <v>599</v>
      </c>
      <c r="N983" t="s">
        <v>4185</v>
      </c>
      <c r="O983" t="s">
        <v>4195</v>
      </c>
      <c r="V983" t="s">
        <v>4153</v>
      </c>
      <c r="X983" t="s">
        <v>4196</v>
      </c>
      <c r="Y983" t="s">
        <v>1419</v>
      </c>
      <c r="Z983" t="s">
        <v>4197</v>
      </c>
      <c r="AB983" t="s">
        <v>4198</v>
      </c>
      <c r="AE983" t="s">
        <v>4196</v>
      </c>
      <c r="AG983" t="s">
        <v>1303</v>
      </c>
      <c r="AI983" t="s">
        <v>29</v>
      </c>
      <c r="AK983" t="s">
        <v>4194</v>
      </c>
      <c r="AL983" t="s">
        <v>3152</v>
      </c>
      <c r="AN983">
        <v>0</v>
      </c>
      <c r="AO983" t="s">
        <v>1834</v>
      </c>
      <c r="AP983" t="s">
        <v>1834</v>
      </c>
      <c r="AQ983">
        <v>0</v>
      </c>
      <c r="AR983" t="s">
        <v>1758</v>
      </c>
    </row>
    <row r="984" spans="1:44" x14ac:dyDescent="0.25">
      <c r="A984" t="s">
        <v>3141</v>
      </c>
      <c r="D984" t="s">
        <v>1103</v>
      </c>
      <c r="E984" t="s">
        <v>711</v>
      </c>
      <c r="F984" t="s">
        <v>422</v>
      </c>
      <c r="G984" t="str">
        <f>CONCATENATE(Master_Packing_Database[[#This Row],[Exp '#]],Master_Packing_Database[[#This Row],[Batch '#]])</f>
        <v>2348th2nd</v>
      </c>
      <c r="H984" t="s">
        <v>712</v>
      </c>
      <c r="I984" t="s">
        <v>713</v>
      </c>
      <c r="J984" t="s">
        <v>117</v>
      </c>
      <c r="K984" t="s">
        <v>1042</v>
      </c>
      <c r="L984" t="s">
        <v>599</v>
      </c>
      <c r="M984" t="s">
        <v>116</v>
      </c>
      <c r="N984" t="s">
        <v>714</v>
      </c>
      <c r="O984" t="s">
        <v>404</v>
      </c>
      <c r="V984" t="s">
        <v>4153</v>
      </c>
      <c r="X984" t="s">
        <v>4199</v>
      </c>
      <c r="Y984" t="s">
        <v>2579</v>
      </c>
      <c r="Z984" t="s">
        <v>4200</v>
      </c>
      <c r="AB984" t="s">
        <v>4201</v>
      </c>
      <c r="AE984" t="s">
        <v>4199</v>
      </c>
      <c r="AG984" t="s">
        <v>1303</v>
      </c>
      <c r="AI984" t="s">
        <v>29</v>
      </c>
      <c r="AK984" t="s">
        <v>4202</v>
      </c>
      <c r="AL984" t="s">
        <v>3152</v>
      </c>
      <c r="AN984">
        <v>0</v>
      </c>
      <c r="AO984" t="s">
        <v>1834</v>
      </c>
      <c r="AP984" t="s">
        <v>1834</v>
      </c>
      <c r="AQ984">
        <v>0</v>
      </c>
      <c r="AR984" t="s">
        <v>1758</v>
      </c>
    </row>
    <row r="985" spans="1:44" x14ac:dyDescent="0.25">
      <c r="A985" t="s">
        <v>3141</v>
      </c>
      <c r="D985" t="s">
        <v>330</v>
      </c>
      <c r="E985" t="s">
        <v>698</v>
      </c>
      <c r="F985" t="s">
        <v>1755</v>
      </c>
      <c r="G985" t="str">
        <f>CONCATENATE(Master_Packing_Database[[#This Row],[Exp '#]],Master_Packing_Database[[#This Row],[Batch '#]])</f>
        <v>2343rd-</v>
      </c>
      <c r="H985" t="s">
        <v>699</v>
      </c>
      <c r="I985" t="s">
        <v>700</v>
      </c>
      <c r="J985" t="s">
        <v>117</v>
      </c>
      <c r="K985" t="s">
        <v>1059</v>
      </c>
      <c r="L985" t="s">
        <v>1072</v>
      </c>
      <c r="M985" t="s">
        <v>599</v>
      </c>
      <c r="N985" t="s">
        <v>3853</v>
      </c>
      <c r="O985" t="s">
        <v>4203</v>
      </c>
      <c r="V985" t="s">
        <v>4204</v>
      </c>
      <c r="X985" t="s">
        <v>4199</v>
      </c>
      <c r="Y985" t="s">
        <v>2591</v>
      </c>
      <c r="Z985" t="s">
        <v>4200</v>
      </c>
      <c r="AB985" t="s">
        <v>4201</v>
      </c>
      <c r="AE985" t="s">
        <v>4199</v>
      </c>
      <c r="AG985" t="s">
        <v>1303</v>
      </c>
      <c r="AI985" t="s">
        <v>29</v>
      </c>
      <c r="AK985" t="s">
        <v>4202</v>
      </c>
      <c r="AL985" t="s">
        <v>3152</v>
      </c>
      <c r="AN985">
        <v>0</v>
      </c>
      <c r="AO985" t="s">
        <v>1834</v>
      </c>
      <c r="AP985" t="s">
        <v>1834</v>
      </c>
      <c r="AQ985">
        <v>0</v>
      </c>
      <c r="AR985" t="s">
        <v>1758</v>
      </c>
    </row>
    <row r="986" spans="1:44" x14ac:dyDescent="0.25">
      <c r="A986" t="s">
        <v>3141</v>
      </c>
      <c r="D986" t="s">
        <v>917</v>
      </c>
      <c r="E986" t="s">
        <v>757</v>
      </c>
      <c r="F986" t="s">
        <v>1755</v>
      </c>
      <c r="G986" t="str">
        <f>CONCATENATE(Master_Packing_Database[[#This Row],[Exp '#]],Master_Packing_Database[[#This Row],[Batch '#]])</f>
        <v>2358th-</v>
      </c>
      <c r="H986" t="s">
        <v>4205</v>
      </c>
      <c r="I986" t="s">
        <v>660</v>
      </c>
      <c r="J986" t="s">
        <v>117</v>
      </c>
      <c r="K986" t="s">
        <v>4206</v>
      </c>
      <c r="L986" t="s">
        <v>4207</v>
      </c>
      <c r="M986" t="s">
        <v>599</v>
      </c>
      <c r="N986" t="s">
        <v>4208</v>
      </c>
      <c r="O986" t="s">
        <v>667</v>
      </c>
      <c r="V986" t="s">
        <v>4209</v>
      </c>
      <c r="X986" t="s">
        <v>2633</v>
      </c>
      <c r="Y986" t="s">
        <v>606</v>
      </c>
      <c r="Z986" t="s">
        <v>4210</v>
      </c>
      <c r="AB986" t="s">
        <v>4211</v>
      </c>
      <c r="AE986" t="s">
        <v>2633</v>
      </c>
      <c r="AG986" t="s">
        <v>1303</v>
      </c>
      <c r="AI986" t="s">
        <v>29</v>
      </c>
      <c r="AK986" t="s">
        <v>4212</v>
      </c>
      <c r="AL986" t="s">
        <v>3152</v>
      </c>
      <c r="AN986">
        <v>0</v>
      </c>
      <c r="AO986" t="s">
        <v>1834</v>
      </c>
      <c r="AP986" t="s">
        <v>1834</v>
      </c>
      <c r="AQ986">
        <v>0</v>
      </c>
      <c r="AR986" t="s">
        <v>1758</v>
      </c>
    </row>
    <row r="987" spans="1:44" x14ac:dyDescent="0.25">
      <c r="A987" t="s">
        <v>3141</v>
      </c>
      <c r="D987" t="s">
        <v>1004</v>
      </c>
      <c r="E987" t="s">
        <v>890</v>
      </c>
      <c r="F987" t="s">
        <v>631</v>
      </c>
      <c r="G987" t="str">
        <f>CONCATENATE(Master_Packing_Database[[#This Row],[Exp '#]],Master_Packing_Database[[#This Row],[Batch '#]])</f>
        <v>2384thBy Air</v>
      </c>
      <c r="H987" t="s">
        <v>4213</v>
      </c>
      <c r="I987" t="s">
        <v>4214</v>
      </c>
      <c r="J987" t="s">
        <v>366</v>
      </c>
      <c r="K987" t="s">
        <v>1147</v>
      </c>
      <c r="L987" t="s">
        <v>599</v>
      </c>
      <c r="M987" t="s">
        <v>116</v>
      </c>
      <c r="N987" t="s">
        <v>4215</v>
      </c>
      <c r="O987" t="s">
        <v>1146</v>
      </c>
      <c r="V987" t="s">
        <v>4199</v>
      </c>
      <c r="X987" t="s">
        <v>4216</v>
      </c>
      <c r="Y987" t="s">
        <v>970</v>
      </c>
      <c r="Z987" t="s">
        <v>4217</v>
      </c>
      <c r="AB987" t="s">
        <v>4218</v>
      </c>
      <c r="AE987" t="s">
        <v>4216</v>
      </c>
      <c r="AG987" t="s">
        <v>1303</v>
      </c>
      <c r="AI987" t="s">
        <v>29</v>
      </c>
      <c r="AK987" t="s">
        <v>4219</v>
      </c>
      <c r="AL987" t="s">
        <v>3152</v>
      </c>
      <c r="AN987">
        <v>0</v>
      </c>
      <c r="AO987" t="s">
        <v>1834</v>
      </c>
      <c r="AP987" t="s">
        <v>1834</v>
      </c>
      <c r="AQ987">
        <v>0</v>
      </c>
      <c r="AR987" t="s">
        <v>1758</v>
      </c>
    </row>
    <row r="988" spans="1:44" x14ac:dyDescent="0.25">
      <c r="A988" t="s">
        <v>3141</v>
      </c>
      <c r="D988" t="s">
        <v>1004</v>
      </c>
      <c r="E988" t="s">
        <v>932</v>
      </c>
      <c r="F988" t="s">
        <v>4220</v>
      </c>
      <c r="G988" t="str">
        <f>CONCATENATE(Master_Packing_Database[[#This Row],[Exp '#]],Master_Packing_Database[[#This Row],[Batch '#]])</f>
        <v>2393rdBy Air 2nd</v>
      </c>
      <c r="H988" t="s">
        <v>4221</v>
      </c>
      <c r="I988" t="s">
        <v>660</v>
      </c>
      <c r="J988" t="s">
        <v>366</v>
      </c>
      <c r="K988" t="s">
        <v>1147</v>
      </c>
      <c r="L988" t="s">
        <v>599</v>
      </c>
      <c r="M988" t="s">
        <v>116</v>
      </c>
      <c r="N988" t="s">
        <v>4222</v>
      </c>
      <c r="O988" t="s">
        <v>4223</v>
      </c>
      <c r="V988" t="s">
        <v>4199</v>
      </c>
      <c r="X988" t="s">
        <v>4224</v>
      </c>
      <c r="Y988" t="s">
        <v>2640</v>
      </c>
      <c r="Z988" t="s">
        <v>4225</v>
      </c>
      <c r="AB988" t="s">
        <v>4226</v>
      </c>
      <c r="AE988" t="s">
        <v>4224</v>
      </c>
      <c r="AG988" t="s">
        <v>1303</v>
      </c>
      <c r="AI988" t="s">
        <v>29</v>
      </c>
      <c r="AK988" t="s">
        <v>4219</v>
      </c>
      <c r="AL988" t="s">
        <v>3152</v>
      </c>
      <c r="AN988">
        <v>0</v>
      </c>
      <c r="AO988" t="s">
        <v>1834</v>
      </c>
      <c r="AP988" t="s">
        <v>1834</v>
      </c>
      <c r="AQ988">
        <v>0</v>
      </c>
      <c r="AR988" t="s">
        <v>1758</v>
      </c>
    </row>
    <row r="989" spans="1:44" x14ac:dyDescent="0.25">
      <c r="A989" t="s">
        <v>3141</v>
      </c>
      <c r="D989" t="s">
        <v>1004</v>
      </c>
      <c r="E989" t="s">
        <v>934</v>
      </c>
      <c r="F989" t="s">
        <v>4227</v>
      </c>
      <c r="G989" t="str">
        <f>CONCATENATE(Master_Packing_Database[[#This Row],[Exp '#]],Master_Packing_Database[[#This Row],[Batch '#]])</f>
        <v>2394thBy Air 1st B</v>
      </c>
      <c r="H989" t="s">
        <v>4228</v>
      </c>
      <c r="I989" t="s">
        <v>660</v>
      </c>
      <c r="J989" t="s">
        <v>366</v>
      </c>
      <c r="K989" t="s">
        <v>1147</v>
      </c>
      <c r="L989" t="s">
        <v>835</v>
      </c>
      <c r="M989" t="s">
        <v>116</v>
      </c>
      <c r="N989" t="s">
        <v>3694</v>
      </c>
      <c r="O989" t="s">
        <v>919</v>
      </c>
      <c r="V989" t="s">
        <v>4211</v>
      </c>
      <c r="X989" t="s">
        <v>4229</v>
      </c>
      <c r="Y989" t="s">
        <v>2564</v>
      </c>
      <c r="Z989" t="s">
        <v>4230</v>
      </c>
      <c r="AB989" t="s">
        <v>4231</v>
      </c>
      <c r="AE989" t="s">
        <v>4229</v>
      </c>
      <c r="AG989" t="s">
        <v>1303</v>
      </c>
      <c r="AI989" t="s">
        <v>29</v>
      </c>
      <c r="AK989" t="s">
        <v>4219</v>
      </c>
      <c r="AL989" t="s">
        <v>3152</v>
      </c>
      <c r="AN989">
        <v>0</v>
      </c>
      <c r="AO989" t="s">
        <v>1834</v>
      </c>
      <c r="AP989" t="s">
        <v>1834</v>
      </c>
      <c r="AQ989">
        <v>0</v>
      </c>
      <c r="AR989" t="s">
        <v>1758</v>
      </c>
    </row>
    <row r="990" spans="1:44" x14ac:dyDescent="0.25">
      <c r="A990" t="s">
        <v>3141</v>
      </c>
      <c r="D990" t="s">
        <v>3387</v>
      </c>
      <c r="E990" t="s">
        <v>600</v>
      </c>
      <c r="F990" t="s">
        <v>1755</v>
      </c>
      <c r="G990" t="str">
        <f>CONCATENATE(Master_Packing_Database[[#This Row],[Exp '#]],Master_Packing_Database[[#This Row],[Batch '#]])</f>
        <v>2327th-</v>
      </c>
      <c r="H990" t="s">
        <v>602</v>
      </c>
      <c r="I990" t="s">
        <v>603</v>
      </c>
      <c r="J990" t="s">
        <v>117</v>
      </c>
      <c r="K990" t="s">
        <v>3399</v>
      </c>
      <c r="L990" t="s">
        <v>4232</v>
      </c>
      <c r="M990" t="s">
        <v>2569</v>
      </c>
      <c r="N990" t="s">
        <v>4233</v>
      </c>
      <c r="O990" t="s">
        <v>4234</v>
      </c>
      <c r="V990" t="s">
        <v>3043</v>
      </c>
      <c r="X990" t="s">
        <v>4231</v>
      </c>
      <c r="Y990" t="s">
        <v>3544</v>
      </c>
      <c r="Z990" t="s">
        <v>4235</v>
      </c>
      <c r="AB990" t="s">
        <v>2633</v>
      </c>
      <c r="AE990" t="s">
        <v>4231</v>
      </c>
      <c r="AG990" t="s">
        <v>1303</v>
      </c>
      <c r="AI990" t="s">
        <v>29</v>
      </c>
      <c r="AK990" t="s">
        <v>4219</v>
      </c>
      <c r="AL990" t="s">
        <v>3152</v>
      </c>
      <c r="AN990">
        <v>0</v>
      </c>
      <c r="AO990" t="s">
        <v>1834</v>
      </c>
      <c r="AP990" t="s">
        <v>1834</v>
      </c>
      <c r="AQ990">
        <v>0</v>
      </c>
      <c r="AR990" t="s">
        <v>1758</v>
      </c>
    </row>
    <row r="991" spans="1:44" x14ac:dyDescent="0.25">
      <c r="A991" t="s">
        <v>3141</v>
      </c>
      <c r="D991" t="s">
        <v>1004</v>
      </c>
      <c r="E991" t="s">
        <v>795</v>
      </c>
      <c r="F991" t="s">
        <v>4236</v>
      </c>
      <c r="G991" t="str">
        <f>CONCATENATE(Master_Packing_Database[[#This Row],[Exp '#]],Master_Packing_Database[[#This Row],[Batch '#]])</f>
        <v>2364thBy Air 1st</v>
      </c>
      <c r="H991" t="s">
        <v>4237</v>
      </c>
      <c r="I991" t="s">
        <v>660</v>
      </c>
      <c r="J991" t="s">
        <v>117</v>
      </c>
      <c r="K991" t="s">
        <v>1147</v>
      </c>
      <c r="L991" t="s">
        <v>835</v>
      </c>
      <c r="M991" t="s">
        <v>116</v>
      </c>
      <c r="N991" t="s">
        <v>4238</v>
      </c>
      <c r="O991" t="s">
        <v>4239</v>
      </c>
      <c r="V991" t="s">
        <v>4199</v>
      </c>
      <c r="X991" t="s">
        <v>4240</v>
      </c>
      <c r="Y991" t="s">
        <v>835</v>
      </c>
      <c r="Z991" t="s">
        <v>4241</v>
      </c>
      <c r="AB991" t="s">
        <v>4242</v>
      </c>
      <c r="AE991" t="s">
        <v>4240</v>
      </c>
      <c r="AG991" t="s">
        <v>1303</v>
      </c>
      <c r="AI991" t="s">
        <v>29</v>
      </c>
      <c r="AK991" t="s">
        <v>4243</v>
      </c>
      <c r="AL991" t="s">
        <v>3152</v>
      </c>
      <c r="AN991">
        <v>0</v>
      </c>
      <c r="AO991" t="s">
        <v>1834</v>
      </c>
      <c r="AP991" t="s">
        <v>1834</v>
      </c>
      <c r="AQ991">
        <v>0</v>
      </c>
      <c r="AR991" t="s">
        <v>1758</v>
      </c>
    </row>
    <row r="992" spans="1:44" x14ac:dyDescent="0.25">
      <c r="A992" t="s">
        <v>3141</v>
      </c>
      <c r="D992" t="s">
        <v>1004</v>
      </c>
      <c r="E992" t="s">
        <v>932</v>
      </c>
      <c r="F992" t="s">
        <v>4236</v>
      </c>
      <c r="G992" t="str">
        <f>CONCATENATE(Master_Packing_Database[[#This Row],[Exp '#]],Master_Packing_Database[[#This Row],[Batch '#]])</f>
        <v>2393rdBy Air 1st</v>
      </c>
      <c r="H992" t="s">
        <v>4221</v>
      </c>
      <c r="I992" t="s">
        <v>660</v>
      </c>
      <c r="J992" t="s">
        <v>366</v>
      </c>
      <c r="K992" t="s">
        <v>1147</v>
      </c>
      <c r="L992" t="s">
        <v>975</v>
      </c>
      <c r="M992" t="s">
        <v>116</v>
      </c>
      <c r="N992" t="s">
        <v>4244</v>
      </c>
      <c r="O992" t="s">
        <v>4245</v>
      </c>
      <c r="V992" t="s">
        <v>4199</v>
      </c>
      <c r="X992" t="s">
        <v>4246</v>
      </c>
      <c r="Y992" t="s">
        <v>975</v>
      </c>
      <c r="Z992" t="s">
        <v>4247</v>
      </c>
      <c r="AB992" t="s">
        <v>4196</v>
      </c>
      <c r="AE992" t="s">
        <v>4246</v>
      </c>
      <c r="AG992" t="s">
        <v>1303</v>
      </c>
      <c r="AI992" t="s">
        <v>29</v>
      </c>
      <c r="AK992" t="s">
        <v>4243</v>
      </c>
      <c r="AL992" t="s">
        <v>3152</v>
      </c>
      <c r="AN992">
        <v>0</v>
      </c>
      <c r="AO992" t="s">
        <v>1834</v>
      </c>
      <c r="AP992" t="s">
        <v>1834</v>
      </c>
      <c r="AQ992">
        <v>0</v>
      </c>
      <c r="AR992" t="s">
        <v>1758</v>
      </c>
    </row>
    <row r="993" spans="1:44" x14ac:dyDescent="0.25">
      <c r="A993" t="s">
        <v>3141</v>
      </c>
      <c r="D993" t="s">
        <v>1004</v>
      </c>
      <c r="E993" t="s">
        <v>932</v>
      </c>
      <c r="F993" t="s">
        <v>4248</v>
      </c>
      <c r="G993" t="str">
        <f>CONCATENATE(Master_Packing_Database[[#This Row],[Exp '#]],Master_Packing_Database[[#This Row],[Batch '#]])</f>
        <v>2393rdBy Air 3rd</v>
      </c>
      <c r="H993" t="s">
        <v>4221</v>
      </c>
      <c r="I993" t="s">
        <v>660</v>
      </c>
      <c r="J993" t="s">
        <v>366</v>
      </c>
      <c r="K993" t="s">
        <v>1147</v>
      </c>
      <c r="L993" t="s">
        <v>975</v>
      </c>
      <c r="M993" t="s">
        <v>116</v>
      </c>
      <c r="N993" t="s">
        <v>3927</v>
      </c>
      <c r="O993" t="s">
        <v>4249</v>
      </c>
      <c r="V993" t="s">
        <v>4199</v>
      </c>
      <c r="X993" t="s">
        <v>4250</v>
      </c>
      <c r="Y993" t="s">
        <v>2579</v>
      </c>
      <c r="Z993" t="s">
        <v>4251</v>
      </c>
      <c r="AB993" t="s">
        <v>4252</v>
      </c>
      <c r="AE993" t="s">
        <v>4250</v>
      </c>
      <c r="AG993" t="s">
        <v>1303</v>
      </c>
      <c r="AI993" t="s">
        <v>29</v>
      </c>
      <c r="AK993" t="s">
        <v>4253</v>
      </c>
      <c r="AL993" t="s">
        <v>3152</v>
      </c>
      <c r="AN993">
        <v>0</v>
      </c>
      <c r="AO993" t="s">
        <v>1834</v>
      </c>
      <c r="AP993" t="s">
        <v>1834</v>
      </c>
      <c r="AQ993">
        <v>0</v>
      </c>
      <c r="AR993" t="s">
        <v>1758</v>
      </c>
    </row>
    <row r="994" spans="1:44" x14ac:dyDescent="0.25">
      <c r="A994" t="s">
        <v>3141</v>
      </c>
      <c r="D994" t="s">
        <v>1004</v>
      </c>
      <c r="E994" t="s">
        <v>795</v>
      </c>
      <c r="F994" t="s">
        <v>4220</v>
      </c>
      <c r="G994" t="str">
        <f>CONCATENATE(Master_Packing_Database[[#This Row],[Exp '#]],Master_Packing_Database[[#This Row],[Batch '#]])</f>
        <v>2364thBy Air 2nd</v>
      </c>
      <c r="H994" t="s">
        <v>4254</v>
      </c>
      <c r="I994" t="s">
        <v>660</v>
      </c>
      <c r="J994" t="s">
        <v>117</v>
      </c>
      <c r="K994" t="s">
        <v>1147</v>
      </c>
      <c r="L994" t="s">
        <v>599</v>
      </c>
      <c r="M994" t="s">
        <v>116</v>
      </c>
      <c r="N994" t="s">
        <v>102</v>
      </c>
      <c r="O994" t="s">
        <v>878</v>
      </c>
      <c r="V994" t="s">
        <v>4199</v>
      </c>
      <c r="X994" t="s">
        <v>4255</v>
      </c>
      <c r="Y994" t="s">
        <v>522</v>
      </c>
      <c r="Z994" t="s">
        <v>4256</v>
      </c>
      <c r="AB994" t="s">
        <v>4257</v>
      </c>
      <c r="AE994" t="s">
        <v>4255</v>
      </c>
      <c r="AG994" t="s">
        <v>1303</v>
      </c>
      <c r="AI994" t="s">
        <v>29</v>
      </c>
      <c r="AK994" t="s">
        <v>4253</v>
      </c>
      <c r="AL994" t="s">
        <v>3152</v>
      </c>
      <c r="AN994">
        <v>0</v>
      </c>
      <c r="AO994" t="s">
        <v>1834</v>
      </c>
      <c r="AP994" t="s">
        <v>1834</v>
      </c>
      <c r="AQ994">
        <v>0</v>
      </c>
      <c r="AR994" t="s">
        <v>1758</v>
      </c>
    </row>
    <row r="995" spans="1:44" x14ac:dyDescent="0.25">
      <c r="A995" t="s">
        <v>3141</v>
      </c>
      <c r="D995" t="s">
        <v>154</v>
      </c>
      <c r="E995" t="s">
        <v>796</v>
      </c>
      <c r="F995" t="s">
        <v>1755</v>
      </c>
      <c r="G995" t="str">
        <f>CONCATENATE(Master_Packing_Database[[#This Row],[Exp '#]],Master_Packing_Database[[#This Row],[Batch '#]])</f>
        <v>2365th-</v>
      </c>
      <c r="H995" t="s">
        <v>797</v>
      </c>
      <c r="I995" t="s">
        <v>798</v>
      </c>
      <c r="J995" t="s">
        <v>117</v>
      </c>
      <c r="K995" t="s">
        <v>4258</v>
      </c>
      <c r="L995" t="s">
        <v>521</v>
      </c>
      <c r="M995" t="s">
        <v>116</v>
      </c>
      <c r="N995" t="s">
        <v>799</v>
      </c>
      <c r="O995" t="s">
        <v>800</v>
      </c>
      <c r="V995" t="s">
        <v>4231</v>
      </c>
      <c r="X995" t="s">
        <v>4255</v>
      </c>
      <c r="Y995" t="s">
        <v>970</v>
      </c>
      <c r="Z995" t="s">
        <v>4256</v>
      </c>
      <c r="AB995" t="s">
        <v>4257</v>
      </c>
      <c r="AE995" t="s">
        <v>4255</v>
      </c>
      <c r="AG995" t="s">
        <v>1303</v>
      </c>
      <c r="AI995" t="s">
        <v>29</v>
      </c>
      <c r="AK995" t="s">
        <v>4259</v>
      </c>
      <c r="AL995" t="s">
        <v>3152</v>
      </c>
      <c r="AN995">
        <v>0</v>
      </c>
      <c r="AO995" t="s">
        <v>1834</v>
      </c>
      <c r="AP995" t="s">
        <v>1834</v>
      </c>
      <c r="AQ995">
        <v>0</v>
      </c>
      <c r="AR995" t="s">
        <v>1758</v>
      </c>
    </row>
    <row r="996" spans="1:44" x14ac:dyDescent="0.25">
      <c r="A996" t="s">
        <v>3141</v>
      </c>
      <c r="D996" t="s">
        <v>664</v>
      </c>
      <c r="E996" t="s">
        <v>868</v>
      </c>
      <c r="F996" t="s">
        <v>1755</v>
      </c>
      <c r="G996" t="str">
        <f>CONCATENATE(Master_Packing_Database[[#This Row],[Exp '#]],Master_Packing_Database[[#This Row],[Batch '#]])</f>
        <v>2381st-</v>
      </c>
      <c r="H996" t="s">
        <v>869</v>
      </c>
      <c r="I996" t="s">
        <v>168</v>
      </c>
      <c r="J996" t="s">
        <v>366</v>
      </c>
      <c r="K996" t="s">
        <v>3435</v>
      </c>
      <c r="L996" t="s">
        <v>544</v>
      </c>
      <c r="M996" t="s">
        <v>544</v>
      </c>
      <c r="N996" t="s">
        <v>4072</v>
      </c>
      <c r="O996" t="s">
        <v>4260</v>
      </c>
      <c r="V996" t="s">
        <v>32</v>
      </c>
      <c r="X996" t="s">
        <v>4261</v>
      </c>
      <c r="Z996" t="s">
        <v>4262</v>
      </c>
      <c r="AB996" t="s">
        <v>4263</v>
      </c>
      <c r="AE996" t="s">
        <v>4261</v>
      </c>
      <c r="AG996" t="s">
        <v>1303</v>
      </c>
      <c r="AI996" t="s">
        <v>29</v>
      </c>
      <c r="AK996" t="s">
        <v>4264</v>
      </c>
      <c r="AL996" t="s">
        <v>3152</v>
      </c>
      <c r="AN996">
        <v>0</v>
      </c>
      <c r="AO996" t="s">
        <v>1834</v>
      </c>
      <c r="AP996" t="s">
        <v>1834</v>
      </c>
      <c r="AQ996">
        <v>0</v>
      </c>
      <c r="AR996" t="s">
        <v>1758</v>
      </c>
    </row>
    <row r="997" spans="1:44" x14ac:dyDescent="0.25">
      <c r="A997" t="s">
        <v>3141</v>
      </c>
      <c r="D997" t="s">
        <v>1004</v>
      </c>
      <c r="E997" t="s">
        <v>934</v>
      </c>
      <c r="F997" t="s">
        <v>4265</v>
      </c>
      <c r="G997" t="str">
        <f>CONCATENATE(Master_Packing_Database[[#This Row],[Exp '#]],Master_Packing_Database[[#This Row],[Batch '#]])</f>
        <v>2394thBy Air 2nd B</v>
      </c>
      <c r="H997" t="s">
        <v>4228</v>
      </c>
      <c r="I997" t="s">
        <v>660</v>
      </c>
      <c r="J997" t="s">
        <v>366</v>
      </c>
      <c r="K997" t="s">
        <v>1147</v>
      </c>
      <c r="L997" t="s">
        <v>835</v>
      </c>
      <c r="M997" t="s">
        <v>116</v>
      </c>
      <c r="N997" t="s">
        <v>3694</v>
      </c>
      <c r="O997" t="s">
        <v>4266</v>
      </c>
      <c r="V997" t="s">
        <v>4211</v>
      </c>
      <c r="X997" t="s">
        <v>4267</v>
      </c>
      <c r="Y997" t="s">
        <v>151</v>
      </c>
      <c r="Z997" t="s">
        <v>4268</v>
      </c>
      <c r="AB997" t="s">
        <v>4269</v>
      </c>
      <c r="AE997" t="s">
        <v>4267</v>
      </c>
      <c r="AG997" t="s">
        <v>1303</v>
      </c>
      <c r="AI997" t="s">
        <v>29</v>
      </c>
      <c r="AK997" t="s">
        <v>4270</v>
      </c>
      <c r="AL997" t="s">
        <v>3152</v>
      </c>
      <c r="AN997">
        <v>0</v>
      </c>
      <c r="AO997" t="s">
        <v>1834</v>
      </c>
      <c r="AP997" t="s">
        <v>1834</v>
      </c>
      <c r="AQ997">
        <v>0</v>
      </c>
      <c r="AR997" t="s">
        <v>1758</v>
      </c>
    </row>
    <row r="998" spans="1:44" x14ac:dyDescent="0.25">
      <c r="A998" t="s">
        <v>3141</v>
      </c>
      <c r="D998" t="s">
        <v>1004</v>
      </c>
      <c r="E998" t="s">
        <v>927</v>
      </c>
      <c r="F998" t="s">
        <v>631</v>
      </c>
      <c r="G998" t="str">
        <f>CONCATENATE(Master_Packing_Database[[#This Row],[Exp '#]],Master_Packing_Database[[#This Row],[Batch '#]])</f>
        <v>2391stBy Air</v>
      </c>
      <c r="H998" t="s">
        <v>4271</v>
      </c>
      <c r="I998" t="s">
        <v>660</v>
      </c>
      <c r="J998" t="s">
        <v>366</v>
      </c>
      <c r="K998" t="s">
        <v>1147</v>
      </c>
      <c r="L998" t="s">
        <v>975</v>
      </c>
      <c r="M998" t="s">
        <v>116</v>
      </c>
      <c r="N998" t="s">
        <v>930</v>
      </c>
      <c r="O998" t="s">
        <v>4272</v>
      </c>
      <c r="V998" t="s">
        <v>4199</v>
      </c>
      <c r="X998" t="s">
        <v>4255</v>
      </c>
      <c r="Y998" t="s">
        <v>522</v>
      </c>
      <c r="Z998" t="s">
        <v>4256</v>
      </c>
      <c r="AB998" t="s">
        <v>4257</v>
      </c>
      <c r="AE998" t="s">
        <v>4255</v>
      </c>
      <c r="AG998" t="s">
        <v>1303</v>
      </c>
      <c r="AI998" t="s">
        <v>29</v>
      </c>
      <c r="AK998" t="s">
        <v>4273</v>
      </c>
      <c r="AL998" t="s">
        <v>3152</v>
      </c>
      <c r="AN998">
        <v>0</v>
      </c>
      <c r="AO998" t="s">
        <v>1834</v>
      </c>
      <c r="AP998" t="s">
        <v>1834</v>
      </c>
      <c r="AQ998">
        <v>0</v>
      </c>
      <c r="AR998" t="s">
        <v>1758</v>
      </c>
    </row>
    <row r="999" spans="1:44" x14ac:dyDescent="0.25">
      <c r="A999" t="s">
        <v>3141</v>
      </c>
      <c r="D999" t="s">
        <v>3387</v>
      </c>
      <c r="E999" t="s">
        <v>600</v>
      </c>
      <c r="F999" t="s">
        <v>422</v>
      </c>
      <c r="G999" t="str">
        <f>CONCATENATE(Master_Packing_Database[[#This Row],[Exp '#]],Master_Packing_Database[[#This Row],[Batch '#]])</f>
        <v>2327th2nd</v>
      </c>
      <c r="H999" t="s">
        <v>602</v>
      </c>
      <c r="I999" t="s">
        <v>4274</v>
      </c>
      <c r="J999" t="s">
        <v>117</v>
      </c>
      <c r="K999" t="s">
        <v>1147</v>
      </c>
      <c r="L999" t="s">
        <v>116</v>
      </c>
      <c r="M999" t="s">
        <v>116</v>
      </c>
      <c r="N999" t="s">
        <v>4275</v>
      </c>
      <c r="O999" t="s">
        <v>3903</v>
      </c>
      <c r="V999" t="s">
        <v>4267</v>
      </c>
      <c r="X999" t="s">
        <v>4276</v>
      </c>
      <c r="Y999" t="s">
        <v>599</v>
      </c>
      <c r="Z999" t="s">
        <v>4277</v>
      </c>
      <c r="AB999" t="s">
        <v>4278</v>
      </c>
      <c r="AE999" t="s">
        <v>4276</v>
      </c>
      <c r="AG999" t="s">
        <v>1303</v>
      </c>
      <c r="AI999" t="s">
        <v>29</v>
      </c>
      <c r="AK999" t="s">
        <v>4279</v>
      </c>
      <c r="AL999" t="s">
        <v>3152</v>
      </c>
      <c r="AN999">
        <v>0</v>
      </c>
      <c r="AO999" t="s">
        <v>1834</v>
      </c>
      <c r="AP999" t="s">
        <v>1834</v>
      </c>
      <c r="AQ999">
        <v>0</v>
      </c>
      <c r="AR999" t="s">
        <v>1758</v>
      </c>
    </row>
    <row r="1000" spans="1:44" x14ac:dyDescent="0.25">
      <c r="A1000" t="s">
        <v>3141</v>
      </c>
      <c r="D1000" t="s">
        <v>1004</v>
      </c>
      <c r="E1000" t="s">
        <v>928</v>
      </c>
      <c r="F1000" t="s">
        <v>1755</v>
      </c>
      <c r="G1000" t="str">
        <f>CONCATENATE(Master_Packing_Database[[#This Row],[Exp '#]],Master_Packing_Database[[#This Row],[Batch '#]])</f>
        <v>2392nd-</v>
      </c>
      <c r="H1000" t="s">
        <v>929</v>
      </c>
      <c r="I1000" t="s">
        <v>660</v>
      </c>
      <c r="J1000" t="s">
        <v>366</v>
      </c>
      <c r="K1000" t="s">
        <v>1147</v>
      </c>
      <c r="L1000" t="s">
        <v>975</v>
      </c>
      <c r="M1000" t="s">
        <v>599</v>
      </c>
      <c r="N1000" t="s">
        <v>403</v>
      </c>
      <c r="O1000" t="s">
        <v>4280</v>
      </c>
      <c r="V1000" t="s">
        <v>4199</v>
      </c>
      <c r="X1000" t="s">
        <v>4269</v>
      </c>
      <c r="Y1000" t="s">
        <v>3695</v>
      </c>
      <c r="Z1000" t="s">
        <v>650</v>
      </c>
      <c r="AB1000" t="s">
        <v>4229</v>
      </c>
      <c r="AE1000" t="s">
        <v>4269</v>
      </c>
      <c r="AG1000" t="s">
        <v>1303</v>
      </c>
      <c r="AI1000" t="s">
        <v>29</v>
      </c>
      <c r="AK1000" t="s">
        <v>4281</v>
      </c>
      <c r="AL1000" t="s">
        <v>3152</v>
      </c>
      <c r="AN1000">
        <v>0</v>
      </c>
      <c r="AO1000" t="s">
        <v>1834</v>
      </c>
      <c r="AP1000" t="s">
        <v>1834</v>
      </c>
      <c r="AQ1000">
        <v>0</v>
      </c>
      <c r="AR1000" t="s">
        <v>1758</v>
      </c>
    </row>
    <row r="1001" spans="1:44" x14ac:dyDescent="0.25">
      <c r="A1001" t="s">
        <v>3141</v>
      </c>
      <c r="D1001" t="s">
        <v>1032</v>
      </c>
      <c r="E1001" t="s">
        <v>863</v>
      </c>
      <c r="F1001" t="s">
        <v>1755</v>
      </c>
      <c r="G1001" t="str">
        <f>CONCATENATE(Master_Packing_Database[[#This Row],[Exp '#]],Master_Packing_Database[[#This Row],[Batch '#]])</f>
        <v>2380th-</v>
      </c>
      <c r="H1001" t="s">
        <v>864</v>
      </c>
      <c r="I1001" t="s">
        <v>865</v>
      </c>
      <c r="J1001" t="s">
        <v>366</v>
      </c>
      <c r="K1001" t="s">
        <v>3173</v>
      </c>
      <c r="L1001" t="s">
        <v>599</v>
      </c>
      <c r="M1001" t="s">
        <v>599</v>
      </c>
      <c r="N1001" t="s">
        <v>866</v>
      </c>
      <c r="O1001" t="s">
        <v>867</v>
      </c>
      <c r="V1001" t="s">
        <v>4267</v>
      </c>
      <c r="X1001" t="s">
        <v>4282</v>
      </c>
      <c r="Y1001" t="s">
        <v>1054</v>
      </c>
      <c r="Z1001" t="s">
        <v>990</v>
      </c>
      <c r="AB1001" t="s">
        <v>4283</v>
      </c>
      <c r="AE1001" t="s">
        <v>4282</v>
      </c>
      <c r="AG1001" t="s">
        <v>1303</v>
      </c>
      <c r="AI1001" t="s">
        <v>29</v>
      </c>
      <c r="AK1001" t="s">
        <v>4281</v>
      </c>
      <c r="AL1001" t="s">
        <v>3152</v>
      </c>
      <c r="AN1001">
        <v>0</v>
      </c>
      <c r="AO1001" t="s">
        <v>1834</v>
      </c>
      <c r="AP1001" t="s">
        <v>1834</v>
      </c>
      <c r="AQ1001">
        <v>0</v>
      </c>
      <c r="AR1001" t="s">
        <v>1758</v>
      </c>
    </row>
    <row r="1002" spans="1:44" x14ac:dyDescent="0.25">
      <c r="A1002" t="s">
        <v>3141</v>
      </c>
      <c r="D1002" t="s">
        <v>1004</v>
      </c>
      <c r="E1002" t="s">
        <v>1003</v>
      </c>
      <c r="F1002" t="s">
        <v>761</v>
      </c>
      <c r="G1002" t="str">
        <f>CONCATENATE(Master_Packing_Database[[#This Row],[Exp '#]],Master_Packing_Database[[#This Row],[Batch '#]])</f>
        <v>2412nd1st</v>
      </c>
      <c r="H1002" t="s">
        <v>4284</v>
      </c>
      <c r="I1002" t="s">
        <v>4285</v>
      </c>
      <c r="J1002" t="s">
        <v>366</v>
      </c>
      <c r="K1002" t="s">
        <v>3227</v>
      </c>
      <c r="L1002" t="s">
        <v>599</v>
      </c>
      <c r="M1002" t="s">
        <v>975</v>
      </c>
      <c r="N1002" t="s">
        <v>951</v>
      </c>
      <c r="O1002" t="s">
        <v>541</v>
      </c>
      <c r="V1002" t="s">
        <v>32</v>
      </c>
      <c r="X1002" t="s">
        <v>4282</v>
      </c>
      <c r="Z1002" t="s">
        <v>741</v>
      </c>
      <c r="AB1002" t="s">
        <v>4286</v>
      </c>
      <c r="AE1002" t="s">
        <v>4287</v>
      </c>
      <c r="AG1002" t="s">
        <v>835</v>
      </c>
      <c r="AI1002" t="s">
        <v>29</v>
      </c>
      <c r="AK1002" t="s">
        <v>4281</v>
      </c>
      <c r="AL1002" t="s">
        <v>3152</v>
      </c>
      <c r="AN1002">
        <v>0</v>
      </c>
      <c r="AO1002" t="s">
        <v>1834</v>
      </c>
      <c r="AP1002" t="s">
        <v>1834</v>
      </c>
      <c r="AQ1002">
        <v>0</v>
      </c>
      <c r="AR1002" t="s">
        <v>1758</v>
      </c>
    </row>
    <row r="1003" spans="1:44" x14ac:dyDescent="0.25">
      <c r="A1003" t="s">
        <v>3141</v>
      </c>
      <c r="D1003" t="s">
        <v>3558</v>
      </c>
      <c r="E1003" t="s">
        <v>962</v>
      </c>
      <c r="F1003" t="s">
        <v>1755</v>
      </c>
      <c r="G1003" t="str">
        <f>CONCATENATE(Master_Packing_Database[[#This Row],[Exp '#]],Master_Packing_Database[[#This Row],[Batch '#]])</f>
        <v>2402nd-</v>
      </c>
      <c r="H1003" t="s">
        <v>963</v>
      </c>
      <c r="I1003" t="s">
        <v>964</v>
      </c>
      <c r="J1003" t="s">
        <v>117</v>
      </c>
      <c r="K1003" t="s">
        <v>4288</v>
      </c>
      <c r="L1003" t="s">
        <v>975</v>
      </c>
      <c r="M1003" t="s">
        <v>116</v>
      </c>
      <c r="N1003" t="s">
        <v>4289</v>
      </c>
      <c r="O1003" t="s">
        <v>3653</v>
      </c>
      <c r="V1003" t="s">
        <v>32</v>
      </c>
      <c r="X1003" t="s">
        <v>4282</v>
      </c>
      <c r="Z1003" t="s">
        <v>741</v>
      </c>
      <c r="AB1003" t="s">
        <v>4286</v>
      </c>
      <c r="AE1003" t="s">
        <v>4287</v>
      </c>
      <c r="AG1003" t="s">
        <v>835</v>
      </c>
      <c r="AI1003" t="s">
        <v>29</v>
      </c>
      <c r="AK1003" t="s">
        <v>4281</v>
      </c>
      <c r="AL1003" t="s">
        <v>3152</v>
      </c>
      <c r="AN1003">
        <v>0</v>
      </c>
      <c r="AO1003" t="s">
        <v>1834</v>
      </c>
      <c r="AP1003" t="s">
        <v>1834</v>
      </c>
      <c r="AQ1003">
        <v>0</v>
      </c>
      <c r="AR1003" t="s">
        <v>1758</v>
      </c>
    </row>
    <row r="1004" spans="1:44" x14ac:dyDescent="0.25">
      <c r="A1004" t="s">
        <v>3141</v>
      </c>
      <c r="D1004" t="s">
        <v>4290</v>
      </c>
      <c r="E1004" t="s">
        <v>804</v>
      </c>
      <c r="F1004" t="s">
        <v>1755</v>
      </c>
      <c r="G1004" t="str">
        <f>CONCATENATE(Master_Packing_Database[[#This Row],[Exp '#]],Master_Packing_Database[[#This Row],[Batch '#]])</f>
        <v>2366th-</v>
      </c>
      <c r="H1004" t="s">
        <v>805</v>
      </c>
      <c r="I1004" t="s">
        <v>806</v>
      </c>
      <c r="J1004" t="s">
        <v>117</v>
      </c>
      <c r="K1004" t="s">
        <v>32</v>
      </c>
      <c r="L1004" t="s">
        <v>4291</v>
      </c>
      <c r="M1004" t="s">
        <v>599</v>
      </c>
      <c r="N1004" t="s">
        <v>807</v>
      </c>
      <c r="O1004" t="s">
        <v>808</v>
      </c>
      <c r="V1004" t="s">
        <v>4292</v>
      </c>
      <c r="X1004" t="s">
        <v>4293</v>
      </c>
      <c r="Y1004" t="s">
        <v>1016</v>
      </c>
      <c r="Z1004" t="s">
        <v>4294</v>
      </c>
      <c r="AB1004" t="s">
        <v>4292</v>
      </c>
      <c r="AE1004" t="s">
        <v>4293</v>
      </c>
      <c r="AG1004" t="s">
        <v>1303</v>
      </c>
      <c r="AI1004" t="s">
        <v>29</v>
      </c>
      <c r="AK1004" t="s">
        <v>4295</v>
      </c>
      <c r="AL1004" t="s">
        <v>1268</v>
      </c>
      <c r="AN1004">
        <v>0</v>
      </c>
      <c r="AO1004" t="s">
        <v>1834</v>
      </c>
      <c r="AP1004" t="s">
        <v>1834</v>
      </c>
      <c r="AQ1004">
        <v>0</v>
      </c>
      <c r="AR1004" t="s">
        <v>1758</v>
      </c>
    </row>
    <row r="1005" spans="1:44" x14ac:dyDescent="0.25">
      <c r="A1005" t="s">
        <v>3141</v>
      </c>
      <c r="D1005" t="s">
        <v>1004</v>
      </c>
      <c r="E1005" t="s">
        <v>946</v>
      </c>
      <c r="F1005" t="s">
        <v>631</v>
      </c>
      <c r="G1005" t="str">
        <f>CONCATENATE(Master_Packing_Database[[#This Row],[Exp '#]],Master_Packing_Database[[#This Row],[Batch '#]])</f>
        <v>2398thBy Air</v>
      </c>
      <c r="H1005" t="s">
        <v>4296</v>
      </c>
      <c r="I1005" t="s">
        <v>660</v>
      </c>
      <c r="J1005" t="s">
        <v>117</v>
      </c>
      <c r="K1005" t="s">
        <v>1147</v>
      </c>
      <c r="L1005" t="s">
        <v>599</v>
      </c>
      <c r="M1005" t="s">
        <v>116</v>
      </c>
      <c r="N1005" t="s">
        <v>662</v>
      </c>
      <c r="O1005" t="s">
        <v>764</v>
      </c>
      <c r="V1005" t="s">
        <v>4199</v>
      </c>
      <c r="X1005" t="s">
        <v>4297</v>
      </c>
      <c r="Y1005" t="s">
        <v>4081</v>
      </c>
      <c r="Z1005" t="s">
        <v>728</v>
      </c>
      <c r="AB1005" t="s">
        <v>4298</v>
      </c>
      <c r="AE1005" t="s">
        <v>4297</v>
      </c>
      <c r="AG1005" t="s">
        <v>1303</v>
      </c>
      <c r="AI1005" t="s">
        <v>29</v>
      </c>
      <c r="AK1005" t="s">
        <v>4299</v>
      </c>
      <c r="AL1005" t="s">
        <v>3152</v>
      </c>
      <c r="AN1005">
        <v>0</v>
      </c>
      <c r="AO1005" t="s">
        <v>1834</v>
      </c>
      <c r="AP1005" t="s">
        <v>1834</v>
      </c>
      <c r="AQ1005">
        <v>0</v>
      </c>
      <c r="AR1005" t="s">
        <v>1758</v>
      </c>
    </row>
    <row r="1006" spans="1:44" x14ac:dyDescent="0.25">
      <c r="A1006" t="s">
        <v>3141</v>
      </c>
      <c r="D1006" t="s">
        <v>1004</v>
      </c>
      <c r="E1006" t="s">
        <v>957</v>
      </c>
      <c r="F1006" t="s">
        <v>631</v>
      </c>
      <c r="G1006" t="str">
        <f>CONCATENATE(Master_Packing_Database[[#This Row],[Exp '#]],Master_Packing_Database[[#This Row],[Batch '#]])</f>
        <v>2400thBy Air</v>
      </c>
      <c r="H1006" t="s">
        <v>4300</v>
      </c>
      <c r="I1006" t="s">
        <v>660</v>
      </c>
      <c r="J1006" t="s">
        <v>117</v>
      </c>
      <c r="K1006" t="s">
        <v>1147</v>
      </c>
      <c r="L1006" t="s">
        <v>599</v>
      </c>
      <c r="M1006" t="s">
        <v>116</v>
      </c>
      <c r="N1006" t="s">
        <v>662</v>
      </c>
      <c r="O1006" t="s">
        <v>3903</v>
      </c>
      <c r="V1006" t="s">
        <v>4199</v>
      </c>
      <c r="X1006" t="s">
        <v>4297</v>
      </c>
      <c r="Y1006" t="s">
        <v>4081</v>
      </c>
      <c r="Z1006" t="s">
        <v>728</v>
      </c>
      <c r="AB1006" t="s">
        <v>4298</v>
      </c>
      <c r="AE1006" t="s">
        <v>4297</v>
      </c>
      <c r="AG1006" t="s">
        <v>1303</v>
      </c>
      <c r="AI1006" t="s">
        <v>29</v>
      </c>
      <c r="AK1006" t="s">
        <v>4299</v>
      </c>
      <c r="AL1006" t="s">
        <v>3152</v>
      </c>
      <c r="AN1006">
        <v>0</v>
      </c>
      <c r="AO1006" t="s">
        <v>1834</v>
      </c>
      <c r="AP1006" t="s">
        <v>1834</v>
      </c>
      <c r="AQ1006">
        <v>0</v>
      </c>
      <c r="AR1006" t="s">
        <v>1758</v>
      </c>
    </row>
    <row r="1007" spans="1:44" x14ac:dyDescent="0.25">
      <c r="A1007" t="s">
        <v>3141</v>
      </c>
      <c r="D1007" t="s">
        <v>3558</v>
      </c>
      <c r="E1007" t="s">
        <v>923</v>
      </c>
      <c r="F1007" t="s">
        <v>1755</v>
      </c>
      <c r="G1007" t="str">
        <f>CONCATENATE(Master_Packing_Database[[#This Row],[Exp '#]],Master_Packing_Database[[#This Row],[Batch '#]])</f>
        <v>2390th-</v>
      </c>
      <c r="H1007" t="s">
        <v>924</v>
      </c>
      <c r="I1007" t="s">
        <v>899</v>
      </c>
      <c r="J1007" t="s">
        <v>117</v>
      </c>
      <c r="K1007" t="s">
        <v>3426</v>
      </c>
      <c r="L1007" t="s">
        <v>116</v>
      </c>
      <c r="M1007" t="s">
        <v>116</v>
      </c>
      <c r="N1007" t="s">
        <v>925</v>
      </c>
      <c r="O1007" t="s">
        <v>677</v>
      </c>
      <c r="V1007" t="s">
        <v>32</v>
      </c>
      <c r="X1007" t="s">
        <v>4301</v>
      </c>
      <c r="Z1007" t="s">
        <v>1346</v>
      </c>
      <c r="AB1007" t="s">
        <v>4302</v>
      </c>
      <c r="AE1007" t="s">
        <v>4301</v>
      </c>
      <c r="AG1007" t="s">
        <v>1303</v>
      </c>
      <c r="AI1007" t="s">
        <v>29</v>
      </c>
      <c r="AK1007" t="s">
        <v>4303</v>
      </c>
      <c r="AL1007" t="s">
        <v>3152</v>
      </c>
      <c r="AN1007">
        <v>0</v>
      </c>
      <c r="AO1007" t="s">
        <v>1834</v>
      </c>
      <c r="AP1007" t="s">
        <v>1834</v>
      </c>
      <c r="AQ1007">
        <v>0</v>
      </c>
      <c r="AR1007" t="s">
        <v>1758</v>
      </c>
    </row>
    <row r="1008" spans="1:44" x14ac:dyDescent="0.25">
      <c r="A1008" t="s">
        <v>3141</v>
      </c>
      <c r="D1008" t="s">
        <v>917</v>
      </c>
      <c r="E1008" t="s">
        <v>916</v>
      </c>
      <c r="F1008" t="s">
        <v>1755</v>
      </c>
      <c r="G1008" t="str">
        <f>CONCATENATE(Master_Packing_Database[[#This Row],[Exp '#]],Master_Packing_Database[[#This Row],[Batch '#]])</f>
        <v>2389th-</v>
      </c>
      <c r="H1008" t="s">
        <v>918</v>
      </c>
      <c r="I1008" t="s">
        <v>660</v>
      </c>
      <c r="J1008" t="s">
        <v>117</v>
      </c>
      <c r="K1008" t="s">
        <v>4304</v>
      </c>
      <c r="L1008" t="s">
        <v>544</v>
      </c>
      <c r="M1008" t="s">
        <v>599</v>
      </c>
      <c r="N1008" t="s">
        <v>4238</v>
      </c>
      <c r="O1008" t="s">
        <v>4305</v>
      </c>
      <c r="V1008" t="s">
        <v>32</v>
      </c>
      <c r="X1008" t="s">
        <v>4301</v>
      </c>
      <c r="Z1008" t="s">
        <v>1346</v>
      </c>
      <c r="AB1008" t="s">
        <v>4302</v>
      </c>
      <c r="AE1008" t="s">
        <v>4301</v>
      </c>
      <c r="AG1008" t="s">
        <v>1303</v>
      </c>
      <c r="AI1008" t="s">
        <v>29</v>
      </c>
      <c r="AK1008" t="s">
        <v>4303</v>
      </c>
      <c r="AL1008" t="s">
        <v>3152</v>
      </c>
      <c r="AN1008">
        <v>0</v>
      </c>
      <c r="AO1008" t="s">
        <v>1834</v>
      </c>
      <c r="AP1008" t="s">
        <v>1834</v>
      </c>
      <c r="AQ1008">
        <v>0</v>
      </c>
      <c r="AR1008" t="s">
        <v>1758</v>
      </c>
    </row>
    <row r="1009" spans="1:44" x14ac:dyDescent="0.25">
      <c r="A1009" t="s">
        <v>3141</v>
      </c>
      <c r="D1009" t="s">
        <v>3558</v>
      </c>
      <c r="E1009" t="s">
        <v>936</v>
      </c>
      <c r="F1009" t="s">
        <v>1755</v>
      </c>
      <c r="G1009" t="str">
        <f>CONCATENATE(Master_Packing_Database[[#This Row],[Exp '#]],Master_Packing_Database[[#This Row],[Batch '#]])</f>
        <v>2395th-</v>
      </c>
      <c r="H1009" t="s">
        <v>937</v>
      </c>
      <c r="I1009" t="s">
        <v>713</v>
      </c>
      <c r="J1009" t="s">
        <v>117</v>
      </c>
      <c r="K1009" t="s">
        <v>4306</v>
      </c>
      <c r="L1009" t="s">
        <v>599</v>
      </c>
      <c r="M1009" t="s">
        <v>116</v>
      </c>
      <c r="N1009" t="s">
        <v>3295</v>
      </c>
      <c r="O1009" t="s">
        <v>328</v>
      </c>
      <c r="V1009" t="s">
        <v>32</v>
      </c>
      <c r="X1009" t="s">
        <v>4301</v>
      </c>
      <c r="Z1009" t="s">
        <v>1346</v>
      </c>
      <c r="AB1009" t="s">
        <v>4302</v>
      </c>
      <c r="AE1009" t="s">
        <v>4301</v>
      </c>
      <c r="AG1009" t="s">
        <v>1303</v>
      </c>
      <c r="AI1009" t="s">
        <v>29</v>
      </c>
      <c r="AK1009" t="s">
        <v>4303</v>
      </c>
      <c r="AL1009" t="s">
        <v>3152</v>
      </c>
      <c r="AN1009">
        <v>0</v>
      </c>
      <c r="AO1009" t="s">
        <v>1834</v>
      </c>
      <c r="AP1009" t="s">
        <v>1834</v>
      </c>
      <c r="AQ1009">
        <v>0</v>
      </c>
      <c r="AR1009" t="s">
        <v>1758</v>
      </c>
    </row>
    <row r="1010" spans="1:44" x14ac:dyDescent="0.25">
      <c r="A1010" t="s">
        <v>3141</v>
      </c>
      <c r="D1010" t="s">
        <v>3558</v>
      </c>
      <c r="E1010" t="s">
        <v>843</v>
      </c>
      <c r="F1010" t="s">
        <v>1755</v>
      </c>
      <c r="G1010" t="str">
        <f>CONCATENATE(Master_Packing_Database[[#This Row],[Exp '#]],Master_Packing_Database[[#This Row],[Batch '#]])</f>
        <v>2375th-</v>
      </c>
      <c r="H1010" t="s">
        <v>845</v>
      </c>
      <c r="I1010" t="s">
        <v>846</v>
      </c>
      <c r="J1010" t="s">
        <v>4159</v>
      </c>
      <c r="K1010" t="s">
        <v>4307</v>
      </c>
      <c r="L1010" t="s">
        <v>849</v>
      </c>
      <c r="M1010" t="s">
        <v>835</v>
      </c>
      <c r="N1010" t="s">
        <v>847</v>
      </c>
      <c r="O1010" t="s">
        <v>848</v>
      </c>
      <c r="V1010" t="s">
        <v>32</v>
      </c>
      <c r="X1010" t="s">
        <v>4308</v>
      </c>
      <c r="Z1010" t="s">
        <v>4309</v>
      </c>
      <c r="AB1010" t="s">
        <v>4310</v>
      </c>
      <c r="AE1010" t="s">
        <v>4308</v>
      </c>
      <c r="AG1010" t="s">
        <v>1303</v>
      </c>
      <c r="AI1010" t="s">
        <v>29</v>
      </c>
      <c r="AK1010" t="s">
        <v>4303</v>
      </c>
      <c r="AL1010" t="s">
        <v>3152</v>
      </c>
      <c r="AN1010">
        <v>0</v>
      </c>
      <c r="AO1010" t="s">
        <v>1834</v>
      </c>
      <c r="AP1010" t="s">
        <v>1834</v>
      </c>
      <c r="AQ1010">
        <v>0</v>
      </c>
      <c r="AR1010" t="s">
        <v>1758</v>
      </c>
    </row>
    <row r="1011" spans="1:44" x14ac:dyDescent="0.25">
      <c r="A1011" t="s">
        <v>3141</v>
      </c>
      <c r="D1011" t="s">
        <v>258</v>
      </c>
      <c r="E1011" t="s">
        <v>958</v>
      </c>
      <c r="F1011" t="s">
        <v>1755</v>
      </c>
      <c r="G1011" t="str">
        <f>CONCATENATE(Master_Packing_Database[[#This Row],[Exp '#]],Master_Packing_Database[[#This Row],[Batch '#]])</f>
        <v>2401st-</v>
      </c>
      <c r="H1011" t="s">
        <v>959</v>
      </c>
      <c r="I1011" t="s">
        <v>332</v>
      </c>
      <c r="J1011" t="s">
        <v>366</v>
      </c>
      <c r="K1011" t="s">
        <v>961</v>
      </c>
      <c r="L1011" t="s">
        <v>599</v>
      </c>
      <c r="M1011" t="s">
        <v>116</v>
      </c>
      <c r="N1011" t="s">
        <v>960</v>
      </c>
      <c r="O1011" t="s">
        <v>334</v>
      </c>
      <c r="V1011" t="s">
        <v>32</v>
      </c>
      <c r="X1011" t="s">
        <v>4311</v>
      </c>
      <c r="Z1011" t="s">
        <v>328</v>
      </c>
      <c r="AB1011" t="s">
        <v>4312</v>
      </c>
      <c r="AE1011" t="s">
        <v>4311</v>
      </c>
      <c r="AG1011" t="s">
        <v>1303</v>
      </c>
      <c r="AI1011" t="s">
        <v>29</v>
      </c>
      <c r="AK1011" t="s">
        <v>4313</v>
      </c>
      <c r="AL1011" t="s">
        <v>3152</v>
      </c>
      <c r="AN1011">
        <v>0</v>
      </c>
      <c r="AO1011" t="s">
        <v>1834</v>
      </c>
      <c r="AP1011" t="s">
        <v>1834</v>
      </c>
      <c r="AQ1011">
        <v>0</v>
      </c>
      <c r="AR1011" t="s">
        <v>1758</v>
      </c>
    </row>
    <row r="1012" spans="1:44" x14ac:dyDescent="0.25">
      <c r="A1012" t="s">
        <v>3141</v>
      </c>
      <c r="D1012" t="s">
        <v>258</v>
      </c>
      <c r="E1012" t="s">
        <v>973</v>
      </c>
      <c r="F1012" t="s">
        <v>1755</v>
      </c>
      <c r="G1012" t="str">
        <f>CONCATENATE(Master_Packing_Database[[#This Row],[Exp '#]],Master_Packing_Database[[#This Row],[Batch '#]])</f>
        <v>2404th-</v>
      </c>
      <c r="H1012" t="s">
        <v>974</v>
      </c>
      <c r="I1012" t="s">
        <v>332</v>
      </c>
      <c r="J1012" t="s">
        <v>366</v>
      </c>
      <c r="K1012" t="s">
        <v>978</v>
      </c>
      <c r="L1012" t="s">
        <v>975</v>
      </c>
      <c r="M1012" t="s">
        <v>116</v>
      </c>
      <c r="N1012" t="s">
        <v>976</v>
      </c>
      <c r="O1012" t="s">
        <v>977</v>
      </c>
      <c r="V1012" t="s">
        <v>32</v>
      </c>
      <c r="X1012" t="s">
        <v>4311</v>
      </c>
      <c r="Z1012" t="s">
        <v>328</v>
      </c>
      <c r="AB1012" t="s">
        <v>4312</v>
      </c>
      <c r="AE1012" t="s">
        <v>4311</v>
      </c>
      <c r="AG1012" t="s">
        <v>1303</v>
      </c>
      <c r="AI1012" t="s">
        <v>29</v>
      </c>
      <c r="AK1012" t="s">
        <v>4313</v>
      </c>
      <c r="AL1012" t="s">
        <v>3152</v>
      </c>
      <c r="AN1012">
        <v>0</v>
      </c>
      <c r="AO1012" t="s">
        <v>1834</v>
      </c>
      <c r="AP1012" t="s">
        <v>1834</v>
      </c>
      <c r="AQ1012">
        <v>0</v>
      </c>
      <c r="AR1012" t="s">
        <v>1758</v>
      </c>
    </row>
    <row r="1013" spans="1:44" x14ac:dyDescent="0.25">
      <c r="A1013" t="s">
        <v>3141</v>
      </c>
      <c r="D1013" t="s">
        <v>258</v>
      </c>
      <c r="E1013" t="s">
        <v>1039</v>
      </c>
      <c r="F1013" t="s">
        <v>1755</v>
      </c>
      <c r="G1013" t="str">
        <f>CONCATENATE(Master_Packing_Database[[#This Row],[Exp '#]],Master_Packing_Database[[#This Row],[Batch '#]])</f>
        <v>2421st-</v>
      </c>
      <c r="H1013" t="s">
        <v>1040</v>
      </c>
      <c r="I1013" t="s">
        <v>120</v>
      </c>
      <c r="J1013" t="s">
        <v>117</v>
      </c>
      <c r="K1013" t="s">
        <v>1042</v>
      </c>
      <c r="L1013" t="s">
        <v>599</v>
      </c>
      <c r="M1013" t="s">
        <v>599</v>
      </c>
      <c r="N1013" t="s">
        <v>321</v>
      </c>
      <c r="O1013" t="s">
        <v>1041</v>
      </c>
      <c r="V1013" t="s">
        <v>32</v>
      </c>
      <c r="X1013" t="s">
        <v>4314</v>
      </c>
      <c r="Z1013" t="s">
        <v>4315</v>
      </c>
      <c r="AB1013" t="s">
        <v>4316</v>
      </c>
      <c r="AE1013" t="s">
        <v>4314</v>
      </c>
      <c r="AG1013" t="s">
        <v>1303</v>
      </c>
      <c r="AI1013" t="s">
        <v>29</v>
      </c>
      <c r="AK1013" t="s">
        <v>4313</v>
      </c>
      <c r="AL1013" t="s">
        <v>3152</v>
      </c>
      <c r="AN1013">
        <v>0</v>
      </c>
      <c r="AO1013" t="s">
        <v>1834</v>
      </c>
      <c r="AP1013" t="s">
        <v>1834</v>
      </c>
      <c r="AQ1013">
        <v>0</v>
      </c>
      <c r="AR1013" t="s">
        <v>1758</v>
      </c>
    </row>
    <row r="1014" spans="1:44" x14ac:dyDescent="0.25">
      <c r="A1014" t="s">
        <v>3141</v>
      </c>
      <c r="D1014" t="s">
        <v>917</v>
      </c>
      <c r="E1014" t="s">
        <v>948</v>
      </c>
      <c r="F1014" t="s">
        <v>1755</v>
      </c>
      <c r="G1014" t="str">
        <f>CONCATENATE(Master_Packing_Database[[#This Row],[Exp '#]],Master_Packing_Database[[#This Row],[Batch '#]])</f>
        <v>2399th-</v>
      </c>
      <c r="H1014" t="s">
        <v>949</v>
      </c>
      <c r="I1014" t="s">
        <v>950</v>
      </c>
      <c r="J1014" t="s">
        <v>117</v>
      </c>
      <c r="K1014" t="s">
        <v>3399</v>
      </c>
      <c r="L1014" t="s">
        <v>599</v>
      </c>
      <c r="M1014" t="s">
        <v>599</v>
      </c>
      <c r="N1014" t="s">
        <v>4317</v>
      </c>
      <c r="O1014" t="s">
        <v>4318</v>
      </c>
      <c r="V1014" t="s">
        <v>32</v>
      </c>
      <c r="X1014" t="s">
        <v>2568</v>
      </c>
      <c r="Z1014" t="s">
        <v>2569</v>
      </c>
      <c r="AB1014" t="s">
        <v>3045</v>
      </c>
      <c r="AE1014" t="s">
        <v>2568</v>
      </c>
      <c r="AG1014" t="s">
        <v>1303</v>
      </c>
      <c r="AI1014" t="s">
        <v>29</v>
      </c>
      <c r="AK1014" t="s">
        <v>4313</v>
      </c>
      <c r="AL1014" t="s">
        <v>3152</v>
      </c>
      <c r="AN1014">
        <v>0</v>
      </c>
      <c r="AO1014" t="s">
        <v>1834</v>
      </c>
      <c r="AP1014" t="s">
        <v>1834</v>
      </c>
      <c r="AQ1014">
        <v>0</v>
      </c>
      <c r="AR1014" t="s">
        <v>1758</v>
      </c>
    </row>
    <row r="1015" spans="1:44" x14ac:dyDescent="0.25">
      <c r="A1015" t="s">
        <v>3141</v>
      </c>
      <c r="D1015" t="s">
        <v>1004</v>
      </c>
      <c r="E1015" t="s">
        <v>1023</v>
      </c>
      <c r="F1015" t="s">
        <v>1755</v>
      </c>
      <c r="G1015" t="str">
        <f>CONCATENATE(Master_Packing_Database[[#This Row],[Exp '#]],Master_Packing_Database[[#This Row],[Batch '#]])</f>
        <v>2416th-</v>
      </c>
      <c r="H1015" t="s">
        <v>1024</v>
      </c>
      <c r="I1015" t="s">
        <v>660</v>
      </c>
      <c r="J1015" t="s">
        <v>117</v>
      </c>
      <c r="K1015" t="s">
        <v>4319</v>
      </c>
      <c r="L1015" t="s">
        <v>599</v>
      </c>
      <c r="M1015" t="s">
        <v>116</v>
      </c>
      <c r="N1015" t="s">
        <v>3349</v>
      </c>
      <c r="O1015" t="s">
        <v>4320</v>
      </c>
      <c r="V1015" t="s">
        <v>32</v>
      </c>
      <c r="X1015" t="s">
        <v>2557</v>
      </c>
      <c r="Z1015" t="s">
        <v>264</v>
      </c>
      <c r="AB1015" t="s">
        <v>2568</v>
      </c>
      <c r="AE1015" t="s">
        <v>2557</v>
      </c>
      <c r="AG1015" t="s">
        <v>1303</v>
      </c>
      <c r="AI1015" t="s">
        <v>29</v>
      </c>
      <c r="AK1015" t="s">
        <v>4321</v>
      </c>
      <c r="AL1015" t="s">
        <v>1268</v>
      </c>
      <c r="AN1015">
        <v>0</v>
      </c>
      <c r="AO1015" t="s">
        <v>1834</v>
      </c>
      <c r="AP1015" t="s">
        <v>1834</v>
      </c>
      <c r="AQ1015">
        <v>0</v>
      </c>
      <c r="AR1015" t="s">
        <v>1758</v>
      </c>
    </row>
    <row r="1016" spans="1:44" x14ac:dyDescent="0.25">
      <c r="A1016" t="s">
        <v>3141</v>
      </c>
      <c r="D1016" t="s">
        <v>1077</v>
      </c>
      <c r="E1016" t="s">
        <v>1076</v>
      </c>
      <c r="F1016" t="s">
        <v>1755</v>
      </c>
      <c r="G1016" t="str">
        <f>CONCATENATE(Master_Packing_Database[[#This Row],[Exp '#]],Master_Packing_Database[[#This Row],[Batch '#]])</f>
        <v>2432nd-</v>
      </c>
      <c r="H1016" t="s">
        <v>1078</v>
      </c>
      <c r="I1016" t="s">
        <v>660</v>
      </c>
      <c r="J1016" t="s">
        <v>117</v>
      </c>
      <c r="K1016" t="s">
        <v>4322</v>
      </c>
      <c r="L1016" t="s">
        <v>599</v>
      </c>
      <c r="M1016" t="s">
        <v>116</v>
      </c>
      <c r="N1016" t="s">
        <v>714</v>
      </c>
      <c r="O1016" t="s">
        <v>4323</v>
      </c>
      <c r="V1016" t="s">
        <v>32</v>
      </c>
      <c r="X1016" t="s">
        <v>2643</v>
      </c>
      <c r="Z1016" t="s">
        <v>1425</v>
      </c>
      <c r="AB1016" t="s">
        <v>2639</v>
      </c>
      <c r="AE1016" t="s">
        <v>2643</v>
      </c>
      <c r="AG1016" t="s">
        <v>1303</v>
      </c>
      <c r="AI1016" t="s">
        <v>29</v>
      </c>
      <c r="AK1016" t="s">
        <v>4321</v>
      </c>
      <c r="AL1016" t="s">
        <v>1268</v>
      </c>
      <c r="AN1016">
        <v>0</v>
      </c>
      <c r="AO1016" t="s">
        <v>1834</v>
      </c>
      <c r="AP1016" t="s">
        <v>1834</v>
      </c>
      <c r="AQ1016">
        <v>0</v>
      </c>
      <c r="AR1016" t="s">
        <v>1758</v>
      </c>
    </row>
    <row r="1017" spans="1:44" x14ac:dyDescent="0.25">
      <c r="A1017" t="s">
        <v>3141</v>
      </c>
      <c r="D1017" t="s">
        <v>1004</v>
      </c>
      <c r="E1017" t="s">
        <v>1067</v>
      </c>
      <c r="F1017" t="s">
        <v>1755</v>
      </c>
      <c r="G1017" t="str">
        <f>CONCATENATE(Master_Packing_Database[[#This Row],[Exp '#]],Master_Packing_Database[[#This Row],[Batch '#]])</f>
        <v>2429th-</v>
      </c>
      <c r="H1017" t="s">
        <v>1068</v>
      </c>
      <c r="I1017" t="s">
        <v>676</v>
      </c>
      <c r="J1017" t="s">
        <v>366</v>
      </c>
      <c r="K1017" t="s">
        <v>32</v>
      </c>
      <c r="L1017" t="s">
        <v>975</v>
      </c>
      <c r="M1017" t="s">
        <v>599</v>
      </c>
      <c r="N1017" t="s">
        <v>4324</v>
      </c>
      <c r="O1017" t="s">
        <v>4325</v>
      </c>
      <c r="V1017" t="s">
        <v>32</v>
      </c>
      <c r="X1017" t="s">
        <v>2643</v>
      </c>
      <c r="Z1017" t="s">
        <v>1425</v>
      </c>
      <c r="AB1017" t="s">
        <v>2639</v>
      </c>
      <c r="AE1017" t="s">
        <v>2643</v>
      </c>
      <c r="AG1017" t="s">
        <v>1303</v>
      </c>
      <c r="AI1017" t="s">
        <v>29</v>
      </c>
      <c r="AK1017" t="s">
        <v>4321</v>
      </c>
      <c r="AL1017" t="s">
        <v>1268</v>
      </c>
      <c r="AN1017">
        <v>0</v>
      </c>
      <c r="AO1017" t="s">
        <v>1834</v>
      </c>
      <c r="AP1017" t="s">
        <v>1834</v>
      </c>
      <c r="AQ1017">
        <v>0</v>
      </c>
      <c r="AR1017" t="s">
        <v>1758</v>
      </c>
    </row>
    <row r="1018" spans="1:44" x14ac:dyDescent="0.25">
      <c r="A1018" t="s">
        <v>3141</v>
      </c>
      <c r="D1018" t="s">
        <v>330</v>
      </c>
      <c r="E1018" t="s">
        <v>1117</v>
      </c>
      <c r="F1018" t="s">
        <v>1755</v>
      </c>
      <c r="G1018" t="str">
        <f>CONCATENATE(Master_Packing_Database[[#This Row],[Exp '#]],Master_Packing_Database[[#This Row],[Batch '#]])</f>
        <v>2447th-</v>
      </c>
      <c r="H1018" t="s">
        <v>1118</v>
      </c>
      <c r="I1018" t="s">
        <v>660</v>
      </c>
      <c r="J1018" t="s">
        <v>117</v>
      </c>
      <c r="K1018" t="s">
        <v>4326</v>
      </c>
      <c r="L1018" t="s">
        <v>599</v>
      </c>
      <c r="M1018" t="s">
        <v>116</v>
      </c>
      <c r="N1018" t="s">
        <v>548</v>
      </c>
      <c r="O1018" t="s">
        <v>4327</v>
      </c>
      <c r="V1018" t="s">
        <v>2559</v>
      </c>
      <c r="X1018" t="s">
        <v>2643</v>
      </c>
      <c r="Z1018" t="s">
        <v>1425</v>
      </c>
      <c r="AB1018" t="s">
        <v>2590</v>
      </c>
      <c r="AE1018" t="s">
        <v>2643</v>
      </c>
      <c r="AG1018" t="s">
        <v>4131</v>
      </c>
      <c r="AI1018" t="s">
        <v>29</v>
      </c>
      <c r="AK1018" t="s">
        <v>4321</v>
      </c>
      <c r="AL1018" t="s">
        <v>1268</v>
      </c>
      <c r="AN1018">
        <v>0</v>
      </c>
      <c r="AO1018" t="s">
        <v>1834</v>
      </c>
      <c r="AP1018" t="s">
        <v>1834</v>
      </c>
      <c r="AQ1018">
        <v>0</v>
      </c>
      <c r="AR1018" t="s">
        <v>1758</v>
      </c>
    </row>
    <row r="1019" spans="1:44" x14ac:dyDescent="0.25">
      <c r="A1019" t="s">
        <v>3141</v>
      </c>
      <c r="D1019" t="s">
        <v>44</v>
      </c>
      <c r="E1019" t="s">
        <v>1097</v>
      </c>
      <c r="F1019" t="s">
        <v>1755</v>
      </c>
      <c r="G1019" t="str">
        <f>CONCATENATE(Master_Packing_Database[[#This Row],[Exp '#]],Master_Packing_Database[[#This Row],[Batch '#]])</f>
        <v>2441st-</v>
      </c>
      <c r="H1019" t="s">
        <v>1098</v>
      </c>
      <c r="I1019" t="s">
        <v>319</v>
      </c>
      <c r="J1019" t="s">
        <v>366</v>
      </c>
      <c r="K1019" t="s">
        <v>3372</v>
      </c>
      <c r="L1019" t="s">
        <v>975</v>
      </c>
      <c r="M1019" t="s">
        <v>116</v>
      </c>
      <c r="N1019" t="s">
        <v>764</v>
      </c>
      <c r="O1019" t="s">
        <v>3341</v>
      </c>
      <c r="V1019" t="s">
        <v>32</v>
      </c>
      <c r="X1019" t="s">
        <v>2643</v>
      </c>
      <c r="Z1019" t="s">
        <v>1425</v>
      </c>
      <c r="AB1019" t="s">
        <v>2639</v>
      </c>
      <c r="AE1019" t="s">
        <v>2643</v>
      </c>
      <c r="AG1019" t="s">
        <v>1303</v>
      </c>
      <c r="AI1019" t="s">
        <v>29</v>
      </c>
      <c r="AK1019" t="s">
        <v>4321</v>
      </c>
      <c r="AL1019" t="s">
        <v>1268</v>
      </c>
      <c r="AN1019">
        <v>0</v>
      </c>
      <c r="AO1019" t="s">
        <v>1834</v>
      </c>
      <c r="AP1019" t="s">
        <v>1834</v>
      </c>
      <c r="AQ1019">
        <v>0</v>
      </c>
      <c r="AR1019" t="s">
        <v>1758</v>
      </c>
    </row>
    <row r="1020" spans="1:44" x14ac:dyDescent="0.25">
      <c r="A1020" t="s">
        <v>3141</v>
      </c>
      <c r="D1020" t="s">
        <v>625</v>
      </c>
      <c r="E1020" t="s">
        <v>1335</v>
      </c>
      <c r="F1020" t="s">
        <v>1755</v>
      </c>
      <c r="G1020" t="str">
        <f>CONCATENATE(Master_Packing_Database[[#This Row],[Exp '#]],Master_Packing_Database[[#This Row],[Batch '#]])</f>
        <v>IOL MEMO No. 212 - 2265 ( FOCR )-</v>
      </c>
      <c r="H1020" t="s">
        <v>1336</v>
      </c>
      <c r="I1020" t="s">
        <v>1337</v>
      </c>
      <c r="J1020" t="s">
        <v>117</v>
      </c>
      <c r="K1020" t="s">
        <v>4328</v>
      </c>
      <c r="L1020" t="s">
        <v>1338</v>
      </c>
      <c r="M1020" t="s">
        <v>599</v>
      </c>
      <c r="N1020" t="s">
        <v>4329</v>
      </c>
      <c r="O1020" t="s">
        <v>4330</v>
      </c>
      <c r="V1020" t="s">
        <v>32</v>
      </c>
      <c r="X1020" t="s">
        <v>2649</v>
      </c>
      <c r="Z1020" t="s">
        <v>1072</v>
      </c>
      <c r="AB1020" t="s">
        <v>4331</v>
      </c>
      <c r="AE1020" t="s">
        <v>2649</v>
      </c>
      <c r="AG1020" t="s">
        <v>1303</v>
      </c>
      <c r="AI1020" t="s">
        <v>29</v>
      </c>
      <c r="AK1020" t="s">
        <v>4321</v>
      </c>
      <c r="AL1020" t="s">
        <v>1268</v>
      </c>
      <c r="AN1020">
        <v>0</v>
      </c>
      <c r="AO1020" t="s">
        <v>1834</v>
      </c>
      <c r="AP1020" t="s">
        <v>1834</v>
      </c>
      <c r="AQ1020">
        <v>0</v>
      </c>
      <c r="AR1020" t="s">
        <v>1758</v>
      </c>
    </row>
    <row r="1021" spans="1:44" x14ac:dyDescent="0.25">
      <c r="A1021" t="s">
        <v>3141</v>
      </c>
      <c r="D1021" t="s">
        <v>625</v>
      </c>
      <c r="E1021" t="s">
        <v>4332</v>
      </c>
      <c r="F1021" t="s">
        <v>1755</v>
      </c>
      <c r="G1021" t="str">
        <f>CONCATENATE(Master_Packing_Database[[#This Row],[Exp '#]],Master_Packing_Database[[#This Row],[Batch '#]])</f>
        <v>IOL MEMO No. 213 - 2265 ( FOCR )-</v>
      </c>
      <c r="H1021" t="s">
        <v>1336</v>
      </c>
      <c r="I1021" t="s">
        <v>4333</v>
      </c>
      <c r="J1021" t="s">
        <v>366</v>
      </c>
      <c r="K1021" t="s">
        <v>4334</v>
      </c>
      <c r="L1021" t="s">
        <v>544</v>
      </c>
      <c r="M1021" t="s">
        <v>835</v>
      </c>
      <c r="N1021" t="s">
        <v>4335</v>
      </c>
      <c r="O1021" t="s">
        <v>4336</v>
      </c>
      <c r="V1021" t="s">
        <v>32</v>
      </c>
      <c r="X1021" t="s">
        <v>2649</v>
      </c>
      <c r="Z1021" t="s">
        <v>1072</v>
      </c>
      <c r="AB1021" t="s">
        <v>4331</v>
      </c>
      <c r="AE1021" t="s">
        <v>2649</v>
      </c>
      <c r="AG1021" t="s">
        <v>1303</v>
      </c>
      <c r="AI1021" t="s">
        <v>29</v>
      </c>
      <c r="AK1021" t="s">
        <v>4321</v>
      </c>
      <c r="AL1021" t="s">
        <v>1268</v>
      </c>
      <c r="AN1021">
        <v>0</v>
      </c>
      <c r="AO1021" t="s">
        <v>1834</v>
      </c>
      <c r="AP1021" t="s">
        <v>1834</v>
      </c>
      <c r="AQ1021">
        <v>0</v>
      </c>
      <c r="AR1021" t="s">
        <v>1758</v>
      </c>
    </row>
    <row r="1022" spans="1:44" x14ac:dyDescent="0.25">
      <c r="A1022" t="s">
        <v>3141</v>
      </c>
      <c r="D1022" t="s">
        <v>1077</v>
      </c>
      <c r="E1022" t="s">
        <v>1079</v>
      </c>
      <c r="F1022" t="s">
        <v>1755</v>
      </c>
      <c r="G1022" t="str">
        <f>CONCATENATE(Master_Packing_Database[[#This Row],[Exp '#]],Master_Packing_Database[[#This Row],[Batch '#]])</f>
        <v>2433rd-</v>
      </c>
      <c r="H1022" t="s">
        <v>1080</v>
      </c>
      <c r="I1022" t="s">
        <v>332</v>
      </c>
      <c r="J1022" t="s">
        <v>117</v>
      </c>
      <c r="K1022" t="s">
        <v>4337</v>
      </c>
      <c r="L1022" t="s">
        <v>599</v>
      </c>
      <c r="M1022" t="s">
        <v>116</v>
      </c>
      <c r="N1022" t="s">
        <v>334</v>
      </c>
      <c r="O1022" t="s">
        <v>4338</v>
      </c>
      <c r="V1022" t="s">
        <v>32</v>
      </c>
      <c r="X1022" t="s">
        <v>2649</v>
      </c>
      <c r="Z1022" t="s">
        <v>1072</v>
      </c>
      <c r="AB1022" t="s">
        <v>4331</v>
      </c>
      <c r="AE1022" t="s">
        <v>2649</v>
      </c>
      <c r="AG1022" t="s">
        <v>1303</v>
      </c>
      <c r="AI1022" t="s">
        <v>29</v>
      </c>
      <c r="AK1022" t="s">
        <v>4321</v>
      </c>
      <c r="AL1022" t="s">
        <v>1268</v>
      </c>
      <c r="AN1022">
        <v>0</v>
      </c>
      <c r="AO1022" t="s">
        <v>1834</v>
      </c>
      <c r="AP1022" t="s">
        <v>1834</v>
      </c>
      <c r="AQ1022">
        <v>0</v>
      </c>
      <c r="AR1022" t="s">
        <v>1758</v>
      </c>
    </row>
    <row r="1023" spans="1:44" x14ac:dyDescent="0.25">
      <c r="A1023" t="s">
        <v>3141</v>
      </c>
      <c r="D1023" t="s">
        <v>1077</v>
      </c>
      <c r="E1023" t="s">
        <v>1100</v>
      </c>
      <c r="F1023" t="s">
        <v>1755</v>
      </c>
      <c r="G1023" t="str">
        <f>CONCATENATE(Master_Packing_Database[[#This Row],[Exp '#]],Master_Packing_Database[[#This Row],[Batch '#]])</f>
        <v>2442nd-</v>
      </c>
      <c r="H1023" t="s">
        <v>1101</v>
      </c>
      <c r="I1023" t="s">
        <v>660</v>
      </c>
      <c r="J1023" t="s">
        <v>117</v>
      </c>
      <c r="K1023" t="s">
        <v>4339</v>
      </c>
      <c r="L1023" t="s">
        <v>599</v>
      </c>
      <c r="M1023" t="s">
        <v>116</v>
      </c>
      <c r="N1023" t="s">
        <v>339</v>
      </c>
      <c r="O1023" t="s">
        <v>966</v>
      </c>
      <c r="V1023" t="s">
        <v>2558</v>
      </c>
      <c r="X1023" t="s">
        <v>2649</v>
      </c>
      <c r="Y1023" t="s">
        <v>3544</v>
      </c>
      <c r="Z1023" t="s">
        <v>1072</v>
      </c>
      <c r="AB1023" t="s">
        <v>4331</v>
      </c>
      <c r="AE1023" t="s">
        <v>2649</v>
      </c>
      <c r="AG1023" t="s">
        <v>1303</v>
      </c>
      <c r="AI1023" t="s">
        <v>29</v>
      </c>
      <c r="AK1023" t="s">
        <v>4321</v>
      </c>
      <c r="AL1023" t="s">
        <v>1268</v>
      </c>
      <c r="AN1023">
        <v>0</v>
      </c>
      <c r="AO1023" t="s">
        <v>1834</v>
      </c>
      <c r="AP1023" t="s">
        <v>1834</v>
      </c>
      <c r="AQ1023">
        <v>0</v>
      </c>
      <c r="AR1023" t="s">
        <v>1758</v>
      </c>
    </row>
    <row r="1024" spans="1:44" x14ac:dyDescent="0.25">
      <c r="A1024" t="s">
        <v>3141</v>
      </c>
      <c r="D1024" t="s">
        <v>4340</v>
      </c>
      <c r="E1024" t="s">
        <v>4341</v>
      </c>
      <c r="F1024" t="s">
        <v>1755</v>
      </c>
      <c r="G1024" t="str">
        <f>CONCATENATE(Master_Packing_Database[[#This Row],[Exp '#]],Master_Packing_Database[[#This Row],[Batch '#]])</f>
        <v>24-020-</v>
      </c>
      <c r="H1024" t="s">
        <v>4342</v>
      </c>
      <c r="I1024" t="s">
        <v>4343</v>
      </c>
      <c r="J1024" t="s">
        <v>117</v>
      </c>
      <c r="K1024" t="s">
        <v>1147</v>
      </c>
      <c r="L1024" t="s">
        <v>1085</v>
      </c>
      <c r="M1024" t="s">
        <v>116</v>
      </c>
      <c r="N1024" t="s">
        <v>4272</v>
      </c>
      <c r="O1024" t="s">
        <v>4181</v>
      </c>
      <c r="V1024" t="s">
        <v>3148</v>
      </c>
      <c r="X1024" t="s">
        <v>4344</v>
      </c>
      <c r="Y1024" t="s">
        <v>975</v>
      </c>
      <c r="Z1024" t="s">
        <v>1072</v>
      </c>
      <c r="AB1024" t="s">
        <v>3150</v>
      </c>
      <c r="AE1024" t="s">
        <v>4344</v>
      </c>
      <c r="AG1024" t="s">
        <v>1303</v>
      </c>
      <c r="AI1024" t="s">
        <v>29</v>
      </c>
      <c r="AK1024" t="s">
        <v>4345</v>
      </c>
      <c r="AL1024" t="s">
        <v>3152</v>
      </c>
      <c r="AN1024">
        <v>0</v>
      </c>
      <c r="AO1024" t="s">
        <v>1834</v>
      </c>
      <c r="AP1024" t="s">
        <v>1834</v>
      </c>
      <c r="AQ1024">
        <v>0</v>
      </c>
      <c r="AR1024" t="s">
        <v>1758</v>
      </c>
    </row>
    <row r="1025" spans="1:44" x14ac:dyDescent="0.25">
      <c r="A1025" t="s">
        <v>3141</v>
      </c>
      <c r="D1025" t="s">
        <v>784</v>
      </c>
      <c r="E1025" t="s">
        <v>4346</v>
      </c>
      <c r="F1025" t="s">
        <v>1755</v>
      </c>
      <c r="G1025" t="str">
        <f>CONCATENATE(Master_Packing_Database[[#This Row],[Exp '#]],Master_Packing_Database[[#This Row],[Batch '#]])</f>
        <v>2025th-</v>
      </c>
      <c r="H1025" t="s">
        <v>4347</v>
      </c>
      <c r="I1025" t="s">
        <v>4348</v>
      </c>
      <c r="J1025" t="s">
        <v>117</v>
      </c>
      <c r="K1025" t="s">
        <v>3227</v>
      </c>
      <c r="L1025" t="s">
        <v>4349</v>
      </c>
      <c r="M1025" t="s">
        <v>599</v>
      </c>
      <c r="N1025" t="s">
        <v>4350</v>
      </c>
      <c r="O1025" t="s">
        <v>4351</v>
      </c>
      <c r="V1025" t="s">
        <v>4352</v>
      </c>
      <c r="X1025" t="s">
        <v>4353</v>
      </c>
      <c r="Y1025" t="s">
        <v>1072</v>
      </c>
      <c r="Z1025" t="s">
        <v>599</v>
      </c>
      <c r="AB1025" t="s">
        <v>4354</v>
      </c>
      <c r="AE1025" t="s">
        <v>4353</v>
      </c>
      <c r="AG1025" t="s">
        <v>1303</v>
      </c>
      <c r="AI1025" t="s">
        <v>29</v>
      </c>
      <c r="AK1025" t="s">
        <v>4345</v>
      </c>
      <c r="AL1025" t="s">
        <v>3152</v>
      </c>
      <c r="AN1025">
        <v>0</v>
      </c>
      <c r="AO1025" t="s">
        <v>1834</v>
      </c>
      <c r="AP1025" t="s">
        <v>1834</v>
      </c>
      <c r="AQ1025">
        <v>0</v>
      </c>
      <c r="AR1025" t="s">
        <v>1758</v>
      </c>
    </row>
    <row r="1026" spans="1:44" x14ac:dyDescent="0.25">
      <c r="A1026" t="s">
        <v>3141</v>
      </c>
      <c r="D1026" t="s">
        <v>4355</v>
      </c>
      <c r="E1026" t="s">
        <v>4356</v>
      </c>
      <c r="F1026" t="s">
        <v>1755</v>
      </c>
      <c r="G1026" t="str">
        <f>CONCATENATE(Master_Packing_Database[[#This Row],[Exp '#]],Master_Packing_Database[[#This Row],[Batch '#]])</f>
        <v>2044th-</v>
      </c>
      <c r="H1026" t="s">
        <v>4357</v>
      </c>
      <c r="I1026" t="s">
        <v>744</v>
      </c>
      <c r="J1026" t="s">
        <v>366</v>
      </c>
      <c r="K1026" t="s">
        <v>4358</v>
      </c>
      <c r="L1026" t="s">
        <v>4359</v>
      </c>
      <c r="M1026" t="s">
        <v>975</v>
      </c>
      <c r="N1026" t="s">
        <v>4360</v>
      </c>
      <c r="O1026" t="s">
        <v>4361</v>
      </c>
      <c r="V1026" t="s">
        <v>4362</v>
      </c>
      <c r="X1026" t="s">
        <v>4363</v>
      </c>
      <c r="Y1026" t="s">
        <v>835</v>
      </c>
      <c r="Z1026" t="s">
        <v>835</v>
      </c>
      <c r="AB1026" t="s">
        <v>4353</v>
      </c>
      <c r="AE1026" t="s">
        <v>4363</v>
      </c>
      <c r="AG1026" t="s">
        <v>1303</v>
      </c>
      <c r="AI1026" t="s">
        <v>29</v>
      </c>
      <c r="AK1026" t="s">
        <v>3151</v>
      </c>
      <c r="AL1026" t="s">
        <v>3152</v>
      </c>
      <c r="AN1026">
        <v>0</v>
      </c>
      <c r="AO1026" t="s">
        <v>1834</v>
      </c>
      <c r="AP1026" t="s">
        <v>1834</v>
      </c>
      <c r="AQ1026">
        <v>0</v>
      </c>
      <c r="AR1026" t="s">
        <v>1758</v>
      </c>
    </row>
    <row r="1027" spans="1:44" x14ac:dyDescent="0.25">
      <c r="A1027" t="s">
        <v>3141</v>
      </c>
      <c r="D1027" t="s">
        <v>837</v>
      </c>
      <c r="E1027" t="s">
        <v>4364</v>
      </c>
      <c r="F1027" t="s">
        <v>1755</v>
      </c>
      <c r="G1027" t="str">
        <f>CONCATENATE(Master_Packing_Database[[#This Row],[Exp '#]],Master_Packing_Database[[#This Row],[Batch '#]])</f>
        <v>2071st-</v>
      </c>
      <c r="H1027" t="s">
        <v>4365</v>
      </c>
      <c r="I1027" t="s">
        <v>3145</v>
      </c>
      <c r="J1027" t="s">
        <v>117</v>
      </c>
      <c r="K1027" t="s">
        <v>1147</v>
      </c>
      <c r="L1027" t="s">
        <v>835</v>
      </c>
      <c r="M1027" t="s">
        <v>835</v>
      </c>
      <c r="N1027" t="s">
        <v>4366</v>
      </c>
      <c r="O1027" t="s">
        <v>4367</v>
      </c>
      <c r="V1027" t="s">
        <v>4363</v>
      </c>
      <c r="X1027" t="s">
        <v>4363</v>
      </c>
      <c r="Y1027" t="s">
        <v>1303</v>
      </c>
      <c r="Z1027" t="s">
        <v>835</v>
      </c>
      <c r="AB1027" t="s">
        <v>4362</v>
      </c>
      <c r="AE1027" t="s">
        <v>4363</v>
      </c>
      <c r="AG1027" t="s">
        <v>1303</v>
      </c>
      <c r="AI1027" t="s">
        <v>29</v>
      </c>
      <c r="AK1027" t="s">
        <v>3151</v>
      </c>
      <c r="AL1027" t="s">
        <v>3152</v>
      </c>
      <c r="AN1027">
        <v>0</v>
      </c>
      <c r="AO1027" t="s">
        <v>1834</v>
      </c>
      <c r="AP1027" t="s">
        <v>1834</v>
      </c>
      <c r="AQ1027">
        <v>0</v>
      </c>
      <c r="AR1027" t="s">
        <v>1758</v>
      </c>
    </row>
    <row r="1028" spans="1:44" x14ac:dyDescent="0.25">
      <c r="A1028" t="s">
        <v>3141</v>
      </c>
      <c r="D1028" t="s">
        <v>998</v>
      </c>
      <c r="E1028" t="s">
        <v>4368</v>
      </c>
      <c r="F1028" t="s">
        <v>1755</v>
      </c>
      <c r="G1028" t="str">
        <f>CONCATENATE(Master_Packing_Database[[#This Row],[Exp '#]],Master_Packing_Database[[#This Row],[Batch '#]])</f>
        <v>1996th-</v>
      </c>
      <c r="H1028" t="s">
        <v>4369</v>
      </c>
      <c r="I1028" t="s">
        <v>3194</v>
      </c>
      <c r="J1028" t="s">
        <v>117</v>
      </c>
      <c r="K1028" t="s">
        <v>3399</v>
      </c>
      <c r="L1028" t="s">
        <v>835</v>
      </c>
      <c r="M1028" t="s">
        <v>835</v>
      </c>
      <c r="N1028" t="s">
        <v>4370</v>
      </c>
      <c r="O1028" t="s">
        <v>4371</v>
      </c>
      <c r="V1028" t="s">
        <v>4363</v>
      </c>
      <c r="X1028" t="s">
        <v>4363</v>
      </c>
      <c r="Y1028" t="s">
        <v>1303</v>
      </c>
      <c r="Z1028" t="s">
        <v>835</v>
      </c>
      <c r="AB1028" t="s">
        <v>4362</v>
      </c>
      <c r="AE1028" t="s">
        <v>4363</v>
      </c>
      <c r="AG1028" t="s">
        <v>1303</v>
      </c>
      <c r="AI1028" t="s">
        <v>29</v>
      </c>
      <c r="AK1028" t="s">
        <v>3151</v>
      </c>
      <c r="AL1028" t="s">
        <v>3152</v>
      </c>
      <c r="AN1028">
        <v>0</v>
      </c>
      <c r="AO1028" t="s">
        <v>1834</v>
      </c>
      <c r="AP1028" t="s">
        <v>1834</v>
      </c>
      <c r="AQ1028">
        <v>0</v>
      </c>
      <c r="AR1028" t="s">
        <v>1758</v>
      </c>
    </row>
    <row r="1029" spans="1:44" x14ac:dyDescent="0.25">
      <c r="A1029" t="s">
        <v>3141</v>
      </c>
      <c r="D1029" t="s">
        <v>4372</v>
      </c>
      <c r="E1029" t="s">
        <v>4373</v>
      </c>
      <c r="F1029" t="s">
        <v>1755</v>
      </c>
      <c r="G1029" t="str">
        <f>CONCATENATE(Master_Packing_Database[[#This Row],[Exp '#]],Master_Packing_Database[[#This Row],[Batch '#]])</f>
        <v>2031st-</v>
      </c>
      <c r="H1029" t="s">
        <v>4374</v>
      </c>
      <c r="I1029" t="s">
        <v>4375</v>
      </c>
      <c r="J1029" t="s">
        <v>117</v>
      </c>
      <c r="K1029" t="s">
        <v>3372</v>
      </c>
      <c r="L1029" t="s">
        <v>4376</v>
      </c>
      <c r="M1029" t="s">
        <v>1016</v>
      </c>
      <c r="N1029" t="s">
        <v>4377</v>
      </c>
      <c r="O1029" t="s">
        <v>4378</v>
      </c>
      <c r="V1029" t="s">
        <v>3161</v>
      </c>
      <c r="X1029" t="s">
        <v>3161</v>
      </c>
      <c r="Y1029" t="s">
        <v>1303</v>
      </c>
      <c r="Z1029" t="s">
        <v>1303</v>
      </c>
      <c r="AB1029" t="s">
        <v>4379</v>
      </c>
      <c r="AE1029" t="s">
        <v>3161</v>
      </c>
      <c r="AG1029" t="s">
        <v>1303</v>
      </c>
      <c r="AI1029" t="s">
        <v>29</v>
      </c>
      <c r="AK1029" t="s">
        <v>3163</v>
      </c>
      <c r="AL1029" t="s">
        <v>3152</v>
      </c>
      <c r="AN1029">
        <v>0</v>
      </c>
      <c r="AO1029" t="s">
        <v>1834</v>
      </c>
      <c r="AP1029" t="s">
        <v>1834</v>
      </c>
      <c r="AQ1029">
        <v>0</v>
      </c>
      <c r="AR1029" t="s">
        <v>1758</v>
      </c>
    </row>
    <row r="1030" spans="1:44" x14ac:dyDescent="0.25">
      <c r="A1030" t="s">
        <v>3141</v>
      </c>
      <c r="D1030" t="s">
        <v>4380</v>
      </c>
      <c r="E1030" t="s">
        <v>4381</v>
      </c>
      <c r="F1030" t="s">
        <v>1755</v>
      </c>
      <c r="G1030" t="str">
        <f>CONCATENATE(Master_Packing_Database[[#This Row],[Exp '#]],Master_Packing_Database[[#This Row],[Batch '#]])</f>
        <v>2041st-</v>
      </c>
      <c r="H1030" t="s">
        <v>4382</v>
      </c>
      <c r="I1030" t="s">
        <v>4383</v>
      </c>
      <c r="J1030" t="s">
        <v>366</v>
      </c>
      <c r="K1030" t="s">
        <v>3173</v>
      </c>
      <c r="L1030" t="s">
        <v>975</v>
      </c>
      <c r="M1030" t="s">
        <v>116</v>
      </c>
      <c r="N1030" t="s">
        <v>960</v>
      </c>
      <c r="O1030" t="s">
        <v>677</v>
      </c>
      <c r="V1030" t="s">
        <v>4362</v>
      </c>
      <c r="X1030" t="s">
        <v>4362</v>
      </c>
      <c r="Y1030" t="s">
        <v>1303</v>
      </c>
      <c r="Z1030" t="s">
        <v>835</v>
      </c>
      <c r="AB1030" t="s">
        <v>3162</v>
      </c>
      <c r="AE1030" t="s">
        <v>4362</v>
      </c>
      <c r="AG1030" t="s">
        <v>1303</v>
      </c>
      <c r="AI1030" t="s">
        <v>29</v>
      </c>
      <c r="AK1030" t="s">
        <v>4384</v>
      </c>
      <c r="AL1030" t="s">
        <v>3152</v>
      </c>
      <c r="AN1030">
        <v>0</v>
      </c>
      <c r="AO1030" t="s">
        <v>1834</v>
      </c>
      <c r="AP1030" t="s">
        <v>1834</v>
      </c>
      <c r="AQ1030">
        <v>0</v>
      </c>
      <c r="AR1030" t="s">
        <v>1758</v>
      </c>
    </row>
    <row r="1031" spans="1:44" x14ac:dyDescent="0.25">
      <c r="A1031" t="s">
        <v>3141</v>
      </c>
      <c r="D1031" t="s">
        <v>4385</v>
      </c>
      <c r="E1031" t="s">
        <v>4386</v>
      </c>
      <c r="F1031" t="s">
        <v>1755</v>
      </c>
      <c r="G1031" t="str">
        <f>CONCATENATE(Master_Packing_Database[[#This Row],[Exp '#]],Master_Packing_Database[[#This Row],[Batch '#]])</f>
        <v>CE-IDM-24-069-</v>
      </c>
      <c r="H1031" t="s">
        <v>4387</v>
      </c>
      <c r="I1031" t="s">
        <v>4388</v>
      </c>
      <c r="J1031" t="s">
        <v>117</v>
      </c>
      <c r="K1031" t="s">
        <v>1147</v>
      </c>
      <c r="L1031" t="s">
        <v>4389</v>
      </c>
      <c r="M1031" t="s">
        <v>116</v>
      </c>
      <c r="N1031" t="s">
        <v>4390</v>
      </c>
      <c r="O1031" t="s">
        <v>1369</v>
      </c>
      <c r="V1031" t="s">
        <v>3177</v>
      </c>
      <c r="X1031" t="s">
        <v>3177</v>
      </c>
      <c r="Y1031" t="s">
        <v>1303</v>
      </c>
      <c r="Z1031" t="s">
        <v>544</v>
      </c>
      <c r="AB1031" t="s">
        <v>3177</v>
      </c>
      <c r="AE1031" t="s">
        <v>3177</v>
      </c>
      <c r="AG1031" t="s">
        <v>1303</v>
      </c>
      <c r="AI1031" t="s">
        <v>29</v>
      </c>
      <c r="AK1031" t="s">
        <v>4391</v>
      </c>
      <c r="AL1031" t="s">
        <v>3152</v>
      </c>
      <c r="AN1031">
        <v>0</v>
      </c>
      <c r="AO1031" t="s">
        <v>1834</v>
      </c>
      <c r="AP1031" t="s">
        <v>1834</v>
      </c>
      <c r="AQ1031">
        <v>0</v>
      </c>
      <c r="AR1031" t="s">
        <v>1758</v>
      </c>
    </row>
    <row r="1032" spans="1:44" x14ac:dyDescent="0.25">
      <c r="A1032" t="s">
        <v>3141</v>
      </c>
      <c r="D1032" t="s">
        <v>4392</v>
      </c>
      <c r="E1032" t="s">
        <v>4393</v>
      </c>
      <c r="F1032" t="s">
        <v>1755</v>
      </c>
      <c r="G1032" t="str">
        <f>CONCATENATE(Master_Packing_Database[[#This Row],[Exp '#]],Master_Packing_Database[[#This Row],[Batch '#]])</f>
        <v>2042nd-</v>
      </c>
      <c r="H1032" t="s">
        <v>4394</v>
      </c>
      <c r="I1032" t="s">
        <v>115</v>
      </c>
      <c r="J1032" t="s">
        <v>366</v>
      </c>
      <c r="K1032" t="s">
        <v>4395</v>
      </c>
      <c r="L1032" t="s">
        <v>116</v>
      </c>
      <c r="M1032" t="s">
        <v>116</v>
      </c>
      <c r="N1032" t="s">
        <v>4396</v>
      </c>
      <c r="O1032" t="s">
        <v>4397</v>
      </c>
      <c r="V1032" t="s">
        <v>4398</v>
      </c>
      <c r="X1032" t="s">
        <v>4398</v>
      </c>
      <c r="Y1032" t="s">
        <v>1303</v>
      </c>
      <c r="Z1032" t="s">
        <v>299</v>
      </c>
      <c r="AB1032" t="s">
        <v>3148</v>
      </c>
      <c r="AE1032" t="s">
        <v>4398</v>
      </c>
      <c r="AG1032" t="s">
        <v>1303</v>
      </c>
      <c r="AI1032" t="s">
        <v>29</v>
      </c>
      <c r="AK1032" t="s">
        <v>4391</v>
      </c>
      <c r="AL1032" t="s">
        <v>3152</v>
      </c>
      <c r="AN1032">
        <v>0</v>
      </c>
      <c r="AO1032" t="s">
        <v>1834</v>
      </c>
      <c r="AP1032" t="s">
        <v>1834</v>
      </c>
      <c r="AQ1032">
        <v>0</v>
      </c>
      <c r="AR1032" t="s">
        <v>1758</v>
      </c>
    </row>
    <row r="1033" spans="1:44" x14ac:dyDescent="0.25">
      <c r="A1033" t="s">
        <v>3141</v>
      </c>
      <c r="D1033" t="s">
        <v>4399</v>
      </c>
      <c r="E1033" t="s">
        <v>4400</v>
      </c>
      <c r="F1033" t="s">
        <v>1755</v>
      </c>
      <c r="G1033" t="str">
        <f>CONCATENATE(Master_Packing_Database[[#This Row],[Exp '#]],Master_Packing_Database[[#This Row],[Batch '#]])</f>
        <v>2043rd-</v>
      </c>
      <c r="H1033" t="s">
        <v>4401</v>
      </c>
      <c r="I1033" t="s">
        <v>115</v>
      </c>
      <c r="J1033" t="s">
        <v>117</v>
      </c>
      <c r="K1033" t="s">
        <v>4402</v>
      </c>
      <c r="L1033" t="s">
        <v>116</v>
      </c>
      <c r="M1033" t="s">
        <v>116</v>
      </c>
      <c r="N1033" t="s">
        <v>4403</v>
      </c>
      <c r="O1033" t="s">
        <v>4404</v>
      </c>
      <c r="V1033" t="s">
        <v>3177</v>
      </c>
      <c r="X1033" t="s">
        <v>3177</v>
      </c>
      <c r="Y1033" t="s">
        <v>1303</v>
      </c>
      <c r="Z1033" t="s">
        <v>544</v>
      </c>
      <c r="AB1033" t="s">
        <v>4353</v>
      </c>
      <c r="AE1033" t="s">
        <v>3177</v>
      </c>
      <c r="AG1033" t="s">
        <v>1303</v>
      </c>
      <c r="AI1033" t="s">
        <v>29</v>
      </c>
      <c r="AK1033" t="s">
        <v>4391</v>
      </c>
      <c r="AL1033" t="s">
        <v>3152</v>
      </c>
      <c r="AN1033">
        <v>0</v>
      </c>
      <c r="AO1033" t="s">
        <v>1834</v>
      </c>
      <c r="AP1033" t="s">
        <v>1834</v>
      </c>
      <c r="AQ1033">
        <v>0</v>
      </c>
      <c r="AR1033" t="s">
        <v>1758</v>
      </c>
    </row>
    <row r="1034" spans="1:44" x14ac:dyDescent="0.25">
      <c r="A1034" t="s">
        <v>3141</v>
      </c>
      <c r="D1034" t="s">
        <v>2713</v>
      </c>
      <c r="E1034" t="s">
        <v>4405</v>
      </c>
      <c r="F1034" t="s">
        <v>761</v>
      </c>
      <c r="G1034" t="str">
        <f>CONCATENATE(Master_Packing_Database[[#This Row],[Exp '#]],Master_Packing_Database[[#This Row],[Batch '#]])</f>
        <v>1964th 1st Batch1st</v>
      </c>
      <c r="H1034" t="s">
        <v>4406</v>
      </c>
      <c r="I1034" t="s">
        <v>4407</v>
      </c>
      <c r="J1034" t="s">
        <v>117</v>
      </c>
      <c r="K1034" t="s">
        <v>3796</v>
      </c>
      <c r="L1034" t="s">
        <v>4408</v>
      </c>
      <c r="M1034" t="s">
        <v>2564</v>
      </c>
      <c r="N1034" t="s">
        <v>4409</v>
      </c>
      <c r="O1034" t="s">
        <v>4410</v>
      </c>
      <c r="V1034" t="s">
        <v>3201</v>
      </c>
      <c r="X1034" t="s">
        <v>3201</v>
      </c>
      <c r="Y1034" t="s">
        <v>1303</v>
      </c>
      <c r="Z1034" t="s">
        <v>4411</v>
      </c>
      <c r="AB1034" t="s">
        <v>3177</v>
      </c>
      <c r="AE1034" t="s">
        <v>4412</v>
      </c>
      <c r="AG1034" t="s">
        <v>544</v>
      </c>
      <c r="AI1034" t="s">
        <v>29</v>
      </c>
      <c r="AK1034" t="s">
        <v>4391</v>
      </c>
      <c r="AL1034" t="s">
        <v>3152</v>
      </c>
      <c r="AN1034">
        <v>0</v>
      </c>
      <c r="AO1034" t="s">
        <v>1834</v>
      </c>
      <c r="AP1034" t="s">
        <v>1834</v>
      </c>
      <c r="AQ1034">
        <v>0</v>
      </c>
      <c r="AR1034" t="s">
        <v>1758</v>
      </c>
    </row>
    <row r="1035" spans="1:44" x14ac:dyDescent="0.25">
      <c r="A1035" t="s">
        <v>3141</v>
      </c>
      <c r="D1035" t="s">
        <v>908</v>
      </c>
      <c r="E1035" t="s">
        <v>4413</v>
      </c>
      <c r="F1035" t="s">
        <v>1755</v>
      </c>
      <c r="G1035" t="str">
        <f>CONCATENATE(Master_Packing_Database[[#This Row],[Exp '#]],Master_Packing_Database[[#This Row],[Batch '#]])</f>
        <v>1992nd-</v>
      </c>
      <c r="H1035" t="s">
        <v>4414</v>
      </c>
      <c r="I1035" t="s">
        <v>4415</v>
      </c>
      <c r="J1035" t="s">
        <v>117</v>
      </c>
      <c r="K1035" t="s">
        <v>3399</v>
      </c>
      <c r="L1035" t="s">
        <v>4416</v>
      </c>
      <c r="M1035" t="s">
        <v>1072</v>
      </c>
      <c r="N1035" t="s">
        <v>4417</v>
      </c>
      <c r="O1035" t="s">
        <v>4418</v>
      </c>
      <c r="V1035" t="s">
        <v>3201</v>
      </c>
      <c r="X1035" t="s">
        <v>3201</v>
      </c>
      <c r="Y1035" t="s">
        <v>1303</v>
      </c>
      <c r="Z1035" t="s">
        <v>4131</v>
      </c>
      <c r="AB1035" t="s">
        <v>4419</v>
      </c>
      <c r="AE1035" t="s">
        <v>4412</v>
      </c>
      <c r="AG1035" t="s">
        <v>544</v>
      </c>
      <c r="AI1035" t="s">
        <v>29</v>
      </c>
      <c r="AK1035" t="s">
        <v>4420</v>
      </c>
      <c r="AL1035" t="s">
        <v>3152</v>
      </c>
      <c r="AN1035">
        <v>0</v>
      </c>
      <c r="AO1035" t="s">
        <v>1834</v>
      </c>
      <c r="AP1035" t="s">
        <v>1834</v>
      </c>
      <c r="AQ1035">
        <v>0</v>
      </c>
      <c r="AR1035" t="s">
        <v>1758</v>
      </c>
    </row>
    <row r="1036" spans="1:44" x14ac:dyDescent="0.25">
      <c r="A1036" t="s">
        <v>3141</v>
      </c>
      <c r="D1036" t="s">
        <v>875</v>
      </c>
      <c r="E1036" t="s">
        <v>4421</v>
      </c>
      <c r="F1036" t="s">
        <v>1755</v>
      </c>
      <c r="G1036" t="str">
        <f>CONCATENATE(Master_Packing_Database[[#This Row],[Exp '#]],Master_Packing_Database[[#This Row],[Batch '#]])</f>
        <v>2039th-</v>
      </c>
      <c r="H1036" t="s">
        <v>4422</v>
      </c>
      <c r="I1036" t="s">
        <v>4423</v>
      </c>
      <c r="J1036" t="s">
        <v>117</v>
      </c>
      <c r="K1036" t="s">
        <v>1059</v>
      </c>
      <c r="L1036" t="s">
        <v>599</v>
      </c>
      <c r="M1036" t="s">
        <v>599</v>
      </c>
      <c r="N1036" t="s">
        <v>4424</v>
      </c>
      <c r="O1036" t="s">
        <v>4425</v>
      </c>
      <c r="V1036" t="s">
        <v>4426</v>
      </c>
      <c r="X1036" t="s">
        <v>4426</v>
      </c>
      <c r="Y1036" t="s">
        <v>1303</v>
      </c>
      <c r="Z1036" t="s">
        <v>2591</v>
      </c>
      <c r="AB1036" t="s">
        <v>4427</v>
      </c>
      <c r="AE1036" t="s">
        <v>4412</v>
      </c>
      <c r="AG1036" t="s">
        <v>912</v>
      </c>
      <c r="AI1036" t="s">
        <v>29</v>
      </c>
      <c r="AK1036" t="s">
        <v>3202</v>
      </c>
      <c r="AL1036" t="s">
        <v>3152</v>
      </c>
      <c r="AN1036">
        <v>0</v>
      </c>
      <c r="AO1036" t="s">
        <v>1834</v>
      </c>
      <c r="AP1036" t="s">
        <v>1834</v>
      </c>
      <c r="AQ1036">
        <v>0</v>
      </c>
      <c r="AR1036" t="s">
        <v>1758</v>
      </c>
    </row>
    <row r="1037" spans="1:44" x14ac:dyDescent="0.25">
      <c r="A1037" t="s">
        <v>3141</v>
      </c>
      <c r="D1037" t="s">
        <v>875</v>
      </c>
      <c r="E1037" t="s">
        <v>4428</v>
      </c>
      <c r="F1037" t="s">
        <v>1755</v>
      </c>
      <c r="G1037" t="str">
        <f>CONCATENATE(Master_Packing_Database[[#This Row],[Exp '#]],Master_Packing_Database[[#This Row],[Batch '#]])</f>
        <v>2036th-</v>
      </c>
      <c r="H1037" t="s">
        <v>4429</v>
      </c>
      <c r="I1037" t="s">
        <v>4430</v>
      </c>
      <c r="J1037" t="s">
        <v>117</v>
      </c>
      <c r="K1037" t="s">
        <v>1059</v>
      </c>
      <c r="L1037" t="s">
        <v>4431</v>
      </c>
      <c r="M1037" t="s">
        <v>599</v>
      </c>
      <c r="N1037" t="s">
        <v>887</v>
      </c>
      <c r="O1037" t="s">
        <v>4432</v>
      </c>
      <c r="V1037" t="s">
        <v>4433</v>
      </c>
      <c r="X1037" t="s">
        <v>4433</v>
      </c>
      <c r="Y1037" t="s">
        <v>1303</v>
      </c>
      <c r="Z1037" t="s">
        <v>2591</v>
      </c>
      <c r="AB1037" t="s">
        <v>4434</v>
      </c>
      <c r="AE1037" t="s">
        <v>4412</v>
      </c>
      <c r="AG1037" t="s">
        <v>3392</v>
      </c>
      <c r="AI1037" t="s">
        <v>29</v>
      </c>
      <c r="AK1037" t="s">
        <v>3202</v>
      </c>
      <c r="AL1037" t="s">
        <v>3152</v>
      </c>
      <c r="AN1037">
        <v>0</v>
      </c>
      <c r="AO1037" t="s">
        <v>1834</v>
      </c>
      <c r="AP1037" t="s">
        <v>1834</v>
      </c>
      <c r="AQ1037">
        <v>0</v>
      </c>
      <c r="AR1037" t="s">
        <v>1758</v>
      </c>
    </row>
    <row r="1038" spans="1:44" x14ac:dyDescent="0.25">
      <c r="A1038" t="s">
        <v>3141</v>
      </c>
      <c r="D1038" t="s">
        <v>837</v>
      </c>
      <c r="E1038" t="s">
        <v>4435</v>
      </c>
      <c r="F1038" t="s">
        <v>761</v>
      </c>
      <c r="G1038" t="str">
        <f>CONCATENATE(Master_Packing_Database[[#This Row],[Exp '#]],Master_Packing_Database[[#This Row],[Batch '#]])</f>
        <v>2047th1st</v>
      </c>
      <c r="H1038" t="s">
        <v>4436</v>
      </c>
      <c r="I1038" t="s">
        <v>4437</v>
      </c>
      <c r="J1038" t="s">
        <v>117</v>
      </c>
      <c r="K1038" t="s">
        <v>3173</v>
      </c>
      <c r="L1038" t="s">
        <v>4438</v>
      </c>
      <c r="M1038" t="s">
        <v>376</v>
      </c>
      <c r="N1038" t="s">
        <v>4439</v>
      </c>
      <c r="O1038" t="s">
        <v>4440</v>
      </c>
      <c r="V1038" t="s">
        <v>4441</v>
      </c>
      <c r="X1038" t="s">
        <v>4412</v>
      </c>
      <c r="Y1038" t="s">
        <v>599</v>
      </c>
      <c r="Z1038" t="s">
        <v>2591</v>
      </c>
      <c r="AB1038" t="s">
        <v>4442</v>
      </c>
      <c r="AE1038" t="s">
        <v>4412</v>
      </c>
      <c r="AG1038" t="s">
        <v>1303</v>
      </c>
      <c r="AI1038" t="s">
        <v>29</v>
      </c>
      <c r="AK1038" t="s">
        <v>3202</v>
      </c>
      <c r="AL1038" t="s">
        <v>3152</v>
      </c>
      <c r="AN1038">
        <v>0</v>
      </c>
      <c r="AO1038" t="s">
        <v>1834</v>
      </c>
      <c r="AP1038" t="s">
        <v>1834</v>
      </c>
      <c r="AQ1038">
        <v>0</v>
      </c>
      <c r="AR1038" t="s">
        <v>1758</v>
      </c>
    </row>
    <row r="1039" spans="1:44" x14ac:dyDescent="0.25">
      <c r="A1039" t="s">
        <v>3141</v>
      </c>
      <c r="D1039" t="s">
        <v>837</v>
      </c>
      <c r="E1039" t="s">
        <v>4435</v>
      </c>
      <c r="F1039" t="s">
        <v>422</v>
      </c>
      <c r="G1039" t="str">
        <f>CONCATENATE(Master_Packing_Database[[#This Row],[Exp '#]],Master_Packing_Database[[#This Row],[Batch '#]])</f>
        <v>2047th2nd</v>
      </c>
      <c r="H1039" t="s">
        <v>4443</v>
      </c>
      <c r="I1039" t="s">
        <v>4444</v>
      </c>
      <c r="J1039" t="s">
        <v>117</v>
      </c>
      <c r="K1039" t="s">
        <v>3173</v>
      </c>
      <c r="L1039" t="s">
        <v>599</v>
      </c>
      <c r="M1039" t="s">
        <v>599</v>
      </c>
      <c r="N1039" t="s">
        <v>4445</v>
      </c>
      <c r="O1039" t="s">
        <v>4446</v>
      </c>
      <c r="V1039" t="s">
        <v>4426</v>
      </c>
      <c r="X1039" t="s">
        <v>3197</v>
      </c>
      <c r="Y1039" t="s">
        <v>599</v>
      </c>
      <c r="Z1039" t="s">
        <v>1030</v>
      </c>
      <c r="AB1039" t="s">
        <v>4447</v>
      </c>
      <c r="AE1039" t="s">
        <v>3201</v>
      </c>
      <c r="AG1039" t="s">
        <v>599</v>
      </c>
      <c r="AI1039" t="s">
        <v>29</v>
      </c>
      <c r="AK1039" t="s">
        <v>4448</v>
      </c>
      <c r="AL1039" t="s">
        <v>3152</v>
      </c>
      <c r="AN1039">
        <v>0</v>
      </c>
      <c r="AO1039" t="s">
        <v>1834</v>
      </c>
      <c r="AP1039" t="s">
        <v>1834</v>
      </c>
      <c r="AQ1039">
        <v>0</v>
      </c>
      <c r="AR1039" t="s">
        <v>1758</v>
      </c>
    </row>
    <row r="1040" spans="1:44" x14ac:dyDescent="0.25">
      <c r="A1040" t="s">
        <v>3141</v>
      </c>
      <c r="D1040" t="s">
        <v>109</v>
      </c>
      <c r="E1040" t="s">
        <v>4449</v>
      </c>
      <c r="F1040" t="s">
        <v>1755</v>
      </c>
      <c r="G1040" t="str">
        <f>CONCATENATE(Master_Packing_Database[[#This Row],[Exp '#]],Master_Packing_Database[[#This Row],[Batch '#]])</f>
        <v>1995th-</v>
      </c>
      <c r="H1040" t="s">
        <v>4450</v>
      </c>
      <c r="I1040" t="s">
        <v>4451</v>
      </c>
      <c r="J1040" t="s">
        <v>117</v>
      </c>
      <c r="K1040" t="s">
        <v>1147</v>
      </c>
      <c r="L1040" t="s">
        <v>116</v>
      </c>
      <c r="M1040" t="s">
        <v>116</v>
      </c>
      <c r="N1040" t="s">
        <v>4452</v>
      </c>
      <c r="O1040" t="s">
        <v>4453</v>
      </c>
      <c r="V1040" t="s">
        <v>3161</v>
      </c>
      <c r="X1040" t="s">
        <v>3161</v>
      </c>
      <c r="Y1040" t="s">
        <v>1303</v>
      </c>
      <c r="Z1040" t="s">
        <v>849</v>
      </c>
      <c r="AB1040" t="s">
        <v>4454</v>
      </c>
      <c r="AE1040" t="s">
        <v>3161</v>
      </c>
      <c r="AG1040" t="s">
        <v>1303</v>
      </c>
      <c r="AI1040" t="s">
        <v>29</v>
      </c>
      <c r="AK1040" t="s">
        <v>4455</v>
      </c>
      <c r="AL1040" t="s">
        <v>3152</v>
      </c>
      <c r="AN1040">
        <v>0</v>
      </c>
      <c r="AO1040" t="s">
        <v>1834</v>
      </c>
      <c r="AP1040" t="s">
        <v>1834</v>
      </c>
      <c r="AQ1040">
        <v>0</v>
      </c>
      <c r="AR1040" t="s">
        <v>1758</v>
      </c>
    </row>
    <row r="1041" spans="1:44" x14ac:dyDescent="0.25">
      <c r="A1041" t="s">
        <v>3141</v>
      </c>
      <c r="D1041" t="s">
        <v>109</v>
      </c>
      <c r="E1041" t="s">
        <v>4449</v>
      </c>
      <c r="F1041" t="s">
        <v>1755</v>
      </c>
      <c r="G1041" t="str">
        <f>CONCATENATE(Master_Packing_Database[[#This Row],[Exp '#]],Master_Packing_Database[[#This Row],[Batch '#]])</f>
        <v>1995th-</v>
      </c>
      <c r="H1041" t="s">
        <v>4456</v>
      </c>
      <c r="I1041" t="s">
        <v>4451</v>
      </c>
      <c r="J1041" t="s">
        <v>117</v>
      </c>
      <c r="K1041" t="s">
        <v>1147</v>
      </c>
      <c r="L1041" t="s">
        <v>599</v>
      </c>
      <c r="M1041" t="s">
        <v>599</v>
      </c>
      <c r="N1041" t="s">
        <v>4457</v>
      </c>
      <c r="O1041" t="s">
        <v>4458</v>
      </c>
      <c r="V1041" t="s">
        <v>4459</v>
      </c>
      <c r="X1041" t="s">
        <v>4459</v>
      </c>
      <c r="Y1041" t="s">
        <v>1303</v>
      </c>
      <c r="Z1041" t="s">
        <v>2564</v>
      </c>
      <c r="AB1041" t="s">
        <v>3192</v>
      </c>
      <c r="AE1041" t="s">
        <v>4459</v>
      </c>
      <c r="AG1041" t="s">
        <v>1303</v>
      </c>
      <c r="AI1041" t="s">
        <v>29</v>
      </c>
      <c r="AK1041" t="s">
        <v>3206</v>
      </c>
      <c r="AL1041" t="s">
        <v>3152</v>
      </c>
      <c r="AN1041">
        <v>0</v>
      </c>
      <c r="AO1041" t="s">
        <v>1834</v>
      </c>
      <c r="AP1041" t="s">
        <v>1834</v>
      </c>
      <c r="AQ1041">
        <v>0</v>
      </c>
      <c r="AR1041" t="s">
        <v>1758</v>
      </c>
    </row>
    <row r="1042" spans="1:44" x14ac:dyDescent="0.25">
      <c r="A1042" t="s">
        <v>3141</v>
      </c>
      <c r="D1042" t="s">
        <v>1090</v>
      </c>
      <c r="E1042" t="s">
        <v>4460</v>
      </c>
      <c r="F1042" t="s">
        <v>1755</v>
      </c>
      <c r="G1042" t="str">
        <f>CONCATENATE(Master_Packing_Database[[#This Row],[Exp '#]],Master_Packing_Database[[#This Row],[Batch '#]])</f>
        <v>2010th-</v>
      </c>
      <c r="H1042" t="s">
        <v>4461</v>
      </c>
      <c r="I1042" t="s">
        <v>4462</v>
      </c>
      <c r="J1042" t="s">
        <v>366</v>
      </c>
      <c r="K1042" t="s">
        <v>4463</v>
      </c>
      <c r="L1042" t="s">
        <v>4464</v>
      </c>
      <c r="M1042" t="s">
        <v>835</v>
      </c>
      <c r="N1042" t="s">
        <v>667</v>
      </c>
      <c r="O1042" t="s">
        <v>4029</v>
      </c>
      <c r="V1042" t="s">
        <v>4442</v>
      </c>
      <c r="X1042" t="s">
        <v>4442</v>
      </c>
      <c r="Y1042" t="s">
        <v>1303</v>
      </c>
      <c r="Z1042" t="s">
        <v>544</v>
      </c>
      <c r="AB1042" t="s">
        <v>4465</v>
      </c>
      <c r="AE1042" t="s">
        <v>4442</v>
      </c>
      <c r="AG1042" t="s">
        <v>1303</v>
      </c>
      <c r="AI1042" t="s">
        <v>29</v>
      </c>
      <c r="AK1042" t="s">
        <v>3206</v>
      </c>
      <c r="AL1042" t="s">
        <v>3152</v>
      </c>
      <c r="AN1042">
        <v>0</v>
      </c>
      <c r="AO1042" t="s">
        <v>1834</v>
      </c>
      <c r="AP1042" t="s">
        <v>1834</v>
      </c>
      <c r="AQ1042">
        <v>0</v>
      </c>
      <c r="AR1042" t="s">
        <v>1758</v>
      </c>
    </row>
    <row r="1043" spans="1:44" x14ac:dyDescent="0.25">
      <c r="A1043" t="s">
        <v>3141</v>
      </c>
      <c r="D1043" t="s">
        <v>4466</v>
      </c>
      <c r="E1043" t="s">
        <v>4467</v>
      </c>
      <c r="F1043" t="s">
        <v>1755</v>
      </c>
      <c r="G1043" t="str">
        <f>CONCATENATE(Master_Packing_Database[[#This Row],[Exp '#]],Master_Packing_Database[[#This Row],[Batch '#]])</f>
        <v>24-008-</v>
      </c>
      <c r="H1043" t="s">
        <v>4468</v>
      </c>
      <c r="I1043" t="s">
        <v>4469</v>
      </c>
      <c r="J1043" t="s">
        <v>117</v>
      </c>
      <c r="K1043" t="s">
        <v>1147</v>
      </c>
      <c r="L1043" t="s">
        <v>835</v>
      </c>
      <c r="M1043" t="s">
        <v>835</v>
      </c>
      <c r="N1043" t="s">
        <v>4470</v>
      </c>
      <c r="O1043" t="s">
        <v>4471</v>
      </c>
      <c r="V1043" t="s">
        <v>4441</v>
      </c>
      <c r="X1043" t="s">
        <v>4412</v>
      </c>
      <c r="Y1043" t="s">
        <v>599</v>
      </c>
      <c r="Z1043" t="s">
        <v>1303</v>
      </c>
      <c r="AB1043" t="s">
        <v>3162</v>
      </c>
      <c r="AE1043" t="s">
        <v>4412</v>
      </c>
      <c r="AG1043" t="s">
        <v>1303</v>
      </c>
      <c r="AI1043" t="s">
        <v>29</v>
      </c>
      <c r="AK1043" t="s">
        <v>4472</v>
      </c>
      <c r="AL1043" t="s">
        <v>3152</v>
      </c>
      <c r="AN1043">
        <v>0</v>
      </c>
      <c r="AO1043" t="s">
        <v>1834</v>
      </c>
      <c r="AP1043" t="s">
        <v>1834</v>
      </c>
      <c r="AQ1043">
        <v>0</v>
      </c>
      <c r="AR1043" t="s">
        <v>1758</v>
      </c>
    </row>
    <row r="1044" spans="1:44" x14ac:dyDescent="0.25">
      <c r="A1044" t="s">
        <v>3141</v>
      </c>
      <c r="D1044" t="s">
        <v>4473</v>
      </c>
      <c r="E1044" t="s">
        <v>4474</v>
      </c>
      <c r="F1044" t="s">
        <v>1755</v>
      </c>
      <c r="G1044" t="str">
        <f>CONCATENATE(Master_Packing_Database[[#This Row],[Exp '#]],Master_Packing_Database[[#This Row],[Batch '#]])</f>
        <v>2051st-</v>
      </c>
      <c r="H1044" t="s">
        <v>4475</v>
      </c>
      <c r="I1044" t="s">
        <v>4476</v>
      </c>
      <c r="J1044" t="s">
        <v>366</v>
      </c>
      <c r="K1044" t="s">
        <v>1147</v>
      </c>
      <c r="L1044" t="s">
        <v>599</v>
      </c>
      <c r="M1044" t="s">
        <v>116</v>
      </c>
      <c r="N1044" t="s">
        <v>878</v>
      </c>
      <c r="O1044" t="s">
        <v>1002</v>
      </c>
      <c r="V1044" t="s">
        <v>3148</v>
      </c>
      <c r="X1044" t="s">
        <v>4398</v>
      </c>
      <c r="Y1044" t="s">
        <v>1016</v>
      </c>
      <c r="Z1044" t="s">
        <v>596</v>
      </c>
      <c r="AB1044" t="s">
        <v>3150</v>
      </c>
      <c r="AE1044" t="s">
        <v>4398</v>
      </c>
      <c r="AG1044" t="s">
        <v>1303</v>
      </c>
      <c r="AI1044" t="s">
        <v>29</v>
      </c>
      <c r="AK1044" t="s">
        <v>4477</v>
      </c>
      <c r="AL1044" t="s">
        <v>3152</v>
      </c>
      <c r="AN1044">
        <v>0</v>
      </c>
      <c r="AO1044" t="s">
        <v>1834</v>
      </c>
      <c r="AP1044" t="s">
        <v>1834</v>
      </c>
      <c r="AQ1044">
        <v>0</v>
      </c>
      <c r="AR1044" t="s">
        <v>1758</v>
      </c>
    </row>
    <row r="1045" spans="1:44" x14ac:dyDescent="0.25">
      <c r="A1045" t="s">
        <v>3141</v>
      </c>
      <c r="D1045" t="s">
        <v>908</v>
      </c>
      <c r="E1045" t="s">
        <v>4478</v>
      </c>
      <c r="F1045" t="s">
        <v>1755</v>
      </c>
      <c r="G1045" t="str">
        <f>CONCATENATE(Master_Packing_Database[[#This Row],[Exp '#]],Master_Packing_Database[[#This Row],[Batch '#]])</f>
        <v>2038th-</v>
      </c>
      <c r="H1045" t="s">
        <v>4479</v>
      </c>
      <c r="I1045" t="s">
        <v>4480</v>
      </c>
      <c r="J1045" t="s">
        <v>366</v>
      </c>
      <c r="K1045" t="s">
        <v>3361</v>
      </c>
      <c r="L1045" t="s">
        <v>264</v>
      </c>
      <c r="M1045" t="s">
        <v>376</v>
      </c>
      <c r="N1045" t="s">
        <v>4481</v>
      </c>
      <c r="O1045" t="s">
        <v>4482</v>
      </c>
      <c r="V1045" t="s">
        <v>4483</v>
      </c>
      <c r="X1045" t="s">
        <v>4484</v>
      </c>
      <c r="Y1045" t="s">
        <v>116</v>
      </c>
      <c r="Z1045" t="s">
        <v>1303</v>
      </c>
      <c r="AB1045" t="s">
        <v>4485</v>
      </c>
      <c r="AE1045" t="s">
        <v>4484</v>
      </c>
      <c r="AG1045" t="s">
        <v>1303</v>
      </c>
      <c r="AI1045" t="s">
        <v>29</v>
      </c>
      <c r="AK1045" t="s">
        <v>4477</v>
      </c>
      <c r="AL1045" t="s">
        <v>3152</v>
      </c>
      <c r="AN1045">
        <v>0</v>
      </c>
      <c r="AO1045" t="s">
        <v>1834</v>
      </c>
      <c r="AP1045" t="s">
        <v>1834</v>
      </c>
      <c r="AQ1045">
        <v>0</v>
      </c>
      <c r="AR1045" t="s">
        <v>1758</v>
      </c>
    </row>
    <row r="1046" spans="1:44" x14ac:dyDescent="0.25">
      <c r="A1046" t="s">
        <v>3141</v>
      </c>
      <c r="D1046" t="s">
        <v>510</v>
      </c>
      <c r="E1046" t="s">
        <v>4486</v>
      </c>
      <c r="F1046" t="s">
        <v>1755</v>
      </c>
      <c r="G1046" t="str">
        <f>CONCATENATE(Master_Packing_Database[[#This Row],[Exp '#]],Master_Packing_Database[[#This Row],[Batch '#]])</f>
        <v>2061st-</v>
      </c>
      <c r="H1046" t="s">
        <v>4487</v>
      </c>
      <c r="I1046" t="s">
        <v>4488</v>
      </c>
      <c r="J1046" t="s">
        <v>366</v>
      </c>
      <c r="K1046" t="s">
        <v>3285</v>
      </c>
      <c r="L1046" t="s">
        <v>606</v>
      </c>
      <c r="M1046" t="s">
        <v>1016</v>
      </c>
      <c r="N1046" t="s">
        <v>4489</v>
      </c>
      <c r="O1046" t="s">
        <v>4490</v>
      </c>
      <c r="V1046" t="s">
        <v>4491</v>
      </c>
      <c r="X1046" t="s">
        <v>4492</v>
      </c>
      <c r="Y1046" t="s">
        <v>1072</v>
      </c>
      <c r="Z1046" t="s">
        <v>1303</v>
      </c>
      <c r="AB1046" t="s">
        <v>4412</v>
      </c>
      <c r="AE1046" t="s">
        <v>4492</v>
      </c>
      <c r="AG1046" t="s">
        <v>1303</v>
      </c>
      <c r="AI1046" t="s">
        <v>29</v>
      </c>
      <c r="AK1046" t="s">
        <v>4493</v>
      </c>
      <c r="AL1046" t="s">
        <v>3152</v>
      </c>
      <c r="AN1046">
        <v>0</v>
      </c>
      <c r="AO1046" t="s">
        <v>1834</v>
      </c>
      <c r="AP1046" t="s">
        <v>1834</v>
      </c>
      <c r="AQ1046">
        <v>0</v>
      </c>
      <c r="AR1046" t="s">
        <v>1758</v>
      </c>
    </row>
    <row r="1047" spans="1:44" x14ac:dyDescent="0.25">
      <c r="A1047" t="s">
        <v>3141</v>
      </c>
      <c r="D1047" t="s">
        <v>731</v>
      </c>
      <c r="E1047" t="s">
        <v>4494</v>
      </c>
      <c r="F1047" t="s">
        <v>1755</v>
      </c>
      <c r="G1047" t="str">
        <f>CONCATENATE(Master_Packing_Database[[#This Row],[Exp '#]],Master_Packing_Database[[#This Row],[Batch '#]])</f>
        <v>2062nd-</v>
      </c>
      <c r="H1047" t="s">
        <v>4495</v>
      </c>
      <c r="I1047" t="s">
        <v>4496</v>
      </c>
      <c r="J1047" t="s">
        <v>117</v>
      </c>
      <c r="K1047" t="s">
        <v>4497</v>
      </c>
      <c r="L1047" t="s">
        <v>835</v>
      </c>
      <c r="M1047" t="s">
        <v>835</v>
      </c>
      <c r="N1047" t="s">
        <v>4114</v>
      </c>
      <c r="O1047" t="s">
        <v>4498</v>
      </c>
      <c r="V1047" t="s">
        <v>3214</v>
      </c>
      <c r="X1047" t="s">
        <v>3214</v>
      </c>
      <c r="Y1047" t="s">
        <v>1303</v>
      </c>
      <c r="Z1047" t="s">
        <v>975</v>
      </c>
      <c r="AB1047" t="s">
        <v>3318</v>
      </c>
      <c r="AE1047" t="s">
        <v>3214</v>
      </c>
      <c r="AG1047" t="s">
        <v>1303</v>
      </c>
      <c r="AI1047" t="s">
        <v>29</v>
      </c>
      <c r="AK1047" t="s">
        <v>3215</v>
      </c>
      <c r="AL1047" t="s">
        <v>3152</v>
      </c>
      <c r="AN1047">
        <v>0</v>
      </c>
      <c r="AO1047" t="s">
        <v>1834</v>
      </c>
      <c r="AP1047" t="s">
        <v>1834</v>
      </c>
      <c r="AQ1047">
        <v>0</v>
      </c>
      <c r="AR1047" t="s">
        <v>1758</v>
      </c>
    </row>
    <row r="1048" spans="1:44" x14ac:dyDescent="0.25">
      <c r="A1048" t="s">
        <v>3141</v>
      </c>
      <c r="D1048" t="s">
        <v>731</v>
      </c>
      <c r="E1048" t="s">
        <v>4499</v>
      </c>
      <c r="F1048" t="s">
        <v>761</v>
      </c>
      <c r="G1048" t="str">
        <f>CONCATENATE(Master_Packing_Database[[#This Row],[Exp '#]],Master_Packing_Database[[#This Row],[Batch '#]])</f>
        <v>2053rd1st</v>
      </c>
      <c r="H1048" t="s">
        <v>4500</v>
      </c>
      <c r="I1048" t="s">
        <v>4501</v>
      </c>
      <c r="J1048" t="s">
        <v>117</v>
      </c>
      <c r="K1048" t="s">
        <v>4502</v>
      </c>
      <c r="L1048" t="s">
        <v>599</v>
      </c>
      <c r="M1048" t="s">
        <v>599</v>
      </c>
      <c r="N1048" t="s">
        <v>4503</v>
      </c>
      <c r="O1048" t="s">
        <v>3521</v>
      </c>
      <c r="V1048" t="s">
        <v>3222</v>
      </c>
      <c r="X1048" t="s">
        <v>3222</v>
      </c>
      <c r="Y1048" t="s">
        <v>1303</v>
      </c>
      <c r="Z1048" t="s">
        <v>1303</v>
      </c>
      <c r="AB1048" t="s">
        <v>4492</v>
      </c>
      <c r="AE1048" t="s">
        <v>3222</v>
      </c>
      <c r="AG1048" t="s">
        <v>1303</v>
      </c>
      <c r="AI1048" t="s">
        <v>29</v>
      </c>
      <c r="AK1048" t="s">
        <v>3215</v>
      </c>
      <c r="AL1048" t="s">
        <v>3152</v>
      </c>
      <c r="AN1048">
        <v>0</v>
      </c>
      <c r="AO1048" t="s">
        <v>1834</v>
      </c>
      <c r="AP1048" t="s">
        <v>1834</v>
      </c>
      <c r="AQ1048">
        <v>0</v>
      </c>
      <c r="AR1048" t="s">
        <v>1758</v>
      </c>
    </row>
    <row r="1049" spans="1:44" x14ac:dyDescent="0.25">
      <c r="A1049" t="s">
        <v>3141</v>
      </c>
      <c r="D1049" t="s">
        <v>4504</v>
      </c>
      <c r="E1049" t="s">
        <v>4505</v>
      </c>
      <c r="F1049" t="s">
        <v>1755</v>
      </c>
      <c r="G1049" t="str">
        <f>CONCATENATE(Master_Packing_Database[[#This Row],[Exp '#]],Master_Packing_Database[[#This Row],[Batch '#]])</f>
        <v>CE-IDM-24-019-</v>
      </c>
      <c r="H1049" t="s">
        <v>4506</v>
      </c>
      <c r="I1049" t="s">
        <v>4507</v>
      </c>
      <c r="J1049" t="s">
        <v>117</v>
      </c>
      <c r="K1049" t="s">
        <v>1147</v>
      </c>
      <c r="L1049" t="s">
        <v>4508</v>
      </c>
      <c r="M1049" t="s">
        <v>835</v>
      </c>
      <c r="N1049" t="s">
        <v>3845</v>
      </c>
      <c r="O1049" t="s">
        <v>4509</v>
      </c>
      <c r="V1049" t="s">
        <v>3201</v>
      </c>
      <c r="X1049" t="s">
        <v>3201</v>
      </c>
      <c r="Y1049" t="s">
        <v>1303</v>
      </c>
      <c r="Z1049" t="s">
        <v>2579</v>
      </c>
      <c r="AB1049" t="s">
        <v>4510</v>
      </c>
      <c r="AE1049" t="s">
        <v>3201</v>
      </c>
      <c r="AG1049" t="s">
        <v>1303</v>
      </c>
      <c r="AI1049" t="s">
        <v>29</v>
      </c>
      <c r="AK1049" t="s">
        <v>4511</v>
      </c>
      <c r="AL1049" t="s">
        <v>3152</v>
      </c>
      <c r="AN1049">
        <v>0</v>
      </c>
      <c r="AO1049" t="s">
        <v>1834</v>
      </c>
      <c r="AP1049" t="s">
        <v>1834</v>
      </c>
      <c r="AQ1049">
        <v>0</v>
      </c>
      <c r="AR1049" t="s">
        <v>1758</v>
      </c>
    </row>
    <row r="1050" spans="1:44" x14ac:dyDescent="0.25">
      <c r="A1050" t="s">
        <v>3141</v>
      </c>
      <c r="D1050" t="s">
        <v>2713</v>
      </c>
      <c r="E1050" t="s">
        <v>4512</v>
      </c>
      <c r="F1050" t="s">
        <v>422</v>
      </c>
      <c r="G1050" t="str">
        <f>CONCATENATE(Master_Packing_Database[[#This Row],[Exp '#]],Master_Packing_Database[[#This Row],[Batch '#]])</f>
        <v>1964th2nd</v>
      </c>
      <c r="H1050" t="s">
        <v>4513</v>
      </c>
      <c r="I1050" t="s">
        <v>660</v>
      </c>
      <c r="J1050" t="s">
        <v>117</v>
      </c>
      <c r="K1050" t="s">
        <v>32</v>
      </c>
      <c r="L1050" t="s">
        <v>299</v>
      </c>
      <c r="M1050" t="s">
        <v>1030</v>
      </c>
      <c r="N1050" t="s">
        <v>4514</v>
      </c>
      <c r="O1050" t="s">
        <v>4515</v>
      </c>
      <c r="V1050" t="s">
        <v>4491</v>
      </c>
      <c r="X1050" t="s">
        <v>4491</v>
      </c>
      <c r="Y1050" t="s">
        <v>1303</v>
      </c>
      <c r="Z1050" t="s">
        <v>912</v>
      </c>
      <c r="AB1050" t="s">
        <v>3177</v>
      </c>
      <c r="AE1050" t="s">
        <v>4491</v>
      </c>
      <c r="AG1050" t="s">
        <v>1303</v>
      </c>
      <c r="AI1050" t="s">
        <v>29</v>
      </c>
      <c r="AK1050" t="s">
        <v>4511</v>
      </c>
      <c r="AL1050" t="s">
        <v>3152</v>
      </c>
      <c r="AN1050">
        <v>0</v>
      </c>
      <c r="AO1050" t="s">
        <v>1834</v>
      </c>
      <c r="AP1050" t="s">
        <v>1834</v>
      </c>
      <c r="AQ1050">
        <v>0</v>
      </c>
      <c r="AR1050" t="s">
        <v>1758</v>
      </c>
    </row>
    <row r="1051" spans="1:44" x14ac:dyDescent="0.25">
      <c r="A1051" t="s">
        <v>3141</v>
      </c>
      <c r="D1051" t="s">
        <v>4516</v>
      </c>
      <c r="E1051" t="s">
        <v>4517</v>
      </c>
      <c r="F1051" t="s">
        <v>1755</v>
      </c>
      <c r="G1051" t="str">
        <f>CONCATENATE(Master_Packing_Database[[#This Row],[Exp '#]],Master_Packing_Database[[#This Row],[Batch '#]])</f>
        <v>CE-IDM-24-017-</v>
      </c>
      <c r="H1051" t="s">
        <v>4518</v>
      </c>
      <c r="I1051" t="s">
        <v>4519</v>
      </c>
      <c r="J1051" t="s">
        <v>1371</v>
      </c>
      <c r="K1051" t="s">
        <v>1147</v>
      </c>
      <c r="L1051" t="s">
        <v>4520</v>
      </c>
      <c r="M1051" t="s">
        <v>1016</v>
      </c>
      <c r="N1051" t="s">
        <v>4521</v>
      </c>
      <c r="O1051" t="s">
        <v>4522</v>
      </c>
      <c r="V1051" t="s">
        <v>4426</v>
      </c>
      <c r="X1051" t="s">
        <v>4426</v>
      </c>
      <c r="Y1051" t="s">
        <v>1303</v>
      </c>
      <c r="Z1051" t="s">
        <v>3263</v>
      </c>
      <c r="AB1051" t="s">
        <v>4434</v>
      </c>
      <c r="AE1051" t="s">
        <v>4441</v>
      </c>
      <c r="AG1051" t="s">
        <v>1072</v>
      </c>
      <c r="AI1051" t="s">
        <v>29</v>
      </c>
      <c r="AK1051" t="s">
        <v>4511</v>
      </c>
      <c r="AL1051" t="s">
        <v>3152</v>
      </c>
      <c r="AN1051">
        <v>0</v>
      </c>
      <c r="AO1051" t="s">
        <v>1834</v>
      </c>
      <c r="AP1051" t="s">
        <v>1834</v>
      </c>
      <c r="AQ1051">
        <v>0</v>
      </c>
      <c r="AR1051" t="s">
        <v>1758</v>
      </c>
    </row>
    <row r="1052" spans="1:44" x14ac:dyDescent="0.25">
      <c r="A1052" t="s">
        <v>3141</v>
      </c>
      <c r="D1052" t="s">
        <v>4523</v>
      </c>
      <c r="E1052" t="s">
        <v>4524</v>
      </c>
      <c r="F1052" t="s">
        <v>1755</v>
      </c>
      <c r="G1052" t="str">
        <f>CONCATENATE(Master_Packing_Database[[#This Row],[Exp '#]],Master_Packing_Database[[#This Row],[Batch '#]])</f>
        <v>CE-IDM-24-016-</v>
      </c>
      <c r="H1052" t="s">
        <v>4525</v>
      </c>
      <c r="I1052" t="s">
        <v>4526</v>
      </c>
      <c r="J1052" t="s">
        <v>1371</v>
      </c>
      <c r="K1052" t="s">
        <v>1147</v>
      </c>
      <c r="L1052" t="s">
        <v>3499</v>
      </c>
      <c r="M1052" t="s">
        <v>1425</v>
      </c>
      <c r="N1052" t="s">
        <v>2582</v>
      </c>
      <c r="O1052" t="s">
        <v>4527</v>
      </c>
      <c r="V1052" t="s">
        <v>3210</v>
      </c>
      <c r="X1052" t="s">
        <v>3210</v>
      </c>
      <c r="Y1052" t="s">
        <v>1303</v>
      </c>
      <c r="Z1052" t="s">
        <v>3263</v>
      </c>
      <c r="AB1052" t="s">
        <v>4510</v>
      </c>
      <c r="AE1052" t="s">
        <v>4441</v>
      </c>
      <c r="AG1052" t="s">
        <v>599</v>
      </c>
      <c r="AI1052" t="s">
        <v>29</v>
      </c>
      <c r="AK1052" t="s">
        <v>4511</v>
      </c>
      <c r="AL1052" t="s">
        <v>3152</v>
      </c>
      <c r="AN1052">
        <v>0</v>
      </c>
      <c r="AO1052" t="s">
        <v>1834</v>
      </c>
      <c r="AP1052" t="s">
        <v>1834</v>
      </c>
      <c r="AQ1052">
        <v>0</v>
      </c>
      <c r="AR1052" t="s">
        <v>1758</v>
      </c>
    </row>
    <row r="1053" spans="1:44" x14ac:dyDescent="0.25">
      <c r="A1053" t="s">
        <v>3141</v>
      </c>
      <c r="D1053" t="s">
        <v>4528</v>
      </c>
      <c r="E1053" t="s">
        <v>4529</v>
      </c>
      <c r="F1053" t="s">
        <v>1755</v>
      </c>
      <c r="G1053" t="str">
        <f>CONCATENATE(Master_Packing_Database[[#This Row],[Exp '#]],Master_Packing_Database[[#This Row],[Batch '#]])</f>
        <v>2059th-</v>
      </c>
      <c r="H1053" t="s">
        <v>4530</v>
      </c>
      <c r="I1053" t="s">
        <v>4531</v>
      </c>
      <c r="J1053" t="s">
        <v>117</v>
      </c>
      <c r="K1053" t="s">
        <v>4532</v>
      </c>
      <c r="L1053" t="s">
        <v>116</v>
      </c>
      <c r="M1053" t="s">
        <v>116</v>
      </c>
      <c r="N1053" t="s">
        <v>4533</v>
      </c>
      <c r="O1053" t="s">
        <v>4534</v>
      </c>
      <c r="V1053" t="s">
        <v>3272</v>
      </c>
      <c r="X1053" t="s">
        <v>3272</v>
      </c>
      <c r="Y1053" t="s">
        <v>1303</v>
      </c>
      <c r="Z1053" t="s">
        <v>599</v>
      </c>
      <c r="AB1053" t="s">
        <v>3214</v>
      </c>
      <c r="AE1053" t="s">
        <v>3272</v>
      </c>
      <c r="AG1053" t="s">
        <v>1303</v>
      </c>
      <c r="AI1053" t="s">
        <v>29</v>
      </c>
      <c r="AK1053" t="s">
        <v>4535</v>
      </c>
      <c r="AL1053" t="s">
        <v>3152</v>
      </c>
      <c r="AN1053">
        <v>0</v>
      </c>
      <c r="AO1053" t="s">
        <v>1834</v>
      </c>
      <c r="AP1053" t="s">
        <v>1834</v>
      </c>
      <c r="AQ1053">
        <v>0</v>
      </c>
      <c r="AR1053" t="s">
        <v>1758</v>
      </c>
    </row>
    <row r="1054" spans="1:44" x14ac:dyDescent="0.25">
      <c r="A1054" t="s">
        <v>3141</v>
      </c>
      <c r="D1054" t="s">
        <v>4380</v>
      </c>
      <c r="E1054" t="s">
        <v>4536</v>
      </c>
      <c r="F1054" t="s">
        <v>1755</v>
      </c>
      <c r="G1054" t="str">
        <f>CONCATENATE(Master_Packing_Database[[#This Row],[Exp '#]],Master_Packing_Database[[#This Row],[Batch '#]])</f>
        <v>2050th-</v>
      </c>
      <c r="H1054" t="s">
        <v>4537</v>
      </c>
      <c r="I1054" t="s">
        <v>4538</v>
      </c>
      <c r="J1054" t="s">
        <v>117</v>
      </c>
      <c r="K1054" t="s">
        <v>1059</v>
      </c>
      <c r="L1054" t="s">
        <v>599</v>
      </c>
      <c r="M1054" t="s">
        <v>599</v>
      </c>
      <c r="N1054" t="s">
        <v>4539</v>
      </c>
      <c r="O1054" t="s">
        <v>4540</v>
      </c>
      <c r="V1054" t="s">
        <v>3243</v>
      </c>
      <c r="X1054" t="s">
        <v>4541</v>
      </c>
      <c r="Y1054" t="s">
        <v>116</v>
      </c>
      <c r="Z1054" t="s">
        <v>1303</v>
      </c>
      <c r="AB1054" t="s">
        <v>3222</v>
      </c>
      <c r="AE1054" t="s">
        <v>3280</v>
      </c>
      <c r="AG1054" t="s">
        <v>1303</v>
      </c>
      <c r="AI1054" t="s">
        <v>29</v>
      </c>
      <c r="AK1054" t="s">
        <v>4542</v>
      </c>
      <c r="AL1054" t="s">
        <v>3152</v>
      </c>
      <c r="AN1054">
        <v>0</v>
      </c>
      <c r="AO1054" t="s">
        <v>1834</v>
      </c>
      <c r="AP1054" t="s">
        <v>1834</v>
      </c>
      <c r="AQ1054">
        <v>0</v>
      </c>
      <c r="AR1054" t="s">
        <v>1758</v>
      </c>
    </row>
    <row r="1055" spans="1:44" x14ac:dyDescent="0.25">
      <c r="A1055" t="s">
        <v>3141</v>
      </c>
      <c r="D1055" t="s">
        <v>2887</v>
      </c>
      <c r="E1055" t="s">
        <v>4543</v>
      </c>
      <c r="F1055" t="s">
        <v>1755</v>
      </c>
      <c r="G1055" t="str">
        <f>CONCATENATE(Master_Packing_Database[[#This Row],[Exp '#]],Master_Packing_Database[[#This Row],[Batch '#]])</f>
        <v>CE-IDM-24-024-</v>
      </c>
      <c r="H1055" t="s">
        <v>4544</v>
      </c>
      <c r="I1055" t="s">
        <v>1349</v>
      </c>
      <c r="J1055" t="s">
        <v>117</v>
      </c>
      <c r="K1055" t="s">
        <v>1147</v>
      </c>
      <c r="L1055" t="s">
        <v>376</v>
      </c>
      <c r="M1055" t="s">
        <v>116</v>
      </c>
      <c r="N1055" t="s">
        <v>3498</v>
      </c>
      <c r="O1055" t="s">
        <v>4390</v>
      </c>
      <c r="V1055" t="s">
        <v>4426</v>
      </c>
      <c r="X1055" t="s">
        <v>4426</v>
      </c>
      <c r="Y1055" t="s">
        <v>1303</v>
      </c>
      <c r="Z1055" t="s">
        <v>359</v>
      </c>
      <c r="AB1055" t="s">
        <v>3222</v>
      </c>
      <c r="AE1055" t="s">
        <v>4426</v>
      </c>
      <c r="AG1055" t="s">
        <v>1303</v>
      </c>
      <c r="AI1055" t="s">
        <v>29</v>
      </c>
      <c r="AK1055" t="s">
        <v>4542</v>
      </c>
      <c r="AL1055" t="s">
        <v>3152</v>
      </c>
      <c r="AN1055">
        <v>0</v>
      </c>
      <c r="AO1055" t="s">
        <v>1834</v>
      </c>
      <c r="AP1055" t="s">
        <v>1834</v>
      </c>
      <c r="AQ1055">
        <v>0</v>
      </c>
      <c r="AR1055" t="s">
        <v>1758</v>
      </c>
    </row>
    <row r="1056" spans="1:44" x14ac:dyDescent="0.25">
      <c r="A1056" t="s">
        <v>3141</v>
      </c>
      <c r="D1056" t="s">
        <v>1090</v>
      </c>
      <c r="E1056" t="s">
        <v>4545</v>
      </c>
      <c r="F1056" t="s">
        <v>761</v>
      </c>
      <c r="G1056" t="str">
        <f>CONCATENATE(Master_Packing_Database[[#This Row],[Exp '#]],Master_Packing_Database[[#This Row],[Batch '#]])</f>
        <v>2080th1st</v>
      </c>
      <c r="H1056" t="s">
        <v>4546</v>
      </c>
      <c r="I1056" t="s">
        <v>319</v>
      </c>
      <c r="J1056" t="s">
        <v>366</v>
      </c>
      <c r="K1056" t="s">
        <v>1147</v>
      </c>
      <c r="L1056" t="s">
        <v>116</v>
      </c>
      <c r="M1056" t="s">
        <v>116</v>
      </c>
      <c r="N1056" t="s">
        <v>290</v>
      </c>
      <c r="O1056" t="s">
        <v>4547</v>
      </c>
      <c r="V1056" t="s">
        <v>3222</v>
      </c>
      <c r="X1056" t="s">
        <v>3272</v>
      </c>
      <c r="Y1056" t="s">
        <v>116</v>
      </c>
      <c r="Z1056" t="s">
        <v>1016</v>
      </c>
      <c r="AB1056" t="s">
        <v>3318</v>
      </c>
      <c r="AE1056" t="s">
        <v>3272</v>
      </c>
      <c r="AG1056" t="s">
        <v>1303</v>
      </c>
      <c r="AI1056" t="s">
        <v>29</v>
      </c>
      <c r="AK1056" t="s">
        <v>4548</v>
      </c>
      <c r="AL1056" t="s">
        <v>3152</v>
      </c>
      <c r="AN1056">
        <v>0</v>
      </c>
      <c r="AO1056" t="s">
        <v>1834</v>
      </c>
      <c r="AP1056" t="s">
        <v>1834</v>
      </c>
      <c r="AQ1056">
        <v>0</v>
      </c>
      <c r="AR1056" t="s">
        <v>1758</v>
      </c>
    </row>
    <row r="1057" spans="1:44" x14ac:dyDescent="0.25">
      <c r="A1057" t="s">
        <v>3141</v>
      </c>
      <c r="D1057" t="s">
        <v>2719</v>
      </c>
      <c r="E1057" t="s">
        <v>4549</v>
      </c>
      <c r="F1057" t="s">
        <v>761</v>
      </c>
      <c r="G1057" t="str">
        <f>CONCATENATE(Master_Packing_Database[[#This Row],[Exp '#]],Master_Packing_Database[[#This Row],[Batch '#]])</f>
        <v>2094th1st</v>
      </c>
      <c r="H1057" t="s">
        <v>4550</v>
      </c>
      <c r="I1057" t="s">
        <v>4551</v>
      </c>
      <c r="J1057" t="s">
        <v>117</v>
      </c>
      <c r="K1057" t="s">
        <v>4552</v>
      </c>
      <c r="L1057" t="s">
        <v>376</v>
      </c>
      <c r="M1057" t="s">
        <v>599</v>
      </c>
      <c r="N1057" t="s">
        <v>4553</v>
      </c>
      <c r="O1057" t="s">
        <v>1022</v>
      </c>
      <c r="V1057" t="s">
        <v>2563</v>
      </c>
      <c r="X1057" t="s">
        <v>2563</v>
      </c>
      <c r="Y1057" t="s">
        <v>1303</v>
      </c>
      <c r="Z1057" t="s">
        <v>1303</v>
      </c>
      <c r="AB1057" t="s">
        <v>2565</v>
      </c>
      <c r="AE1057" t="s">
        <v>4554</v>
      </c>
      <c r="AG1057" t="s">
        <v>4555</v>
      </c>
      <c r="AI1057" t="s">
        <v>29</v>
      </c>
      <c r="AK1057" t="s">
        <v>4556</v>
      </c>
      <c r="AL1057" t="s">
        <v>3152</v>
      </c>
      <c r="AN1057">
        <v>0</v>
      </c>
      <c r="AO1057" t="s">
        <v>1834</v>
      </c>
      <c r="AP1057" t="s">
        <v>1834</v>
      </c>
      <c r="AQ1057">
        <v>0</v>
      </c>
      <c r="AR1057" t="s">
        <v>1758</v>
      </c>
    </row>
    <row r="1058" spans="1:44" x14ac:dyDescent="0.25">
      <c r="A1058" t="s">
        <v>3141</v>
      </c>
      <c r="D1058" t="s">
        <v>727</v>
      </c>
      <c r="E1058" t="s">
        <v>4499</v>
      </c>
      <c r="F1058" t="s">
        <v>422</v>
      </c>
      <c r="G1058" t="str">
        <f>CONCATENATE(Master_Packing_Database[[#This Row],[Exp '#]],Master_Packing_Database[[#This Row],[Batch '#]])</f>
        <v>2053rd2nd</v>
      </c>
      <c r="H1058" t="s">
        <v>4500</v>
      </c>
      <c r="I1058" t="s">
        <v>4501</v>
      </c>
      <c r="J1058" t="s">
        <v>117</v>
      </c>
      <c r="K1058" t="s">
        <v>4502</v>
      </c>
      <c r="L1058" t="s">
        <v>599</v>
      </c>
      <c r="M1058" t="s">
        <v>599</v>
      </c>
      <c r="N1058" t="s">
        <v>4021</v>
      </c>
      <c r="O1058" t="s">
        <v>4557</v>
      </c>
      <c r="V1058" t="s">
        <v>4558</v>
      </c>
      <c r="X1058" t="s">
        <v>4558</v>
      </c>
      <c r="Y1058" t="s">
        <v>1303</v>
      </c>
      <c r="Z1058" t="s">
        <v>1303</v>
      </c>
      <c r="AB1058" t="s">
        <v>4492</v>
      </c>
      <c r="AE1058" t="s">
        <v>4558</v>
      </c>
      <c r="AG1058" t="s">
        <v>1303</v>
      </c>
      <c r="AI1058" t="s">
        <v>29</v>
      </c>
      <c r="AK1058" t="s">
        <v>4559</v>
      </c>
      <c r="AL1058" t="s">
        <v>3152</v>
      </c>
      <c r="AN1058">
        <v>0</v>
      </c>
      <c r="AO1058" t="s">
        <v>1834</v>
      </c>
      <c r="AP1058" t="s">
        <v>1834</v>
      </c>
      <c r="AQ1058">
        <v>0</v>
      </c>
      <c r="AR1058" t="s">
        <v>1758</v>
      </c>
    </row>
    <row r="1059" spans="1:44" x14ac:dyDescent="0.25">
      <c r="A1059" t="s">
        <v>3141</v>
      </c>
      <c r="D1059" t="s">
        <v>4473</v>
      </c>
      <c r="E1059" t="s">
        <v>4560</v>
      </c>
      <c r="F1059" t="s">
        <v>1755</v>
      </c>
      <c r="G1059" t="str">
        <f>CONCATENATE(Master_Packing_Database[[#This Row],[Exp '#]],Master_Packing_Database[[#This Row],[Batch '#]])</f>
        <v>CE-IDM-24-021-</v>
      </c>
      <c r="H1059" t="s">
        <v>4561</v>
      </c>
      <c r="I1059" t="s">
        <v>4562</v>
      </c>
      <c r="J1059" t="s">
        <v>117</v>
      </c>
      <c r="K1059" t="s">
        <v>1147</v>
      </c>
      <c r="L1059" t="s">
        <v>116</v>
      </c>
      <c r="M1059" t="s">
        <v>116</v>
      </c>
      <c r="N1059" t="s">
        <v>4563</v>
      </c>
      <c r="O1059" t="s">
        <v>403</v>
      </c>
      <c r="V1059" t="s">
        <v>4412</v>
      </c>
      <c r="X1059" t="s">
        <v>4412</v>
      </c>
      <c r="Y1059" t="s">
        <v>1303</v>
      </c>
      <c r="Z1059" t="s">
        <v>3412</v>
      </c>
      <c r="AB1059" t="s">
        <v>3205</v>
      </c>
      <c r="AE1059" t="s">
        <v>4412</v>
      </c>
      <c r="AG1059" t="s">
        <v>1303</v>
      </c>
      <c r="AI1059" t="s">
        <v>4564</v>
      </c>
      <c r="AK1059" t="s">
        <v>4565</v>
      </c>
      <c r="AL1059" t="s">
        <v>3152</v>
      </c>
      <c r="AN1059">
        <v>0</v>
      </c>
      <c r="AO1059" t="s">
        <v>1834</v>
      </c>
      <c r="AP1059" t="s">
        <v>1834</v>
      </c>
      <c r="AQ1059">
        <v>0</v>
      </c>
      <c r="AR1059" t="s">
        <v>1758</v>
      </c>
    </row>
    <row r="1060" spans="1:44" x14ac:dyDescent="0.25">
      <c r="A1060" t="s">
        <v>3141</v>
      </c>
      <c r="D1060" t="s">
        <v>1090</v>
      </c>
      <c r="E1060" t="s">
        <v>4566</v>
      </c>
      <c r="F1060" t="s">
        <v>1755</v>
      </c>
      <c r="G1060" t="str">
        <f>CONCATENATE(Master_Packing_Database[[#This Row],[Exp '#]],Master_Packing_Database[[#This Row],[Batch '#]])</f>
        <v>2058th-</v>
      </c>
      <c r="H1060" t="s">
        <v>4567</v>
      </c>
      <c r="I1060" t="s">
        <v>4551</v>
      </c>
      <c r="J1060" t="s">
        <v>366</v>
      </c>
      <c r="K1060" t="s">
        <v>3970</v>
      </c>
      <c r="L1060" t="s">
        <v>116</v>
      </c>
      <c r="M1060" t="s">
        <v>116</v>
      </c>
      <c r="N1060" t="s">
        <v>501</v>
      </c>
      <c r="O1060" t="s">
        <v>4568</v>
      </c>
      <c r="V1060" t="s">
        <v>4569</v>
      </c>
      <c r="X1060" t="s">
        <v>4569</v>
      </c>
      <c r="Y1060" t="s">
        <v>1303</v>
      </c>
      <c r="Z1060" t="s">
        <v>116</v>
      </c>
      <c r="AB1060" t="s">
        <v>4570</v>
      </c>
      <c r="AE1060" t="s">
        <v>4570</v>
      </c>
      <c r="AG1060" t="s">
        <v>1016</v>
      </c>
      <c r="AI1060" t="s">
        <v>29</v>
      </c>
      <c r="AK1060" t="s">
        <v>3244</v>
      </c>
      <c r="AL1060" t="s">
        <v>3152</v>
      </c>
      <c r="AN1060">
        <v>0</v>
      </c>
      <c r="AO1060" t="s">
        <v>1834</v>
      </c>
      <c r="AP1060" t="s">
        <v>1834</v>
      </c>
      <c r="AQ1060">
        <v>0</v>
      </c>
      <c r="AR1060" t="s">
        <v>1758</v>
      </c>
    </row>
    <row r="1061" spans="1:44" x14ac:dyDescent="0.25">
      <c r="A1061" t="s">
        <v>3141</v>
      </c>
      <c r="D1061" t="s">
        <v>38</v>
      </c>
      <c r="E1061" t="s">
        <v>4571</v>
      </c>
      <c r="F1061" t="s">
        <v>1755</v>
      </c>
      <c r="G1061" t="str">
        <f>CONCATENATE(Master_Packing_Database[[#This Row],[Exp '#]],Master_Packing_Database[[#This Row],[Batch '#]])</f>
        <v>2082nd-</v>
      </c>
      <c r="H1061" t="s">
        <v>4572</v>
      </c>
      <c r="I1061" t="s">
        <v>3247</v>
      </c>
      <c r="J1061" t="s">
        <v>117</v>
      </c>
      <c r="K1061" t="s">
        <v>3796</v>
      </c>
      <c r="L1061" t="s">
        <v>544</v>
      </c>
      <c r="M1061" t="s">
        <v>544</v>
      </c>
      <c r="N1061" t="s">
        <v>4573</v>
      </c>
      <c r="O1061" t="s">
        <v>4574</v>
      </c>
      <c r="V1061" t="s">
        <v>4570</v>
      </c>
      <c r="X1061" t="s">
        <v>3231</v>
      </c>
      <c r="Y1061" t="s">
        <v>544</v>
      </c>
      <c r="Z1061" t="s">
        <v>1303</v>
      </c>
      <c r="AB1061" t="s">
        <v>3232</v>
      </c>
      <c r="AE1061" t="s">
        <v>3231</v>
      </c>
      <c r="AG1061" t="s">
        <v>1303</v>
      </c>
      <c r="AI1061" t="s">
        <v>29</v>
      </c>
      <c r="AK1061" t="s">
        <v>4575</v>
      </c>
      <c r="AL1061" t="s">
        <v>3152</v>
      </c>
      <c r="AN1061">
        <v>0</v>
      </c>
      <c r="AO1061" t="s">
        <v>1834</v>
      </c>
      <c r="AP1061" t="s">
        <v>1834</v>
      </c>
      <c r="AQ1061">
        <v>0</v>
      </c>
      <c r="AR1061" t="s">
        <v>1758</v>
      </c>
    </row>
    <row r="1062" spans="1:44" x14ac:dyDescent="0.25">
      <c r="A1062" t="s">
        <v>3141</v>
      </c>
      <c r="D1062" t="s">
        <v>4576</v>
      </c>
      <c r="E1062" t="s">
        <v>4577</v>
      </c>
      <c r="G1062" t="str">
        <f>CONCATENATE(Master_Packing_Database[[#This Row],[Exp '#]],Master_Packing_Database[[#This Row],[Batch '#]])</f>
        <v>1989th</v>
      </c>
      <c r="H1062" t="s">
        <v>4578</v>
      </c>
      <c r="I1062" t="s">
        <v>4579</v>
      </c>
      <c r="J1062" t="s">
        <v>117</v>
      </c>
      <c r="K1062" t="s">
        <v>1042</v>
      </c>
      <c r="L1062" t="s">
        <v>1030</v>
      </c>
      <c r="M1062" t="s">
        <v>1030</v>
      </c>
      <c r="N1062" t="s">
        <v>4580</v>
      </c>
      <c r="O1062" t="s">
        <v>4581</v>
      </c>
      <c r="V1062" t="s">
        <v>4582</v>
      </c>
      <c r="X1062" t="s">
        <v>3231</v>
      </c>
      <c r="Y1062" t="s">
        <v>975</v>
      </c>
      <c r="Z1062" t="s">
        <v>116</v>
      </c>
      <c r="AB1062" t="s">
        <v>3242</v>
      </c>
      <c r="AE1062" t="s">
        <v>3233</v>
      </c>
      <c r="AG1062" t="s">
        <v>116</v>
      </c>
      <c r="AI1062" t="s">
        <v>29</v>
      </c>
      <c r="AK1062" t="s">
        <v>3234</v>
      </c>
      <c r="AL1062" t="s">
        <v>3152</v>
      </c>
      <c r="AN1062">
        <v>0</v>
      </c>
      <c r="AO1062" t="s">
        <v>1834</v>
      </c>
      <c r="AP1062" t="s">
        <v>1834</v>
      </c>
      <c r="AQ1062">
        <v>0</v>
      </c>
      <c r="AR1062" t="s">
        <v>1758</v>
      </c>
    </row>
    <row r="1063" spans="1:44" x14ac:dyDescent="0.25">
      <c r="A1063" t="s">
        <v>3141</v>
      </c>
      <c r="D1063" t="s">
        <v>720</v>
      </c>
      <c r="E1063" t="s">
        <v>4583</v>
      </c>
      <c r="F1063" t="s">
        <v>1755</v>
      </c>
      <c r="G1063" t="str">
        <f>CONCATENATE(Master_Packing_Database[[#This Row],[Exp '#]],Master_Packing_Database[[#This Row],[Batch '#]])</f>
        <v>2104th-</v>
      </c>
      <c r="H1063" t="s">
        <v>4584</v>
      </c>
      <c r="I1063" t="s">
        <v>1066</v>
      </c>
      <c r="J1063" t="s">
        <v>117</v>
      </c>
      <c r="K1063" t="s">
        <v>1147</v>
      </c>
      <c r="L1063" t="s">
        <v>975</v>
      </c>
      <c r="M1063" t="s">
        <v>599</v>
      </c>
      <c r="N1063" t="s">
        <v>4585</v>
      </c>
      <c r="O1063" t="s">
        <v>4432</v>
      </c>
      <c r="V1063" t="s">
        <v>4570</v>
      </c>
      <c r="X1063" t="s">
        <v>4570</v>
      </c>
      <c r="Y1063" t="s">
        <v>1303</v>
      </c>
      <c r="Z1063" t="s">
        <v>544</v>
      </c>
      <c r="AB1063" t="s">
        <v>4582</v>
      </c>
      <c r="AE1063" t="s">
        <v>3231</v>
      </c>
      <c r="AG1063" t="s">
        <v>544</v>
      </c>
      <c r="AI1063" t="s">
        <v>4564</v>
      </c>
      <c r="AK1063" t="s">
        <v>4586</v>
      </c>
      <c r="AL1063" t="s">
        <v>3152</v>
      </c>
      <c r="AN1063">
        <v>0</v>
      </c>
      <c r="AO1063" t="s">
        <v>1834</v>
      </c>
      <c r="AP1063" t="s">
        <v>1834</v>
      </c>
      <c r="AQ1063">
        <v>0</v>
      </c>
      <c r="AR1063" t="s">
        <v>1758</v>
      </c>
    </row>
    <row r="1064" spans="1:44" x14ac:dyDescent="0.25">
      <c r="A1064" t="s">
        <v>3141</v>
      </c>
      <c r="D1064" t="s">
        <v>1382</v>
      </c>
      <c r="E1064" t="s">
        <v>4587</v>
      </c>
      <c r="F1064" t="s">
        <v>1755</v>
      </c>
      <c r="G1064" t="str">
        <f>CONCATENATE(Master_Packing_Database[[#This Row],[Exp '#]],Master_Packing_Database[[#This Row],[Batch '#]])</f>
        <v>24-028-</v>
      </c>
      <c r="H1064" t="s">
        <v>4588</v>
      </c>
      <c r="I1064" t="s">
        <v>4589</v>
      </c>
      <c r="J1064" t="s">
        <v>117</v>
      </c>
      <c r="K1064" t="s">
        <v>1147</v>
      </c>
      <c r="L1064" t="s">
        <v>3412</v>
      </c>
      <c r="M1064" t="s">
        <v>835</v>
      </c>
      <c r="N1064" t="s">
        <v>4590</v>
      </c>
      <c r="O1064" t="s">
        <v>4591</v>
      </c>
      <c r="V1064" t="s">
        <v>4569</v>
      </c>
      <c r="X1064" t="s">
        <v>4570</v>
      </c>
      <c r="Y1064" t="s">
        <v>1016</v>
      </c>
      <c r="Z1064" t="s">
        <v>1419</v>
      </c>
      <c r="AB1064" t="s">
        <v>3279</v>
      </c>
      <c r="AE1064" t="s">
        <v>4570</v>
      </c>
      <c r="AG1064" t="s">
        <v>1303</v>
      </c>
      <c r="AI1064" t="s">
        <v>29</v>
      </c>
      <c r="AK1064" t="s">
        <v>3254</v>
      </c>
      <c r="AL1064" t="s">
        <v>3152</v>
      </c>
      <c r="AN1064">
        <v>0</v>
      </c>
      <c r="AO1064" t="s">
        <v>1834</v>
      </c>
      <c r="AP1064" t="s">
        <v>1834</v>
      </c>
      <c r="AQ1064">
        <v>0</v>
      </c>
      <c r="AR1064" t="s">
        <v>1758</v>
      </c>
    </row>
    <row r="1065" spans="1:44" x14ac:dyDescent="0.25">
      <c r="A1065" t="s">
        <v>3141</v>
      </c>
      <c r="D1065" t="s">
        <v>4592</v>
      </c>
      <c r="E1065" t="s">
        <v>4593</v>
      </c>
      <c r="F1065" t="s">
        <v>1755</v>
      </c>
      <c r="G1065" t="str">
        <f>CONCATENATE(Master_Packing_Database[[#This Row],[Exp '#]],Master_Packing_Database[[#This Row],[Batch '#]])</f>
        <v>1814th-</v>
      </c>
      <c r="H1065" t="s">
        <v>4594</v>
      </c>
      <c r="I1065" t="s">
        <v>4595</v>
      </c>
      <c r="J1065" t="s">
        <v>4596</v>
      </c>
      <c r="K1065" t="s">
        <v>1147</v>
      </c>
      <c r="L1065" t="s">
        <v>4597</v>
      </c>
      <c r="M1065" t="s">
        <v>290</v>
      </c>
      <c r="N1065" t="s">
        <v>4598</v>
      </c>
      <c r="O1065" t="s">
        <v>4599</v>
      </c>
      <c r="V1065" t="s">
        <v>4600</v>
      </c>
      <c r="X1065" t="s">
        <v>4601</v>
      </c>
      <c r="Y1065" t="s">
        <v>299</v>
      </c>
      <c r="Z1065" t="s">
        <v>599</v>
      </c>
      <c r="AB1065" t="s">
        <v>4602</v>
      </c>
      <c r="AE1065" t="s">
        <v>4601</v>
      </c>
      <c r="AG1065" t="s">
        <v>1303</v>
      </c>
      <c r="AI1065" t="s">
        <v>29</v>
      </c>
      <c r="AK1065" t="s">
        <v>4603</v>
      </c>
      <c r="AL1065" t="s">
        <v>3152</v>
      </c>
      <c r="AN1065">
        <v>0</v>
      </c>
      <c r="AO1065" t="s">
        <v>1834</v>
      </c>
      <c r="AP1065" t="s">
        <v>1834</v>
      </c>
      <c r="AQ1065">
        <v>0</v>
      </c>
      <c r="AR1065" t="s">
        <v>1758</v>
      </c>
    </row>
    <row r="1066" spans="1:44" x14ac:dyDescent="0.25">
      <c r="A1066" t="s">
        <v>3141</v>
      </c>
      <c r="D1066" t="s">
        <v>4473</v>
      </c>
      <c r="E1066" t="s">
        <v>4604</v>
      </c>
      <c r="F1066" t="s">
        <v>1755</v>
      </c>
      <c r="G1066" t="str">
        <f>CONCATENATE(Master_Packing_Database[[#This Row],[Exp '#]],Master_Packing_Database[[#This Row],[Batch '#]])</f>
        <v>2002nd-</v>
      </c>
      <c r="H1066" t="s">
        <v>4605</v>
      </c>
      <c r="I1066" t="s">
        <v>2741</v>
      </c>
      <c r="J1066" t="s">
        <v>117</v>
      </c>
      <c r="K1066" t="s">
        <v>3361</v>
      </c>
      <c r="L1066" t="s">
        <v>116</v>
      </c>
      <c r="M1066" t="s">
        <v>116</v>
      </c>
      <c r="N1066" t="s">
        <v>4606</v>
      </c>
      <c r="O1066" t="s">
        <v>4607</v>
      </c>
      <c r="V1066" t="s">
        <v>4608</v>
      </c>
      <c r="X1066" t="s">
        <v>3150</v>
      </c>
      <c r="Y1066" t="s">
        <v>970</v>
      </c>
      <c r="Z1066" t="s">
        <v>162</v>
      </c>
      <c r="AB1066" t="s">
        <v>4419</v>
      </c>
      <c r="AE1066" t="s">
        <v>3150</v>
      </c>
      <c r="AG1066" t="s">
        <v>1303</v>
      </c>
      <c r="AI1066" t="s">
        <v>29</v>
      </c>
      <c r="AK1066" t="s">
        <v>4609</v>
      </c>
      <c r="AL1066" t="s">
        <v>3152</v>
      </c>
      <c r="AN1066">
        <v>0</v>
      </c>
      <c r="AO1066" t="s">
        <v>1834</v>
      </c>
      <c r="AP1066" t="s">
        <v>1834</v>
      </c>
      <c r="AQ1066">
        <v>0</v>
      </c>
      <c r="AR1066" t="s">
        <v>1758</v>
      </c>
    </row>
    <row r="1067" spans="1:44" x14ac:dyDescent="0.25">
      <c r="A1067" t="s">
        <v>3141</v>
      </c>
      <c r="D1067" t="s">
        <v>48</v>
      </c>
      <c r="E1067" t="s">
        <v>4610</v>
      </c>
      <c r="F1067" t="s">
        <v>1755</v>
      </c>
      <c r="G1067" t="str">
        <f>CONCATENATE(Master_Packing_Database[[#This Row],[Exp '#]],Master_Packing_Database[[#This Row],[Batch '#]])</f>
        <v>2063rd-</v>
      </c>
      <c r="H1067" t="s">
        <v>4611</v>
      </c>
      <c r="I1067" t="s">
        <v>4612</v>
      </c>
      <c r="J1067" t="s">
        <v>117</v>
      </c>
      <c r="K1067" t="s">
        <v>4306</v>
      </c>
      <c r="L1067" t="s">
        <v>599</v>
      </c>
      <c r="M1067" t="s">
        <v>599</v>
      </c>
      <c r="N1067" t="s">
        <v>4613</v>
      </c>
      <c r="O1067" t="s">
        <v>4614</v>
      </c>
      <c r="V1067" t="s">
        <v>4554</v>
      </c>
      <c r="X1067" t="s">
        <v>4558</v>
      </c>
      <c r="Y1067" t="s">
        <v>599</v>
      </c>
      <c r="Z1067" t="s">
        <v>1303</v>
      </c>
      <c r="AB1067" t="s">
        <v>4615</v>
      </c>
      <c r="AE1067" t="s">
        <v>4558</v>
      </c>
      <c r="AG1067" t="s">
        <v>1303</v>
      </c>
      <c r="AI1067" t="s">
        <v>29</v>
      </c>
      <c r="AK1067" t="s">
        <v>4559</v>
      </c>
      <c r="AL1067" t="s">
        <v>3152</v>
      </c>
      <c r="AN1067">
        <v>0</v>
      </c>
      <c r="AO1067" t="s">
        <v>1834</v>
      </c>
      <c r="AP1067" t="s">
        <v>1834</v>
      </c>
      <c r="AQ1067">
        <v>0</v>
      </c>
      <c r="AR1067" t="s">
        <v>1758</v>
      </c>
    </row>
    <row r="1068" spans="1:44" x14ac:dyDescent="0.25">
      <c r="A1068" t="s">
        <v>3141</v>
      </c>
      <c r="D1068" t="s">
        <v>4473</v>
      </c>
      <c r="E1068" t="s">
        <v>4616</v>
      </c>
      <c r="F1068" t="s">
        <v>1755</v>
      </c>
      <c r="G1068" t="str">
        <f>CONCATENATE(Master_Packing_Database[[#This Row],[Exp '#]],Master_Packing_Database[[#This Row],[Batch '#]])</f>
        <v>2069th-</v>
      </c>
      <c r="H1068" t="s">
        <v>4617</v>
      </c>
      <c r="I1068" t="s">
        <v>4551</v>
      </c>
      <c r="J1068" t="s">
        <v>366</v>
      </c>
      <c r="K1068" t="s">
        <v>3227</v>
      </c>
      <c r="L1068" t="s">
        <v>3430</v>
      </c>
      <c r="M1068" t="s">
        <v>116</v>
      </c>
      <c r="N1068" t="s">
        <v>4147</v>
      </c>
      <c r="O1068" t="s">
        <v>1035</v>
      </c>
      <c r="V1068" t="s">
        <v>4412</v>
      </c>
      <c r="X1068" t="s">
        <v>4412</v>
      </c>
      <c r="Y1068" t="s">
        <v>1303</v>
      </c>
      <c r="Z1068" t="s">
        <v>3626</v>
      </c>
      <c r="AB1068" t="s">
        <v>3204</v>
      </c>
      <c r="AE1068" t="s">
        <v>4412</v>
      </c>
      <c r="AG1068" t="s">
        <v>1303</v>
      </c>
      <c r="AI1068" t="s">
        <v>29</v>
      </c>
      <c r="AK1068" t="s">
        <v>3244</v>
      </c>
      <c r="AL1068" t="s">
        <v>3152</v>
      </c>
      <c r="AN1068">
        <v>0</v>
      </c>
      <c r="AO1068" t="s">
        <v>1834</v>
      </c>
      <c r="AP1068" t="s">
        <v>1834</v>
      </c>
      <c r="AQ1068">
        <v>0</v>
      </c>
      <c r="AR1068" t="s">
        <v>1758</v>
      </c>
    </row>
    <row r="1069" spans="1:44" x14ac:dyDescent="0.25">
      <c r="A1069" t="s">
        <v>3141</v>
      </c>
      <c r="D1069" t="s">
        <v>720</v>
      </c>
      <c r="E1069" t="s">
        <v>4618</v>
      </c>
      <c r="F1069" t="s">
        <v>1755</v>
      </c>
      <c r="G1069" t="str">
        <f>CONCATENATE(Master_Packing_Database[[#This Row],[Exp '#]],Master_Packing_Database[[#This Row],[Batch '#]])</f>
        <v>2049th-</v>
      </c>
      <c r="H1069" t="s">
        <v>4619</v>
      </c>
      <c r="I1069" t="s">
        <v>4620</v>
      </c>
      <c r="J1069" t="s">
        <v>4621</v>
      </c>
      <c r="K1069" t="s">
        <v>3970</v>
      </c>
      <c r="L1069" t="s">
        <v>383</v>
      </c>
      <c r="M1069" t="s">
        <v>1072</v>
      </c>
      <c r="N1069" t="s">
        <v>4622</v>
      </c>
      <c r="O1069" t="s">
        <v>4623</v>
      </c>
      <c r="V1069" t="s">
        <v>4569</v>
      </c>
      <c r="X1069" t="s">
        <v>3242</v>
      </c>
      <c r="Y1069" t="s">
        <v>835</v>
      </c>
      <c r="Z1069" t="s">
        <v>835</v>
      </c>
      <c r="AB1069" t="s">
        <v>3232</v>
      </c>
      <c r="AE1069" t="s">
        <v>3242</v>
      </c>
      <c r="AG1069" t="s">
        <v>1303</v>
      </c>
      <c r="AI1069" t="s">
        <v>29</v>
      </c>
      <c r="AK1069" t="s">
        <v>3244</v>
      </c>
      <c r="AL1069" t="s">
        <v>3152</v>
      </c>
      <c r="AN1069">
        <v>0</v>
      </c>
      <c r="AO1069" t="s">
        <v>1834</v>
      </c>
      <c r="AP1069" t="s">
        <v>1834</v>
      </c>
      <c r="AQ1069">
        <v>0</v>
      </c>
      <c r="AR1069" t="s">
        <v>1758</v>
      </c>
    </row>
    <row r="1070" spans="1:44" x14ac:dyDescent="0.25">
      <c r="A1070" t="s">
        <v>3141</v>
      </c>
      <c r="D1070" t="s">
        <v>1326</v>
      </c>
      <c r="E1070" t="s">
        <v>4624</v>
      </c>
      <c r="F1070" t="s">
        <v>1755</v>
      </c>
      <c r="G1070" t="str">
        <f>CONCATENATE(Master_Packing_Database[[#This Row],[Exp '#]],Master_Packing_Database[[#This Row],[Batch '#]])</f>
        <v>2072nd-</v>
      </c>
      <c r="H1070" t="s">
        <v>4625</v>
      </c>
      <c r="I1070" t="s">
        <v>3182</v>
      </c>
      <c r="J1070" t="s">
        <v>117</v>
      </c>
      <c r="K1070" t="s">
        <v>3796</v>
      </c>
      <c r="L1070" t="s">
        <v>975</v>
      </c>
      <c r="M1070" t="s">
        <v>116</v>
      </c>
      <c r="N1070" t="s">
        <v>688</v>
      </c>
      <c r="O1070" t="s">
        <v>4626</v>
      </c>
      <c r="V1070" t="s">
        <v>3261</v>
      </c>
      <c r="X1070" t="s">
        <v>3261</v>
      </c>
      <c r="Y1070" t="s">
        <v>1303</v>
      </c>
      <c r="Z1070" t="s">
        <v>1303</v>
      </c>
      <c r="AB1070" t="s">
        <v>4582</v>
      </c>
      <c r="AE1070" t="s">
        <v>3231</v>
      </c>
      <c r="AG1070" t="s">
        <v>116</v>
      </c>
      <c r="AI1070" t="s">
        <v>29</v>
      </c>
      <c r="AK1070" t="s">
        <v>4575</v>
      </c>
      <c r="AL1070" t="s">
        <v>3152</v>
      </c>
      <c r="AN1070">
        <v>0</v>
      </c>
      <c r="AO1070" t="s">
        <v>1834</v>
      </c>
      <c r="AP1070" t="s">
        <v>1834</v>
      </c>
      <c r="AQ1070">
        <v>0</v>
      </c>
      <c r="AR1070" t="s">
        <v>1758</v>
      </c>
    </row>
    <row r="1071" spans="1:44" x14ac:dyDescent="0.25">
      <c r="A1071" t="s">
        <v>3141</v>
      </c>
      <c r="D1071" t="s">
        <v>487</v>
      </c>
      <c r="E1071" t="s">
        <v>4627</v>
      </c>
      <c r="F1071" t="s">
        <v>1755</v>
      </c>
      <c r="G1071" t="str">
        <f>CONCATENATE(Master_Packing_Database[[#This Row],[Exp '#]],Master_Packing_Database[[#This Row],[Batch '#]])</f>
        <v>2055th-</v>
      </c>
      <c r="H1071" t="s">
        <v>4628</v>
      </c>
      <c r="I1071" t="s">
        <v>3194</v>
      </c>
      <c r="J1071" t="s">
        <v>117</v>
      </c>
      <c r="K1071" t="s">
        <v>3578</v>
      </c>
      <c r="L1071" t="s">
        <v>835</v>
      </c>
      <c r="M1071" t="s">
        <v>835</v>
      </c>
      <c r="N1071" t="s">
        <v>4629</v>
      </c>
      <c r="O1071" t="s">
        <v>4630</v>
      </c>
      <c r="V1071" t="s">
        <v>3231</v>
      </c>
      <c r="X1071" t="s">
        <v>3233</v>
      </c>
      <c r="Y1071" t="s">
        <v>116</v>
      </c>
      <c r="Z1071" t="s">
        <v>116</v>
      </c>
      <c r="AB1071" t="s">
        <v>4631</v>
      </c>
      <c r="AE1071" t="s">
        <v>3233</v>
      </c>
      <c r="AG1071" t="s">
        <v>1303</v>
      </c>
      <c r="AI1071" t="s">
        <v>29</v>
      </c>
      <c r="AK1071" t="s">
        <v>3234</v>
      </c>
      <c r="AL1071" t="s">
        <v>3152</v>
      </c>
      <c r="AN1071">
        <v>0</v>
      </c>
      <c r="AO1071" t="s">
        <v>1834</v>
      </c>
      <c r="AP1071" t="s">
        <v>1834</v>
      </c>
      <c r="AQ1071">
        <v>0</v>
      </c>
      <c r="AR1071" t="s">
        <v>1758</v>
      </c>
    </row>
    <row r="1072" spans="1:44" x14ac:dyDescent="0.25">
      <c r="A1072" t="s">
        <v>3141</v>
      </c>
      <c r="D1072" t="s">
        <v>2887</v>
      </c>
      <c r="E1072" t="s">
        <v>4632</v>
      </c>
      <c r="F1072" t="s">
        <v>1755</v>
      </c>
      <c r="G1072" t="str">
        <f>CONCATENATE(Master_Packing_Database[[#This Row],[Exp '#]],Master_Packing_Database[[#This Row],[Batch '#]])</f>
        <v>24-018-</v>
      </c>
      <c r="H1072" t="s">
        <v>4633</v>
      </c>
      <c r="I1072" t="s">
        <v>1349</v>
      </c>
      <c r="J1072" t="s">
        <v>366</v>
      </c>
      <c r="K1072" t="s">
        <v>1147</v>
      </c>
      <c r="L1072" t="s">
        <v>226</v>
      </c>
      <c r="M1072" t="s">
        <v>975</v>
      </c>
      <c r="N1072" t="s">
        <v>4634</v>
      </c>
      <c r="O1072" t="s">
        <v>4635</v>
      </c>
      <c r="V1072" t="s">
        <v>4426</v>
      </c>
      <c r="X1072" t="s">
        <v>4426</v>
      </c>
      <c r="Y1072" t="s">
        <v>1303</v>
      </c>
      <c r="Z1072" t="s">
        <v>328</v>
      </c>
      <c r="AB1072" t="s">
        <v>4447</v>
      </c>
      <c r="AE1072" t="s">
        <v>4426</v>
      </c>
      <c r="AG1072" t="s">
        <v>1303</v>
      </c>
      <c r="AI1072" t="s">
        <v>29</v>
      </c>
      <c r="AK1072" t="s">
        <v>3254</v>
      </c>
      <c r="AL1072" t="s">
        <v>3152</v>
      </c>
      <c r="AN1072">
        <v>0</v>
      </c>
      <c r="AO1072" t="s">
        <v>1834</v>
      </c>
      <c r="AP1072" t="s">
        <v>1834</v>
      </c>
      <c r="AQ1072">
        <v>0</v>
      </c>
      <c r="AR1072" t="s">
        <v>1758</v>
      </c>
    </row>
    <row r="1073" spans="1:44" x14ac:dyDescent="0.25">
      <c r="A1073" t="s">
        <v>3141</v>
      </c>
      <c r="D1073" t="s">
        <v>1090</v>
      </c>
      <c r="E1073" t="s">
        <v>4636</v>
      </c>
      <c r="F1073" t="s">
        <v>1755</v>
      </c>
      <c r="G1073" t="str">
        <f>CONCATENATE(Master_Packing_Database[[#This Row],[Exp '#]],Master_Packing_Database[[#This Row],[Batch '#]])</f>
        <v>2091st-</v>
      </c>
      <c r="H1073" t="s">
        <v>4637</v>
      </c>
      <c r="I1073" t="s">
        <v>319</v>
      </c>
      <c r="J1073" t="s">
        <v>366</v>
      </c>
      <c r="K1073" t="s">
        <v>3372</v>
      </c>
      <c r="L1073" t="s">
        <v>116</v>
      </c>
      <c r="M1073" t="s">
        <v>116</v>
      </c>
      <c r="N1073" t="s">
        <v>3499</v>
      </c>
      <c r="O1073" t="s">
        <v>3592</v>
      </c>
      <c r="V1073" t="s">
        <v>3308</v>
      </c>
      <c r="X1073" t="s">
        <v>3252</v>
      </c>
      <c r="Y1073" t="s">
        <v>3544</v>
      </c>
      <c r="Z1073" t="s">
        <v>1016</v>
      </c>
      <c r="AB1073" t="s">
        <v>3252</v>
      </c>
      <c r="AE1073" t="s">
        <v>3274</v>
      </c>
      <c r="AG1073" t="s">
        <v>116</v>
      </c>
      <c r="AI1073" t="s">
        <v>29</v>
      </c>
      <c r="AK1073" t="s">
        <v>3254</v>
      </c>
      <c r="AL1073" t="s">
        <v>3152</v>
      </c>
      <c r="AN1073">
        <v>0</v>
      </c>
      <c r="AO1073" t="s">
        <v>1834</v>
      </c>
      <c r="AP1073" t="s">
        <v>1834</v>
      </c>
      <c r="AQ1073">
        <v>0</v>
      </c>
      <c r="AR1073" t="s">
        <v>1758</v>
      </c>
    </row>
    <row r="1074" spans="1:44" x14ac:dyDescent="0.25">
      <c r="A1074" t="s">
        <v>3141</v>
      </c>
      <c r="D1074" t="s">
        <v>48</v>
      </c>
      <c r="E1074" t="s">
        <v>4638</v>
      </c>
      <c r="F1074" t="s">
        <v>1755</v>
      </c>
      <c r="G1074" t="str">
        <f>CONCATENATE(Master_Packing_Database[[#This Row],[Exp '#]],Master_Packing_Database[[#This Row],[Batch '#]])</f>
        <v>2074th-</v>
      </c>
      <c r="H1074" t="s">
        <v>4639</v>
      </c>
      <c r="I1074" t="s">
        <v>4640</v>
      </c>
      <c r="J1074" t="s">
        <v>117</v>
      </c>
      <c r="K1074" t="s">
        <v>4078</v>
      </c>
      <c r="L1074" t="s">
        <v>544</v>
      </c>
      <c r="M1074" t="s">
        <v>544</v>
      </c>
      <c r="N1074" t="s">
        <v>4641</v>
      </c>
      <c r="O1074" t="s">
        <v>3944</v>
      </c>
      <c r="V1074" t="s">
        <v>3261</v>
      </c>
      <c r="X1074" t="s">
        <v>4642</v>
      </c>
      <c r="Y1074" t="s">
        <v>1425</v>
      </c>
      <c r="Z1074" t="s">
        <v>116</v>
      </c>
      <c r="AB1074" t="s">
        <v>3233</v>
      </c>
      <c r="AE1074" t="s">
        <v>4642</v>
      </c>
      <c r="AG1074" t="s">
        <v>1303</v>
      </c>
      <c r="AH1074" t="s">
        <v>1072</v>
      </c>
      <c r="AI1074" t="s">
        <v>29</v>
      </c>
      <c r="AK1074" t="s">
        <v>3254</v>
      </c>
      <c r="AL1074" t="s">
        <v>3152</v>
      </c>
      <c r="AN1074">
        <v>0</v>
      </c>
      <c r="AO1074" t="s">
        <v>1834</v>
      </c>
      <c r="AP1074" t="s">
        <v>1834</v>
      </c>
      <c r="AQ1074">
        <v>0</v>
      </c>
      <c r="AR1074" t="s">
        <v>1758</v>
      </c>
    </row>
    <row r="1075" spans="1:44" x14ac:dyDescent="0.25">
      <c r="A1075" t="s">
        <v>3141</v>
      </c>
      <c r="D1075" t="s">
        <v>1090</v>
      </c>
      <c r="E1075" t="s">
        <v>4545</v>
      </c>
      <c r="F1075" t="s">
        <v>422</v>
      </c>
      <c r="G1075" t="str">
        <f>CONCATENATE(Master_Packing_Database[[#This Row],[Exp '#]],Master_Packing_Database[[#This Row],[Batch '#]])</f>
        <v>2080th2nd</v>
      </c>
      <c r="H1075" t="s">
        <v>4643</v>
      </c>
      <c r="I1075" t="s">
        <v>4644</v>
      </c>
      <c r="J1075" t="s">
        <v>366</v>
      </c>
      <c r="K1075" t="s">
        <v>3426</v>
      </c>
      <c r="L1075" t="s">
        <v>835</v>
      </c>
      <c r="M1075" t="s">
        <v>116</v>
      </c>
      <c r="N1075" t="s">
        <v>4645</v>
      </c>
      <c r="O1075" t="s">
        <v>462</v>
      </c>
      <c r="V1075" t="s">
        <v>3274</v>
      </c>
      <c r="X1075" t="s">
        <v>3308</v>
      </c>
      <c r="Y1075" t="s">
        <v>1016</v>
      </c>
      <c r="Z1075" t="s">
        <v>599</v>
      </c>
      <c r="AB1075" t="s">
        <v>3308</v>
      </c>
      <c r="AE1075" t="s">
        <v>3308</v>
      </c>
      <c r="AG1075" t="s">
        <v>1303</v>
      </c>
      <c r="AI1075" t="s">
        <v>29</v>
      </c>
      <c r="AK1075" t="s">
        <v>3264</v>
      </c>
      <c r="AL1075" t="s">
        <v>3152</v>
      </c>
      <c r="AN1075">
        <v>0</v>
      </c>
      <c r="AO1075" t="s">
        <v>1834</v>
      </c>
      <c r="AP1075" t="s">
        <v>1834</v>
      </c>
      <c r="AQ1075">
        <v>0</v>
      </c>
      <c r="AR1075" t="s">
        <v>1758</v>
      </c>
    </row>
    <row r="1076" spans="1:44" x14ac:dyDescent="0.25">
      <c r="A1076" t="s">
        <v>3141</v>
      </c>
      <c r="D1076" t="s">
        <v>1398</v>
      </c>
      <c r="E1076" t="s">
        <v>4646</v>
      </c>
      <c r="F1076" t="s">
        <v>1755</v>
      </c>
      <c r="G1076" t="str">
        <f>CONCATENATE(Master_Packing_Database[[#This Row],[Exp '#]],Master_Packing_Database[[#This Row],[Batch '#]])</f>
        <v>24-023-</v>
      </c>
      <c r="H1076" t="s">
        <v>4647</v>
      </c>
      <c r="I1076" t="s">
        <v>4648</v>
      </c>
      <c r="J1076" t="s">
        <v>117</v>
      </c>
      <c r="K1076" t="s">
        <v>1147</v>
      </c>
      <c r="L1076" t="s">
        <v>1072</v>
      </c>
      <c r="M1076" t="s">
        <v>599</v>
      </c>
      <c r="N1076" t="s">
        <v>4649</v>
      </c>
      <c r="O1076" t="s">
        <v>4650</v>
      </c>
      <c r="V1076" t="s">
        <v>4651</v>
      </c>
      <c r="X1076" t="s">
        <v>3262</v>
      </c>
      <c r="Y1076" t="s">
        <v>1425</v>
      </c>
      <c r="Z1076" t="s">
        <v>975</v>
      </c>
      <c r="AB1076" t="s">
        <v>3242</v>
      </c>
      <c r="AE1076" t="s">
        <v>3262</v>
      </c>
      <c r="AG1076" t="s">
        <v>1303</v>
      </c>
      <c r="AI1076" t="s">
        <v>29</v>
      </c>
      <c r="AK1076" t="s">
        <v>4652</v>
      </c>
      <c r="AL1076" t="s">
        <v>3152</v>
      </c>
      <c r="AN1076">
        <v>0</v>
      </c>
      <c r="AO1076" t="s">
        <v>1834</v>
      </c>
      <c r="AP1076" t="s">
        <v>1834</v>
      </c>
      <c r="AQ1076">
        <v>0</v>
      </c>
      <c r="AR1076" t="s">
        <v>1758</v>
      </c>
    </row>
    <row r="1077" spans="1:44" x14ac:dyDescent="0.25">
      <c r="A1077" t="s">
        <v>3141</v>
      </c>
      <c r="D1077" t="s">
        <v>4473</v>
      </c>
      <c r="E1077" t="s">
        <v>4653</v>
      </c>
      <c r="F1077" t="s">
        <v>1755</v>
      </c>
      <c r="G1077" t="str">
        <f>CONCATENATE(Master_Packing_Database[[#This Row],[Exp '#]],Master_Packing_Database[[#This Row],[Batch '#]])</f>
        <v>2037th-</v>
      </c>
      <c r="H1077" t="s">
        <v>4654</v>
      </c>
      <c r="I1077" t="s">
        <v>4655</v>
      </c>
      <c r="J1077" t="s">
        <v>117</v>
      </c>
      <c r="K1077" t="s">
        <v>3399</v>
      </c>
      <c r="L1077" t="s">
        <v>3412</v>
      </c>
      <c r="M1077" t="s">
        <v>1030</v>
      </c>
      <c r="N1077" t="s">
        <v>4656</v>
      </c>
      <c r="O1077" t="s">
        <v>4657</v>
      </c>
      <c r="V1077" t="s">
        <v>4483</v>
      </c>
      <c r="X1077" t="s">
        <v>4483</v>
      </c>
      <c r="Y1077" t="s">
        <v>1303</v>
      </c>
      <c r="Z1077" t="s">
        <v>4658</v>
      </c>
      <c r="AB1077" t="s">
        <v>4483</v>
      </c>
      <c r="AE1077" t="s">
        <v>4483</v>
      </c>
      <c r="AG1077" t="s">
        <v>1303</v>
      </c>
      <c r="AI1077" t="s">
        <v>29</v>
      </c>
      <c r="AK1077" t="s">
        <v>4652</v>
      </c>
      <c r="AL1077" t="s">
        <v>3152</v>
      </c>
      <c r="AN1077">
        <v>0</v>
      </c>
      <c r="AO1077" t="s">
        <v>1834</v>
      </c>
      <c r="AP1077" t="s">
        <v>1834</v>
      </c>
      <c r="AQ1077">
        <v>0</v>
      </c>
      <c r="AR1077" t="s">
        <v>1758</v>
      </c>
    </row>
    <row r="1078" spans="1:44" x14ac:dyDescent="0.25">
      <c r="A1078" t="s">
        <v>3141</v>
      </c>
      <c r="D1078" t="s">
        <v>720</v>
      </c>
      <c r="E1078" t="s">
        <v>4659</v>
      </c>
      <c r="F1078" t="s">
        <v>1755</v>
      </c>
      <c r="G1078" t="str">
        <f>CONCATENATE(Master_Packing_Database[[#This Row],[Exp '#]],Master_Packing_Database[[#This Row],[Batch '#]])</f>
        <v>2105th-</v>
      </c>
      <c r="H1078" t="s">
        <v>4660</v>
      </c>
      <c r="I1078" t="s">
        <v>4661</v>
      </c>
      <c r="J1078" t="s">
        <v>117</v>
      </c>
      <c r="K1078" t="s">
        <v>4288</v>
      </c>
      <c r="L1078" t="s">
        <v>599</v>
      </c>
      <c r="M1078" t="s">
        <v>599</v>
      </c>
      <c r="N1078" t="s">
        <v>4662</v>
      </c>
      <c r="O1078" t="s">
        <v>4663</v>
      </c>
      <c r="V1078" t="s">
        <v>4664</v>
      </c>
      <c r="X1078" t="s">
        <v>4665</v>
      </c>
      <c r="Y1078" t="s">
        <v>2591</v>
      </c>
      <c r="Z1078" t="s">
        <v>599</v>
      </c>
      <c r="AB1078" t="s">
        <v>4665</v>
      </c>
      <c r="AE1078" t="s">
        <v>4666</v>
      </c>
      <c r="AG1078" t="s">
        <v>116</v>
      </c>
      <c r="AI1078" t="s">
        <v>29</v>
      </c>
      <c r="AK1078" t="s">
        <v>4667</v>
      </c>
      <c r="AL1078" t="s">
        <v>3152</v>
      </c>
      <c r="AN1078">
        <v>0</v>
      </c>
      <c r="AO1078" t="s">
        <v>1834</v>
      </c>
      <c r="AP1078" t="s">
        <v>1834</v>
      </c>
      <c r="AQ1078">
        <v>0</v>
      </c>
      <c r="AR1078" t="s">
        <v>1758</v>
      </c>
    </row>
    <row r="1079" spans="1:44" x14ac:dyDescent="0.25">
      <c r="A1079" t="s">
        <v>3141</v>
      </c>
      <c r="D1079" t="s">
        <v>2730</v>
      </c>
      <c r="E1079" t="s">
        <v>4668</v>
      </c>
      <c r="F1079" t="s">
        <v>1755</v>
      </c>
      <c r="G1079" t="str">
        <f>CONCATENATE(Master_Packing_Database[[#This Row],[Exp '#]],Master_Packing_Database[[#This Row],[Batch '#]])</f>
        <v>2088th-</v>
      </c>
      <c r="H1079" t="s">
        <v>4669</v>
      </c>
      <c r="I1079" t="s">
        <v>798</v>
      </c>
      <c r="J1079" t="s">
        <v>117</v>
      </c>
      <c r="K1079" t="s">
        <v>3335</v>
      </c>
      <c r="L1079" t="s">
        <v>116</v>
      </c>
      <c r="M1079" t="s">
        <v>116</v>
      </c>
      <c r="N1079" t="s">
        <v>4670</v>
      </c>
      <c r="O1079" t="s">
        <v>4671</v>
      </c>
      <c r="V1079" t="s">
        <v>3364</v>
      </c>
      <c r="X1079" t="s">
        <v>4665</v>
      </c>
      <c r="Y1079" t="s">
        <v>1016</v>
      </c>
      <c r="Z1079" t="s">
        <v>599</v>
      </c>
      <c r="AB1079" t="s">
        <v>3308</v>
      </c>
      <c r="AE1079" t="s">
        <v>4666</v>
      </c>
      <c r="AG1079" t="s">
        <v>116</v>
      </c>
      <c r="AI1079" t="s">
        <v>29</v>
      </c>
      <c r="AK1079" t="s">
        <v>4667</v>
      </c>
      <c r="AL1079" t="s">
        <v>3152</v>
      </c>
      <c r="AN1079">
        <v>0</v>
      </c>
      <c r="AO1079" t="s">
        <v>1834</v>
      </c>
      <c r="AP1079" t="s">
        <v>1834</v>
      </c>
      <c r="AQ1079">
        <v>0</v>
      </c>
      <c r="AR1079" t="s">
        <v>1758</v>
      </c>
    </row>
    <row r="1080" spans="1:44" x14ac:dyDescent="0.25">
      <c r="A1080" t="s">
        <v>3141</v>
      </c>
      <c r="D1080" t="s">
        <v>1132</v>
      </c>
      <c r="E1080" t="s">
        <v>4672</v>
      </c>
      <c r="F1080" t="s">
        <v>761</v>
      </c>
      <c r="G1080" t="str">
        <f>CONCATENATE(Master_Packing_Database[[#This Row],[Exp '#]],Master_Packing_Database[[#This Row],[Batch '#]])</f>
        <v>2064th1st</v>
      </c>
      <c r="H1080" t="s">
        <v>4673</v>
      </c>
      <c r="I1080" t="s">
        <v>4674</v>
      </c>
      <c r="J1080" t="s">
        <v>117</v>
      </c>
      <c r="K1080" t="s">
        <v>3173</v>
      </c>
      <c r="L1080" t="s">
        <v>599</v>
      </c>
      <c r="M1080" t="s">
        <v>599</v>
      </c>
      <c r="N1080" t="s">
        <v>4675</v>
      </c>
      <c r="O1080" t="s">
        <v>4676</v>
      </c>
      <c r="V1080" t="s">
        <v>3308</v>
      </c>
      <c r="X1080" t="s">
        <v>4677</v>
      </c>
      <c r="Y1080" t="s">
        <v>1425</v>
      </c>
      <c r="Z1080" t="s">
        <v>544</v>
      </c>
      <c r="AB1080" t="s">
        <v>3274</v>
      </c>
      <c r="AE1080" t="s">
        <v>4677</v>
      </c>
      <c r="AG1080" t="s">
        <v>1303</v>
      </c>
      <c r="AI1080" t="s">
        <v>29</v>
      </c>
      <c r="AK1080" t="s">
        <v>4678</v>
      </c>
      <c r="AL1080" t="s">
        <v>3152</v>
      </c>
      <c r="AN1080">
        <v>0</v>
      </c>
      <c r="AO1080" t="s">
        <v>1834</v>
      </c>
      <c r="AP1080" t="s">
        <v>1834</v>
      </c>
      <c r="AQ1080">
        <v>0</v>
      </c>
      <c r="AR1080" t="s">
        <v>1758</v>
      </c>
    </row>
    <row r="1081" spans="1:44" x14ac:dyDescent="0.25">
      <c r="A1081" t="s">
        <v>3141</v>
      </c>
      <c r="D1081" t="s">
        <v>4679</v>
      </c>
      <c r="E1081" t="s">
        <v>4680</v>
      </c>
      <c r="F1081" t="s">
        <v>1755</v>
      </c>
      <c r="G1081" t="str">
        <f>CONCATENATE(Master_Packing_Database[[#This Row],[Exp '#]],Master_Packing_Database[[#This Row],[Batch '#]])</f>
        <v>24-025-</v>
      </c>
      <c r="H1081" t="s">
        <v>4681</v>
      </c>
      <c r="I1081" t="s">
        <v>4682</v>
      </c>
      <c r="J1081" t="s">
        <v>4683</v>
      </c>
      <c r="K1081" t="s">
        <v>1147</v>
      </c>
      <c r="L1081" t="s">
        <v>4684</v>
      </c>
      <c r="M1081" t="s">
        <v>835</v>
      </c>
      <c r="N1081" t="s">
        <v>4685</v>
      </c>
      <c r="O1081" t="s">
        <v>4686</v>
      </c>
      <c r="V1081" t="s">
        <v>3261</v>
      </c>
      <c r="X1081" t="s">
        <v>4642</v>
      </c>
      <c r="Y1081" t="s">
        <v>1425</v>
      </c>
      <c r="Z1081" t="s">
        <v>970</v>
      </c>
      <c r="AB1081" t="s">
        <v>4642</v>
      </c>
      <c r="AE1081" t="s">
        <v>3294</v>
      </c>
      <c r="AG1081" t="s">
        <v>1030</v>
      </c>
      <c r="AI1081" t="s">
        <v>29</v>
      </c>
      <c r="AK1081" t="s">
        <v>4687</v>
      </c>
      <c r="AL1081" t="s">
        <v>3152</v>
      </c>
      <c r="AN1081">
        <v>0</v>
      </c>
      <c r="AO1081" t="s">
        <v>1834</v>
      </c>
      <c r="AP1081" t="s">
        <v>1834</v>
      </c>
      <c r="AQ1081">
        <v>0</v>
      </c>
      <c r="AR1081" t="s">
        <v>1758</v>
      </c>
    </row>
    <row r="1082" spans="1:44" x14ac:dyDescent="0.25">
      <c r="A1082" t="s">
        <v>3141</v>
      </c>
      <c r="D1082" t="s">
        <v>4679</v>
      </c>
      <c r="E1082" t="s">
        <v>4688</v>
      </c>
      <c r="F1082" t="s">
        <v>1755</v>
      </c>
      <c r="G1082" t="str">
        <f>CONCATENATE(Master_Packing_Database[[#This Row],[Exp '#]],Master_Packing_Database[[#This Row],[Batch '#]])</f>
        <v>24-027-</v>
      </c>
      <c r="H1082" t="s">
        <v>4689</v>
      </c>
      <c r="I1082" t="s">
        <v>846</v>
      </c>
      <c r="J1082" t="s">
        <v>4683</v>
      </c>
      <c r="K1082" t="s">
        <v>1147</v>
      </c>
      <c r="L1082" t="s">
        <v>4690</v>
      </c>
      <c r="M1082" t="s">
        <v>1016</v>
      </c>
      <c r="N1082" t="s">
        <v>4691</v>
      </c>
      <c r="O1082" t="s">
        <v>4692</v>
      </c>
      <c r="V1082" t="s">
        <v>4665</v>
      </c>
      <c r="X1082" t="s">
        <v>3262</v>
      </c>
      <c r="Y1082" t="s">
        <v>4693</v>
      </c>
      <c r="Z1082" t="s">
        <v>970</v>
      </c>
      <c r="AB1082" t="s">
        <v>4642</v>
      </c>
      <c r="AE1082" t="s">
        <v>3294</v>
      </c>
      <c r="AG1082" t="s">
        <v>544</v>
      </c>
      <c r="AI1082" t="s">
        <v>29</v>
      </c>
      <c r="AK1082" t="s">
        <v>4687</v>
      </c>
      <c r="AL1082" t="s">
        <v>3152</v>
      </c>
      <c r="AN1082">
        <v>0</v>
      </c>
      <c r="AO1082" t="s">
        <v>1834</v>
      </c>
      <c r="AP1082" t="s">
        <v>1834</v>
      </c>
      <c r="AQ1082">
        <v>0</v>
      </c>
      <c r="AR1082" t="s">
        <v>1758</v>
      </c>
    </row>
    <row r="1083" spans="1:44" x14ac:dyDescent="0.25">
      <c r="A1083" t="s">
        <v>3141</v>
      </c>
      <c r="D1083" t="s">
        <v>4694</v>
      </c>
      <c r="E1083" t="s">
        <v>4695</v>
      </c>
      <c r="G1083" t="str">
        <f>CONCATENATE(Master_Packing_Database[[#This Row],[Exp '#]],Master_Packing_Database[[#This Row],[Batch '#]])</f>
        <v>2065th</v>
      </c>
      <c r="H1083" t="s">
        <v>4696</v>
      </c>
      <c r="I1083" t="s">
        <v>4697</v>
      </c>
      <c r="J1083" t="s">
        <v>117</v>
      </c>
      <c r="K1083" t="s">
        <v>4698</v>
      </c>
      <c r="L1083" t="s">
        <v>599</v>
      </c>
      <c r="M1083" t="s">
        <v>599</v>
      </c>
      <c r="N1083" t="s">
        <v>4699</v>
      </c>
      <c r="O1083" t="s">
        <v>4700</v>
      </c>
      <c r="V1083" t="s">
        <v>3309</v>
      </c>
      <c r="X1083" t="s">
        <v>4666</v>
      </c>
      <c r="Y1083" t="s">
        <v>2591</v>
      </c>
      <c r="Z1083" t="s">
        <v>3392</v>
      </c>
      <c r="AB1083" t="s">
        <v>4666</v>
      </c>
      <c r="AE1083" t="s">
        <v>4666</v>
      </c>
      <c r="AG1083" t="s">
        <v>1303</v>
      </c>
      <c r="AI1083" t="s">
        <v>29</v>
      </c>
      <c r="AK1083" t="s">
        <v>4701</v>
      </c>
      <c r="AL1083" t="s">
        <v>3152</v>
      </c>
      <c r="AN1083">
        <v>0</v>
      </c>
      <c r="AO1083" t="s">
        <v>1834</v>
      </c>
      <c r="AP1083" t="s">
        <v>1834</v>
      </c>
      <c r="AQ1083">
        <v>0</v>
      </c>
      <c r="AR1083" t="s">
        <v>1758</v>
      </c>
    </row>
    <row r="1084" spans="1:44" x14ac:dyDescent="0.25">
      <c r="A1084" t="s">
        <v>3141</v>
      </c>
      <c r="D1084" t="s">
        <v>4702</v>
      </c>
      <c r="E1084" t="s">
        <v>4703</v>
      </c>
      <c r="F1084" t="s">
        <v>1755</v>
      </c>
      <c r="G1084" t="str">
        <f>CONCATENATE(Master_Packing_Database[[#This Row],[Exp '#]],Master_Packing_Database[[#This Row],[Batch '#]])</f>
        <v>24-029-</v>
      </c>
      <c r="H1084" t="s">
        <v>4704</v>
      </c>
      <c r="I1084" t="s">
        <v>1349</v>
      </c>
      <c r="J1084" t="s">
        <v>117</v>
      </c>
      <c r="K1084" t="s">
        <v>1147</v>
      </c>
      <c r="L1084" t="s">
        <v>871</v>
      </c>
      <c r="M1084" t="s">
        <v>116</v>
      </c>
      <c r="N1084" t="s">
        <v>1099</v>
      </c>
      <c r="O1084" t="s">
        <v>4705</v>
      </c>
      <c r="V1084" t="s">
        <v>4664</v>
      </c>
      <c r="X1084" t="s">
        <v>4642</v>
      </c>
      <c r="Y1084" t="s">
        <v>4706</v>
      </c>
      <c r="Z1084" t="s">
        <v>522</v>
      </c>
      <c r="AB1084" t="s">
        <v>3251</v>
      </c>
      <c r="AE1084" t="s">
        <v>4642</v>
      </c>
      <c r="AG1084" t="s">
        <v>1303</v>
      </c>
      <c r="AI1084" t="s">
        <v>29</v>
      </c>
      <c r="AK1084" t="s">
        <v>4701</v>
      </c>
      <c r="AL1084" t="s">
        <v>3152</v>
      </c>
      <c r="AN1084">
        <v>0</v>
      </c>
      <c r="AO1084" t="s">
        <v>1834</v>
      </c>
      <c r="AP1084" t="s">
        <v>1834</v>
      </c>
      <c r="AQ1084">
        <v>0</v>
      </c>
      <c r="AR1084" t="s">
        <v>1758</v>
      </c>
    </row>
    <row r="1085" spans="1:44" x14ac:dyDescent="0.25">
      <c r="A1085" t="s">
        <v>3141</v>
      </c>
      <c r="D1085" t="s">
        <v>2887</v>
      </c>
      <c r="E1085" t="s">
        <v>4707</v>
      </c>
      <c r="F1085" t="s">
        <v>1755</v>
      </c>
      <c r="G1085" t="str">
        <f>CONCATENATE(Master_Packing_Database[[#This Row],[Exp '#]],Master_Packing_Database[[#This Row],[Batch '#]])</f>
        <v>24-026-</v>
      </c>
      <c r="H1085" t="s">
        <v>4708</v>
      </c>
      <c r="I1085" t="s">
        <v>1349</v>
      </c>
      <c r="J1085" t="s">
        <v>366</v>
      </c>
      <c r="K1085" t="s">
        <v>1147</v>
      </c>
      <c r="L1085" t="s">
        <v>684</v>
      </c>
      <c r="M1085" t="s">
        <v>1072</v>
      </c>
      <c r="N1085" t="s">
        <v>4709</v>
      </c>
      <c r="O1085" t="s">
        <v>4710</v>
      </c>
      <c r="V1085" t="s">
        <v>4711</v>
      </c>
      <c r="X1085" t="s">
        <v>3274</v>
      </c>
      <c r="Y1085" t="s">
        <v>544</v>
      </c>
      <c r="Z1085" t="s">
        <v>359</v>
      </c>
      <c r="AB1085" t="s">
        <v>3233</v>
      </c>
      <c r="AE1085" t="s">
        <v>3274</v>
      </c>
      <c r="AG1085" t="s">
        <v>1303</v>
      </c>
      <c r="AI1085" t="s">
        <v>29</v>
      </c>
      <c r="AK1085" t="s">
        <v>4701</v>
      </c>
      <c r="AL1085" t="s">
        <v>3152</v>
      </c>
      <c r="AN1085">
        <v>0</v>
      </c>
      <c r="AO1085" t="s">
        <v>1834</v>
      </c>
      <c r="AP1085" t="s">
        <v>1834</v>
      </c>
      <c r="AQ1085">
        <v>0</v>
      </c>
      <c r="AR1085" t="s">
        <v>1758</v>
      </c>
    </row>
    <row r="1086" spans="1:44" x14ac:dyDescent="0.25">
      <c r="A1086" t="s">
        <v>3141</v>
      </c>
      <c r="D1086" t="s">
        <v>4473</v>
      </c>
      <c r="E1086" t="s">
        <v>4712</v>
      </c>
      <c r="F1086" t="s">
        <v>1755</v>
      </c>
      <c r="G1086" t="str">
        <f>CONCATENATE(Master_Packing_Database[[#This Row],[Exp '#]],Master_Packing_Database[[#This Row],[Batch '#]])</f>
        <v>2107th-</v>
      </c>
      <c r="H1086" t="s">
        <v>4713</v>
      </c>
      <c r="I1086" t="s">
        <v>4661</v>
      </c>
      <c r="J1086" t="s">
        <v>366</v>
      </c>
      <c r="K1086" t="s">
        <v>3796</v>
      </c>
      <c r="L1086" t="s">
        <v>835</v>
      </c>
      <c r="M1086" t="s">
        <v>835</v>
      </c>
      <c r="N1086" t="s">
        <v>4714</v>
      </c>
      <c r="O1086" t="s">
        <v>4715</v>
      </c>
      <c r="V1086" t="s">
        <v>3354</v>
      </c>
      <c r="X1086" t="s">
        <v>3317</v>
      </c>
      <c r="Y1086" t="s">
        <v>4716</v>
      </c>
      <c r="Z1086" t="s">
        <v>544</v>
      </c>
      <c r="AB1086" t="s">
        <v>4717</v>
      </c>
      <c r="AE1086" t="s">
        <v>3317</v>
      </c>
      <c r="AG1086" t="s">
        <v>1303</v>
      </c>
      <c r="AH1086" t="s">
        <v>544</v>
      </c>
      <c r="AI1086" t="s">
        <v>29</v>
      </c>
      <c r="AK1086" t="s">
        <v>3319</v>
      </c>
      <c r="AL1086" t="s">
        <v>3152</v>
      </c>
      <c r="AN1086">
        <v>0</v>
      </c>
      <c r="AO1086" t="s">
        <v>1834</v>
      </c>
      <c r="AP1086" t="s">
        <v>1834</v>
      </c>
      <c r="AQ1086">
        <v>0</v>
      </c>
      <c r="AR1086" t="s">
        <v>1758</v>
      </c>
    </row>
    <row r="1087" spans="1:44" x14ac:dyDescent="0.25">
      <c r="A1087" t="s">
        <v>3141</v>
      </c>
      <c r="D1087" t="s">
        <v>1382</v>
      </c>
      <c r="E1087" t="s">
        <v>4718</v>
      </c>
      <c r="F1087" t="s">
        <v>1755</v>
      </c>
      <c r="G1087" t="str">
        <f>CONCATENATE(Master_Packing_Database[[#This Row],[Exp '#]],Master_Packing_Database[[#This Row],[Batch '#]])</f>
        <v>24-030-</v>
      </c>
      <c r="H1087" t="s">
        <v>4719</v>
      </c>
      <c r="I1087" t="s">
        <v>4720</v>
      </c>
      <c r="J1087" t="s">
        <v>366</v>
      </c>
      <c r="K1087" t="s">
        <v>1147</v>
      </c>
      <c r="L1087" t="s">
        <v>4721</v>
      </c>
      <c r="M1087" t="s">
        <v>975</v>
      </c>
      <c r="N1087" t="s">
        <v>4722</v>
      </c>
      <c r="O1087" t="s">
        <v>4723</v>
      </c>
      <c r="V1087" t="s">
        <v>4664</v>
      </c>
      <c r="X1087" t="s">
        <v>4664</v>
      </c>
      <c r="Y1087" t="s">
        <v>1303</v>
      </c>
      <c r="Z1087" t="s">
        <v>4724</v>
      </c>
      <c r="AB1087" t="s">
        <v>4665</v>
      </c>
      <c r="AE1087" t="s">
        <v>3367</v>
      </c>
      <c r="AG1087" t="s">
        <v>849</v>
      </c>
      <c r="AI1087" t="s">
        <v>29</v>
      </c>
      <c r="AK1087" t="s">
        <v>4725</v>
      </c>
      <c r="AL1087" t="s">
        <v>3152</v>
      </c>
      <c r="AN1087">
        <v>0</v>
      </c>
      <c r="AO1087" t="s">
        <v>1834</v>
      </c>
      <c r="AP1087" t="s">
        <v>1834</v>
      </c>
      <c r="AQ1087">
        <v>0</v>
      </c>
      <c r="AR1087" t="s">
        <v>1758</v>
      </c>
    </row>
    <row r="1088" spans="1:44" x14ac:dyDescent="0.25">
      <c r="A1088" t="s">
        <v>3141</v>
      </c>
      <c r="D1088" t="s">
        <v>1132</v>
      </c>
      <c r="E1088" t="s">
        <v>4672</v>
      </c>
      <c r="F1088" t="s">
        <v>422</v>
      </c>
      <c r="G1088" t="str">
        <f>CONCATENATE(Master_Packing_Database[[#This Row],[Exp '#]],Master_Packing_Database[[#This Row],[Batch '#]])</f>
        <v>2064th2nd</v>
      </c>
      <c r="H1088" t="s">
        <v>4726</v>
      </c>
      <c r="I1088" t="s">
        <v>4674</v>
      </c>
      <c r="J1088" t="s">
        <v>117</v>
      </c>
      <c r="K1088" t="s">
        <v>3173</v>
      </c>
      <c r="L1088" t="s">
        <v>599</v>
      </c>
      <c r="M1088" t="s">
        <v>599</v>
      </c>
      <c r="N1088" t="s">
        <v>4727</v>
      </c>
      <c r="O1088" t="s">
        <v>4728</v>
      </c>
      <c r="V1088" t="s">
        <v>3308</v>
      </c>
      <c r="X1088" t="s">
        <v>4729</v>
      </c>
      <c r="Y1088" t="s">
        <v>1456</v>
      </c>
      <c r="Z1088" t="s">
        <v>4724</v>
      </c>
      <c r="AB1088" t="s">
        <v>3308</v>
      </c>
      <c r="AE1088" t="s">
        <v>3367</v>
      </c>
      <c r="AG1088" t="s">
        <v>2654</v>
      </c>
      <c r="AI1088" t="s">
        <v>29</v>
      </c>
      <c r="AK1088" t="s">
        <v>4725</v>
      </c>
      <c r="AL1088" t="s">
        <v>3152</v>
      </c>
      <c r="AN1088">
        <v>0</v>
      </c>
      <c r="AO1088" t="s">
        <v>1834</v>
      </c>
      <c r="AP1088" t="s">
        <v>1834</v>
      </c>
      <c r="AQ1088">
        <v>0</v>
      </c>
      <c r="AR1088" t="s">
        <v>1758</v>
      </c>
    </row>
    <row r="1089" spans="1:44" x14ac:dyDescent="0.25">
      <c r="A1089" t="s">
        <v>3141</v>
      </c>
      <c r="D1089" t="s">
        <v>998</v>
      </c>
      <c r="E1089" t="s">
        <v>4730</v>
      </c>
      <c r="F1089" t="s">
        <v>1755</v>
      </c>
      <c r="G1089" t="str">
        <f>CONCATENATE(Master_Packing_Database[[#This Row],[Exp '#]],Master_Packing_Database[[#This Row],[Batch '#]])</f>
        <v>2106th-</v>
      </c>
      <c r="H1089" t="s">
        <v>4731</v>
      </c>
      <c r="I1089" t="s">
        <v>4732</v>
      </c>
      <c r="J1089" t="s">
        <v>366</v>
      </c>
      <c r="K1089" t="s">
        <v>3736</v>
      </c>
      <c r="L1089" t="s">
        <v>4733</v>
      </c>
      <c r="M1089" t="s">
        <v>975</v>
      </c>
      <c r="N1089" t="s">
        <v>4734</v>
      </c>
      <c r="O1089" t="s">
        <v>4735</v>
      </c>
      <c r="V1089" t="s">
        <v>4717</v>
      </c>
      <c r="X1089" t="s">
        <v>3342</v>
      </c>
      <c r="Y1089" t="s">
        <v>3430</v>
      </c>
      <c r="Z1089" t="s">
        <v>4736</v>
      </c>
      <c r="AB1089" t="s">
        <v>4664</v>
      </c>
      <c r="AE1089" t="s">
        <v>4737</v>
      </c>
      <c r="AG1089" t="s">
        <v>116</v>
      </c>
      <c r="AI1089" t="s">
        <v>29</v>
      </c>
      <c r="AK1089" t="s">
        <v>4725</v>
      </c>
      <c r="AL1089" t="s">
        <v>3152</v>
      </c>
      <c r="AN1089">
        <v>0</v>
      </c>
      <c r="AO1089" t="s">
        <v>1834</v>
      </c>
      <c r="AP1089" t="s">
        <v>1834</v>
      </c>
      <c r="AQ1089">
        <v>0</v>
      </c>
      <c r="AR1089" t="s">
        <v>1758</v>
      </c>
    </row>
    <row r="1090" spans="1:44" x14ac:dyDescent="0.25">
      <c r="A1090" t="s">
        <v>3141</v>
      </c>
      <c r="D1090" t="s">
        <v>2719</v>
      </c>
      <c r="E1090" t="s">
        <v>4549</v>
      </c>
      <c r="F1090" t="s">
        <v>422</v>
      </c>
      <c r="G1090" t="str">
        <f>CONCATENATE(Master_Packing_Database[[#This Row],[Exp '#]],Master_Packing_Database[[#This Row],[Batch '#]])</f>
        <v>2094th2nd</v>
      </c>
      <c r="H1090" t="s">
        <v>4550</v>
      </c>
      <c r="I1090" t="s">
        <v>4551</v>
      </c>
      <c r="J1090" t="s">
        <v>366</v>
      </c>
      <c r="K1090" t="s">
        <v>3399</v>
      </c>
      <c r="L1090" t="s">
        <v>328</v>
      </c>
      <c r="M1090" t="s">
        <v>970</v>
      </c>
      <c r="N1090" t="s">
        <v>4738</v>
      </c>
      <c r="O1090" t="s">
        <v>4739</v>
      </c>
      <c r="V1090" t="s">
        <v>3231</v>
      </c>
      <c r="X1090" t="s">
        <v>3323</v>
      </c>
      <c r="Y1090" t="s">
        <v>1085</v>
      </c>
      <c r="Z1090" t="s">
        <v>4740</v>
      </c>
      <c r="AB1090" t="s">
        <v>4631</v>
      </c>
      <c r="AE1090" t="s">
        <v>3323</v>
      </c>
      <c r="AG1090" t="s">
        <v>1303</v>
      </c>
      <c r="AI1090" t="s">
        <v>29</v>
      </c>
      <c r="AK1090" t="s">
        <v>4741</v>
      </c>
      <c r="AL1090" t="s">
        <v>3152</v>
      </c>
      <c r="AN1090">
        <v>0</v>
      </c>
      <c r="AO1090" t="s">
        <v>1834</v>
      </c>
      <c r="AP1090" t="s">
        <v>1834</v>
      </c>
      <c r="AQ1090">
        <v>0</v>
      </c>
      <c r="AR1090" t="s">
        <v>1758</v>
      </c>
    </row>
    <row r="1091" spans="1:44" x14ac:dyDescent="0.25">
      <c r="A1091" t="s">
        <v>3141</v>
      </c>
      <c r="D1091" t="s">
        <v>281</v>
      </c>
      <c r="E1091" t="s">
        <v>4742</v>
      </c>
      <c r="F1091" t="s">
        <v>1755</v>
      </c>
      <c r="G1091" t="str">
        <f>CONCATENATE(Master_Packing_Database[[#This Row],[Exp '#]],Master_Packing_Database[[#This Row],[Batch '#]])</f>
        <v>2101st-</v>
      </c>
      <c r="H1091" t="s">
        <v>4743</v>
      </c>
      <c r="I1091" t="s">
        <v>4661</v>
      </c>
      <c r="J1091" t="s">
        <v>117</v>
      </c>
      <c r="K1091" t="s">
        <v>4744</v>
      </c>
      <c r="L1091" t="s">
        <v>116</v>
      </c>
      <c r="M1091" t="s">
        <v>116</v>
      </c>
      <c r="N1091" t="s">
        <v>4745</v>
      </c>
      <c r="O1091" t="s">
        <v>4746</v>
      </c>
      <c r="V1091" t="s">
        <v>3367</v>
      </c>
      <c r="X1091" t="s">
        <v>3367</v>
      </c>
      <c r="Y1091" t="s">
        <v>1303</v>
      </c>
      <c r="Z1091" t="s">
        <v>4747</v>
      </c>
      <c r="AB1091" t="s">
        <v>3336</v>
      </c>
      <c r="AE1091" t="s">
        <v>4748</v>
      </c>
      <c r="AG1091" t="s">
        <v>599</v>
      </c>
      <c r="AI1091" t="s">
        <v>29</v>
      </c>
      <c r="AK1091" t="s">
        <v>4749</v>
      </c>
      <c r="AL1091" t="s">
        <v>3152</v>
      </c>
      <c r="AN1091">
        <v>0</v>
      </c>
      <c r="AO1091" t="s">
        <v>1834</v>
      </c>
      <c r="AP1091" t="s">
        <v>1834</v>
      </c>
      <c r="AQ1091">
        <v>0</v>
      </c>
      <c r="AR1091" t="s">
        <v>1758</v>
      </c>
    </row>
    <row r="1092" spans="1:44" x14ac:dyDescent="0.25">
      <c r="A1092" t="s">
        <v>3141</v>
      </c>
      <c r="D1092" t="s">
        <v>4473</v>
      </c>
      <c r="E1092" t="s">
        <v>4750</v>
      </c>
      <c r="F1092" t="s">
        <v>1755</v>
      </c>
      <c r="G1092" t="str">
        <f>CONCATENATE(Master_Packing_Database[[#This Row],[Exp '#]],Master_Packing_Database[[#This Row],[Batch '#]])</f>
        <v>2108th-</v>
      </c>
      <c r="H1092" t="s">
        <v>4751</v>
      </c>
      <c r="I1092" t="s">
        <v>4752</v>
      </c>
      <c r="J1092" t="s">
        <v>117</v>
      </c>
      <c r="K1092" t="s">
        <v>3578</v>
      </c>
      <c r="L1092" t="s">
        <v>975</v>
      </c>
      <c r="M1092" t="s">
        <v>599</v>
      </c>
      <c r="N1092" t="s">
        <v>210</v>
      </c>
      <c r="O1092" t="s">
        <v>4753</v>
      </c>
      <c r="V1092" t="s">
        <v>4717</v>
      </c>
      <c r="X1092" t="s">
        <v>3348</v>
      </c>
      <c r="Y1092" t="s">
        <v>3392</v>
      </c>
      <c r="Z1092" t="s">
        <v>3349</v>
      </c>
      <c r="AB1092" t="s">
        <v>4677</v>
      </c>
      <c r="AE1092" t="s">
        <v>3348</v>
      </c>
      <c r="AG1092" t="s">
        <v>1303</v>
      </c>
      <c r="AH1092" t="s">
        <v>835</v>
      </c>
      <c r="AI1092" t="s">
        <v>29</v>
      </c>
      <c r="AK1092" t="s">
        <v>4749</v>
      </c>
      <c r="AL1092" t="s">
        <v>3152</v>
      </c>
      <c r="AN1092">
        <v>0</v>
      </c>
      <c r="AO1092" t="s">
        <v>1834</v>
      </c>
      <c r="AP1092" t="s">
        <v>1834</v>
      </c>
      <c r="AQ1092">
        <v>0</v>
      </c>
      <c r="AR1092" t="s">
        <v>1758</v>
      </c>
    </row>
    <row r="1093" spans="1:44" x14ac:dyDescent="0.25">
      <c r="A1093" t="s">
        <v>3141</v>
      </c>
      <c r="D1093" t="s">
        <v>1382</v>
      </c>
      <c r="E1093" t="s">
        <v>4754</v>
      </c>
      <c r="F1093" t="s">
        <v>1755</v>
      </c>
      <c r="G1093" t="str">
        <f>CONCATENATE(Master_Packing_Database[[#This Row],[Exp '#]],Master_Packing_Database[[#This Row],[Batch '#]])</f>
        <v>24-031-</v>
      </c>
      <c r="H1093" t="s">
        <v>4755</v>
      </c>
      <c r="I1093" t="s">
        <v>4756</v>
      </c>
      <c r="J1093" t="s">
        <v>117</v>
      </c>
      <c r="K1093" t="s">
        <v>1147</v>
      </c>
      <c r="L1093" t="s">
        <v>4757</v>
      </c>
      <c r="M1093" t="s">
        <v>835</v>
      </c>
      <c r="N1093" t="s">
        <v>4758</v>
      </c>
      <c r="O1093" t="s">
        <v>4759</v>
      </c>
      <c r="V1093" t="s">
        <v>3323</v>
      </c>
      <c r="X1093" t="s">
        <v>4664</v>
      </c>
      <c r="Y1093" t="s">
        <v>3544</v>
      </c>
      <c r="Z1093" t="s">
        <v>4760</v>
      </c>
      <c r="AB1093" t="s">
        <v>3348</v>
      </c>
      <c r="AE1093" t="s">
        <v>4664</v>
      </c>
      <c r="AG1093" t="s">
        <v>1303</v>
      </c>
      <c r="AI1093" t="s">
        <v>29</v>
      </c>
      <c r="AK1093" t="s">
        <v>4749</v>
      </c>
      <c r="AL1093" t="s">
        <v>3152</v>
      </c>
      <c r="AN1093">
        <v>0</v>
      </c>
      <c r="AO1093" t="s">
        <v>1834</v>
      </c>
      <c r="AP1093" t="s">
        <v>1834</v>
      </c>
      <c r="AQ1093">
        <v>0</v>
      </c>
      <c r="AR1093" t="s">
        <v>1758</v>
      </c>
    </row>
    <row r="1094" spans="1:44" x14ac:dyDescent="0.25">
      <c r="A1094" t="s">
        <v>3141</v>
      </c>
      <c r="D1094" t="s">
        <v>4473</v>
      </c>
      <c r="E1094" t="s">
        <v>4761</v>
      </c>
      <c r="F1094" t="s">
        <v>1755</v>
      </c>
      <c r="G1094" t="str">
        <f>CONCATENATE(Master_Packing_Database[[#This Row],[Exp '#]],Master_Packing_Database[[#This Row],[Batch '#]])</f>
        <v>24-022-</v>
      </c>
      <c r="H1094" t="s">
        <v>4762</v>
      </c>
      <c r="I1094" t="s">
        <v>4763</v>
      </c>
      <c r="J1094" t="s">
        <v>117</v>
      </c>
      <c r="K1094" t="s">
        <v>1147</v>
      </c>
      <c r="L1094" t="s">
        <v>835</v>
      </c>
      <c r="M1094" t="s">
        <v>116</v>
      </c>
      <c r="N1094" t="s">
        <v>4764</v>
      </c>
      <c r="O1094" t="s">
        <v>4563</v>
      </c>
      <c r="V1094" t="s">
        <v>3242</v>
      </c>
      <c r="X1094" t="s">
        <v>3367</v>
      </c>
      <c r="Y1094" t="s">
        <v>515</v>
      </c>
      <c r="Z1094" t="s">
        <v>4765</v>
      </c>
      <c r="AB1094" t="s">
        <v>3348</v>
      </c>
      <c r="AE1094" t="s">
        <v>4766</v>
      </c>
      <c r="AG1094" t="s">
        <v>975</v>
      </c>
      <c r="AI1094" t="s">
        <v>29</v>
      </c>
      <c r="AK1094" t="s">
        <v>4767</v>
      </c>
      <c r="AL1094" t="s">
        <v>3152</v>
      </c>
      <c r="AN1094">
        <v>0</v>
      </c>
      <c r="AO1094" t="s">
        <v>1834</v>
      </c>
      <c r="AP1094" t="s">
        <v>1834</v>
      </c>
      <c r="AQ1094">
        <v>0</v>
      </c>
      <c r="AR1094" t="s">
        <v>1758</v>
      </c>
    </row>
    <row r="1095" spans="1:44" x14ac:dyDescent="0.25">
      <c r="A1095" t="s">
        <v>3141</v>
      </c>
      <c r="D1095" t="s">
        <v>2719</v>
      </c>
      <c r="E1095" t="s">
        <v>4768</v>
      </c>
      <c r="G1095" t="str">
        <f>CONCATENATE(Master_Packing_Database[[#This Row],[Exp '#]],Master_Packing_Database[[#This Row],[Batch '#]])</f>
        <v>2081st</v>
      </c>
      <c r="H1095" t="s">
        <v>4769</v>
      </c>
      <c r="I1095" t="s">
        <v>4770</v>
      </c>
      <c r="J1095" t="s">
        <v>117</v>
      </c>
      <c r="K1095" t="s">
        <v>1147</v>
      </c>
      <c r="L1095" t="s">
        <v>4771</v>
      </c>
      <c r="M1095" t="s">
        <v>4309</v>
      </c>
      <c r="N1095" t="s">
        <v>4772</v>
      </c>
      <c r="O1095" t="s">
        <v>4773</v>
      </c>
      <c r="V1095" t="s">
        <v>4664</v>
      </c>
      <c r="X1095" t="s">
        <v>3365</v>
      </c>
      <c r="Y1095" t="s">
        <v>264</v>
      </c>
      <c r="Z1095" t="s">
        <v>4774</v>
      </c>
      <c r="AB1095" t="s">
        <v>4665</v>
      </c>
      <c r="AE1095" t="s">
        <v>3365</v>
      </c>
      <c r="AG1095" t="s">
        <v>1303</v>
      </c>
      <c r="AI1095" t="s">
        <v>29</v>
      </c>
      <c r="AK1095" t="s">
        <v>3356</v>
      </c>
      <c r="AL1095" t="s">
        <v>3152</v>
      </c>
      <c r="AN1095">
        <v>0</v>
      </c>
      <c r="AO1095" t="s">
        <v>1834</v>
      </c>
      <c r="AP1095" t="s">
        <v>1834</v>
      </c>
      <c r="AQ1095">
        <v>0</v>
      </c>
      <c r="AR1095" t="s">
        <v>1758</v>
      </c>
    </row>
    <row r="1096" spans="1:44" x14ac:dyDescent="0.25">
      <c r="A1096" t="s">
        <v>3141</v>
      </c>
      <c r="D1096" t="s">
        <v>1090</v>
      </c>
      <c r="E1096" t="s">
        <v>4775</v>
      </c>
      <c r="F1096" t="s">
        <v>1755</v>
      </c>
      <c r="G1096" t="str">
        <f>CONCATENATE(Master_Packing_Database[[#This Row],[Exp '#]],Master_Packing_Database[[#This Row],[Batch '#]])</f>
        <v>2118th-</v>
      </c>
      <c r="H1096" t="s">
        <v>4776</v>
      </c>
      <c r="I1096" t="s">
        <v>319</v>
      </c>
      <c r="J1096" t="s">
        <v>366</v>
      </c>
      <c r="K1096" t="s">
        <v>1147</v>
      </c>
      <c r="L1096" t="s">
        <v>599</v>
      </c>
      <c r="M1096" t="s">
        <v>116</v>
      </c>
      <c r="N1096" t="s">
        <v>548</v>
      </c>
      <c r="O1096" t="s">
        <v>4764</v>
      </c>
      <c r="V1096" t="s">
        <v>3354</v>
      </c>
      <c r="X1096" t="s">
        <v>3354</v>
      </c>
      <c r="Y1096" t="s">
        <v>1303</v>
      </c>
      <c r="Z1096" t="s">
        <v>3355</v>
      </c>
      <c r="AB1096" t="s">
        <v>3367</v>
      </c>
      <c r="AE1096" t="s">
        <v>3354</v>
      </c>
      <c r="AG1096" t="s">
        <v>1303</v>
      </c>
      <c r="AI1096" t="s">
        <v>29</v>
      </c>
      <c r="AK1096" t="s">
        <v>3356</v>
      </c>
      <c r="AL1096" t="s">
        <v>3152</v>
      </c>
      <c r="AN1096">
        <v>0</v>
      </c>
      <c r="AO1096" t="s">
        <v>1834</v>
      </c>
      <c r="AP1096" t="s">
        <v>1834</v>
      </c>
      <c r="AQ1096">
        <v>0</v>
      </c>
      <c r="AR1096" t="s">
        <v>1758</v>
      </c>
    </row>
    <row r="1097" spans="1:44" x14ac:dyDescent="0.25">
      <c r="A1097" t="s">
        <v>3141</v>
      </c>
      <c r="D1097" t="s">
        <v>2719</v>
      </c>
      <c r="E1097" t="s">
        <v>4777</v>
      </c>
      <c r="F1097" t="s">
        <v>1755</v>
      </c>
      <c r="G1097" t="str">
        <f>CONCATENATE(Master_Packing_Database[[#This Row],[Exp '#]],Master_Packing_Database[[#This Row],[Batch '#]])</f>
        <v>IOL MEMO. 203-</v>
      </c>
      <c r="H1097" t="s">
        <v>4778</v>
      </c>
      <c r="I1097" t="s">
        <v>4779</v>
      </c>
      <c r="J1097" t="s">
        <v>117</v>
      </c>
      <c r="K1097" t="s">
        <v>4780</v>
      </c>
      <c r="L1097" t="s">
        <v>599</v>
      </c>
      <c r="M1097" t="s">
        <v>116</v>
      </c>
      <c r="N1097" t="s">
        <v>4781</v>
      </c>
      <c r="O1097" t="s">
        <v>3786</v>
      </c>
      <c r="V1097" t="s">
        <v>3336</v>
      </c>
      <c r="X1097" t="s">
        <v>3354</v>
      </c>
      <c r="Y1097" t="s">
        <v>912</v>
      </c>
      <c r="Z1097" t="s">
        <v>3355</v>
      </c>
      <c r="AB1097" t="s">
        <v>3317</v>
      </c>
      <c r="AE1097" t="s">
        <v>3354</v>
      </c>
      <c r="AG1097" t="s">
        <v>1303</v>
      </c>
      <c r="AI1097" t="s">
        <v>29</v>
      </c>
      <c r="AK1097" t="s">
        <v>4782</v>
      </c>
      <c r="AL1097" t="s">
        <v>3152</v>
      </c>
      <c r="AN1097">
        <v>0</v>
      </c>
      <c r="AO1097" t="s">
        <v>1834</v>
      </c>
      <c r="AP1097" t="s">
        <v>1834</v>
      </c>
      <c r="AQ1097">
        <v>0</v>
      </c>
      <c r="AR1097" t="s">
        <v>1758</v>
      </c>
    </row>
    <row r="1098" spans="1:44" x14ac:dyDescent="0.25">
      <c r="A1098" t="s">
        <v>3141</v>
      </c>
      <c r="D1098" t="s">
        <v>38</v>
      </c>
      <c r="E1098" t="s">
        <v>4783</v>
      </c>
      <c r="G1098" t="str">
        <f>CONCATENATE(Master_Packing_Database[[#This Row],[Exp '#]],Master_Packing_Database[[#This Row],[Batch '#]])</f>
        <v>2110th</v>
      </c>
      <c r="H1098" t="s">
        <v>4784</v>
      </c>
      <c r="I1098" t="s">
        <v>111</v>
      </c>
      <c r="J1098" t="s">
        <v>117</v>
      </c>
      <c r="K1098" t="s">
        <v>4785</v>
      </c>
      <c r="L1098" t="s">
        <v>975</v>
      </c>
      <c r="M1098" t="s">
        <v>975</v>
      </c>
      <c r="N1098" t="s">
        <v>4786</v>
      </c>
      <c r="O1098" t="s">
        <v>4787</v>
      </c>
      <c r="V1098" t="s">
        <v>4717</v>
      </c>
      <c r="X1098" t="s">
        <v>3323</v>
      </c>
      <c r="Y1098" t="s">
        <v>975</v>
      </c>
      <c r="Z1098" t="s">
        <v>4740</v>
      </c>
      <c r="AB1098" t="s">
        <v>4788</v>
      </c>
      <c r="AE1098" t="s">
        <v>3323</v>
      </c>
      <c r="AG1098" t="s">
        <v>1303</v>
      </c>
      <c r="AH1098" t="s">
        <v>1072</v>
      </c>
      <c r="AI1098" t="s">
        <v>29</v>
      </c>
      <c r="AK1098" t="s">
        <v>4782</v>
      </c>
      <c r="AL1098" t="s">
        <v>3152</v>
      </c>
      <c r="AN1098">
        <v>0</v>
      </c>
      <c r="AO1098" t="s">
        <v>1834</v>
      </c>
      <c r="AP1098" t="s">
        <v>1834</v>
      </c>
      <c r="AQ1098">
        <v>0</v>
      </c>
      <c r="AR1098" t="s">
        <v>1758</v>
      </c>
    </row>
    <row r="1099" spans="1:44" x14ac:dyDescent="0.25">
      <c r="A1099" t="s">
        <v>3141</v>
      </c>
      <c r="D1099" t="s">
        <v>2719</v>
      </c>
      <c r="E1099" t="s">
        <v>4789</v>
      </c>
      <c r="F1099" t="s">
        <v>1755</v>
      </c>
      <c r="G1099" t="str">
        <f>CONCATENATE(Master_Packing_Database[[#This Row],[Exp '#]],Master_Packing_Database[[#This Row],[Batch '#]])</f>
        <v>2119th-</v>
      </c>
      <c r="H1099" t="s">
        <v>4790</v>
      </c>
      <c r="I1099" t="s">
        <v>4791</v>
      </c>
      <c r="J1099" t="s">
        <v>4792</v>
      </c>
      <c r="K1099" t="s">
        <v>4793</v>
      </c>
      <c r="L1099" t="s">
        <v>970</v>
      </c>
      <c r="M1099" t="s">
        <v>835</v>
      </c>
      <c r="N1099" t="s">
        <v>4794</v>
      </c>
      <c r="O1099" t="s">
        <v>4795</v>
      </c>
      <c r="V1099" t="s">
        <v>3336</v>
      </c>
      <c r="X1099" t="s">
        <v>3365</v>
      </c>
      <c r="Y1099" t="s">
        <v>3430</v>
      </c>
      <c r="Z1099" t="s">
        <v>4796</v>
      </c>
      <c r="AB1099" t="s">
        <v>3323</v>
      </c>
      <c r="AE1099" t="s">
        <v>4797</v>
      </c>
      <c r="AG1099" t="s">
        <v>975</v>
      </c>
      <c r="AI1099" t="s">
        <v>29</v>
      </c>
      <c r="AK1099" t="s">
        <v>4782</v>
      </c>
      <c r="AL1099" t="s">
        <v>3152</v>
      </c>
      <c r="AN1099">
        <v>0</v>
      </c>
      <c r="AO1099" t="s">
        <v>1834</v>
      </c>
      <c r="AP1099" t="s">
        <v>1834</v>
      </c>
      <c r="AQ1099">
        <v>0</v>
      </c>
      <c r="AR1099" t="s">
        <v>1758</v>
      </c>
    </row>
    <row r="1100" spans="1:44" x14ac:dyDescent="0.25">
      <c r="A1100" t="s">
        <v>3141</v>
      </c>
      <c r="D1100" t="s">
        <v>3142</v>
      </c>
      <c r="E1100" t="s">
        <v>3369</v>
      </c>
      <c r="F1100" t="s">
        <v>761</v>
      </c>
      <c r="G1100" t="str">
        <f>CONCATENATE(Master_Packing_Database[[#This Row],[Exp '#]],Master_Packing_Database[[#This Row],[Batch '#]])</f>
        <v>2102nd1st</v>
      </c>
      <c r="H1100" t="s">
        <v>3370</v>
      </c>
      <c r="I1100" t="s">
        <v>3371</v>
      </c>
      <c r="J1100" t="s">
        <v>366</v>
      </c>
      <c r="K1100" t="s">
        <v>1147</v>
      </c>
      <c r="L1100" t="s">
        <v>1016</v>
      </c>
      <c r="M1100" t="s">
        <v>116</v>
      </c>
      <c r="N1100" t="s">
        <v>1362</v>
      </c>
      <c r="O1100" t="s">
        <v>4798</v>
      </c>
      <c r="V1100" t="s">
        <v>3367</v>
      </c>
      <c r="X1100" t="s">
        <v>4797</v>
      </c>
      <c r="Y1100" t="s">
        <v>912</v>
      </c>
      <c r="Z1100" t="s">
        <v>4796</v>
      </c>
      <c r="AB1100" t="s">
        <v>3323</v>
      </c>
      <c r="AE1100" t="s">
        <v>4797</v>
      </c>
      <c r="AG1100" t="s">
        <v>1303</v>
      </c>
      <c r="AI1100" t="s">
        <v>29</v>
      </c>
      <c r="AK1100" t="s">
        <v>4799</v>
      </c>
      <c r="AL1100" t="s">
        <v>3152</v>
      </c>
      <c r="AN1100">
        <v>0</v>
      </c>
      <c r="AO1100" t="s">
        <v>1834</v>
      </c>
      <c r="AP1100" t="s">
        <v>1834</v>
      </c>
      <c r="AQ1100">
        <v>0</v>
      </c>
      <c r="AR1100" t="s">
        <v>1758</v>
      </c>
    </row>
    <row r="1101" spans="1:44" x14ac:dyDescent="0.25">
      <c r="A1101" t="s">
        <v>3141</v>
      </c>
      <c r="D1101" t="s">
        <v>499</v>
      </c>
      <c r="E1101" t="s">
        <v>4800</v>
      </c>
      <c r="F1101" t="s">
        <v>1755</v>
      </c>
      <c r="G1101" t="str">
        <f>CONCATENATE(Master_Packing_Database[[#This Row],[Exp '#]],Master_Packing_Database[[#This Row],[Batch '#]])</f>
        <v>2123rd-</v>
      </c>
      <c r="H1101" t="s">
        <v>4801</v>
      </c>
      <c r="I1101" t="s">
        <v>4802</v>
      </c>
      <c r="J1101" t="s">
        <v>117</v>
      </c>
      <c r="K1101" t="s">
        <v>4803</v>
      </c>
      <c r="L1101" t="s">
        <v>835</v>
      </c>
      <c r="M1101" t="s">
        <v>835</v>
      </c>
      <c r="N1101" t="s">
        <v>4804</v>
      </c>
      <c r="O1101" t="s">
        <v>4805</v>
      </c>
      <c r="V1101" t="s">
        <v>3402</v>
      </c>
      <c r="X1101" t="s">
        <v>3411</v>
      </c>
      <c r="Y1101" t="s">
        <v>835</v>
      </c>
      <c r="Z1101" t="s">
        <v>4806</v>
      </c>
      <c r="AB1101" t="s">
        <v>3404</v>
      </c>
      <c r="AE1101" t="s">
        <v>3411</v>
      </c>
      <c r="AG1101" t="s">
        <v>1303</v>
      </c>
      <c r="AI1101" t="s">
        <v>29</v>
      </c>
      <c r="AK1101" t="s">
        <v>3395</v>
      </c>
      <c r="AL1101" t="s">
        <v>3152</v>
      </c>
      <c r="AN1101">
        <v>0</v>
      </c>
      <c r="AO1101" t="s">
        <v>1834</v>
      </c>
      <c r="AP1101" t="s">
        <v>1834</v>
      </c>
      <c r="AQ1101">
        <v>0</v>
      </c>
      <c r="AR1101" t="s">
        <v>1758</v>
      </c>
    </row>
    <row r="1102" spans="1:44" x14ac:dyDescent="0.25">
      <c r="A1102" t="s">
        <v>3141</v>
      </c>
      <c r="D1102" t="s">
        <v>48</v>
      </c>
      <c r="E1102" t="s">
        <v>4807</v>
      </c>
      <c r="F1102" t="s">
        <v>1755</v>
      </c>
      <c r="G1102" t="str">
        <f>CONCATENATE(Master_Packing_Database[[#This Row],[Exp '#]],Master_Packing_Database[[#This Row],[Batch '#]])</f>
        <v>2075th-</v>
      </c>
      <c r="H1102" t="s">
        <v>4808</v>
      </c>
      <c r="I1102" t="s">
        <v>4809</v>
      </c>
      <c r="J1102" t="s">
        <v>117</v>
      </c>
      <c r="K1102" t="s">
        <v>3777</v>
      </c>
      <c r="L1102" t="s">
        <v>544</v>
      </c>
      <c r="M1102" t="s">
        <v>835</v>
      </c>
      <c r="N1102" t="s">
        <v>4810</v>
      </c>
      <c r="O1102" t="s">
        <v>4811</v>
      </c>
      <c r="V1102" t="s">
        <v>3402</v>
      </c>
      <c r="X1102" t="s">
        <v>3445</v>
      </c>
      <c r="Y1102" t="s">
        <v>912</v>
      </c>
      <c r="Z1102" t="s">
        <v>3443</v>
      </c>
      <c r="AB1102" t="s">
        <v>3376</v>
      </c>
      <c r="AE1102" t="s">
        <v>3445</v>
      </c>
      <c r="AG1102" t="s">
        <v>1303</v>
      </c>
      <c r="AH1102" t="s">
        <v>835</v>
      </c>
      <c r="AI1102" t="s">
        <v>29</v>
      </c>
      <c r="AK1102" t="s">
        <v>4812</v>
      </c>
      <c r="AL1102" t="s">
        <v>3152</v>
      </c>
      <c r="AN1102">
        <v>0</v>
      </c>
      <c r="AO1102" t="s">
        <v>1834</v>
      </c>
      <c r="AP1102" t="s">
        <v>1834</v>
      </c>
      <c r="AQ1102">
        <v>0</v>
      </c>
      <c r="AR1102" t="s">
        <v>1758</v>
      </c>
    </row>
    <row r="1103" spans="1:44" x14ac:dyDescent="0.25">
      <c r="A1103" t="s">
        <v>3141</v>
      </c>
      <c r="D1103" t="s">
        <v>2719</v>
      </c>
      <c r="E1103" t="s">
        <v>4813</v>
      </c>
      <c r="F1103" t="s">
        <v>1755</v>
      </c>
      <c r="G1103" t="str">
        <f>CONCATENATE(Master_Packing_Database[[#This Row],[Exp '#]],Master_Packing_Database[[#This Row],[Batch '#]])</f>
        <v>2138th-</v>
      </c>
      <c r="H1103" t="s">
        <v>4814</v>
      </c>
      <c r="I1103" t="s">
        <v>3339</v>
      </c>
      <c r="J1103" t="s">
        <v>366</v>
      </c>
      <c r="K1103" t="s">
        <v>1147</v>
      </c>
      <c r="L1103" t="s">
        <v>2027</v>
      </c>
      <c r="M1103" t="s">
        <v>116</v>
      </c>
      <c r="N1103" t="s">
        <v>871</v>
      </c>
      <c r="O1103" t="s">
        <v>4815</v>
      </c>
      <c r="V1103" t="s">
        <v>3411</v>
      </c>
      <c r="X1103" t="s">
        <v>3456</v>
      </c>
      <c r="Y1103" t="s">
        <v>1072</v>
      </c>
      <c r="Z1103" t="s">
        <v>3457</v>
      </c>
      <c r="AB1103" t="s">
        <v>4816</v>
      </c>
      <c r="AE1103" t="s">
        <v>3456</v>
      </c>
      <c r="AG1103" t="s">
        <v>1303</v>
      </c>
      <c r="AH1103" t="s">
        <v>116</v>
      </c>
      <c r="AI1103" t="s">
        <v>29</v>
      </c>
      <c r="AK1103" t="s">
        <v>4817</v>
      </c>
      <c r="AL1103" t="s">
        <v>3152</v>
      </c>
      <c r="AN1103">
        <v>0</v>
      </c>
      <c r="AO1103" t="s">
        <v>1834</v>
      </c>
      <c r="AP1103" t="s">
        <v>1834</v>
      </c>
      <c r="AQ1103">
        <v>0</v>
      </c>
      <c r="AR1103" t="s">
        <v>1758</v>
      </c>
    </row>
    <row r="1104" spans="1:44" x14ac:dyDescent="0.25">
      <c r="A1104" t="s">
        <v>3141</v>
      </c>
      <c r="D1104" t="s">
        <v>4818</v>
      </c>
      <c r="E1104" t="s">
        <v>4819</v>
      </c>
      <c r="F1104" t="s">
        <v>1755</v>
      </c>
      <c r="G1104" t="str">
        <f>CONCATENATE(Master_Packing_Database[[#This Row],[Exp '#]],Master_Packing_Database[[#This Row],[Batch '#]])</f>
        <v>24-032-</v>
      </c>
      <c r="H1104" t="s">
        <v>4820</v>
      </c>
      <c r="I1104" t="s">
        <v>1349</v>
      </c>
      <c r="J1104" t="s">
        <v>366</v>
      </c>
      <c r="K1104" t="s">
        <v>1147</v>
      </c>
      <c r="L1104" t="s">
        <v>684</v>
      </c>
      <c r="M1104" t="s">
        <v>1072</v>
      </c>
      <c r="N1104" t="s">
        <v>4821</v>
      </c>
      <c r="O1104" t="s">
        <v>4822</v>
      </c>
      <c r="V1104" t="s">
        <v>3472</v>
      </c>
      <c r="X1104" t="s">
        <v>3472</v>
      </c>
      <c r="Y1104" t="s">
        <v>1303</v>
      </c>
      <c r="Z1104" t="s">
        <v>4823</v>
      </c>
      <c r="AB1104" t="s">
        <v>3442</v>
      </c>
      <c r="AE1104" t="s">
        <v>3472</v>
      </c>
      <c r="AG1104" t="s">
        <v>1303</v>
      </c>
      <c r="AH1104" t="s">
        <v>1072</v>
      </c>
      <c r="AI1104" t="s">
        <v>29</v>
      </c>
      <c r="AK1104" t="s">
        <v>4824</v>
      </c>
      <c r="AL1104" t="s">
        <v>3152</v>
      </c>
      <c r="AN1104">
        <v>0</v>
      </c>
      <c r="AO1104" t="s">
        <v>1834</v>
      </c>
      <c r="AP1104" t="s">
        <v>1834</v>
      </c>
      <c r="AQ1104">
        <v>0</v>
      </c>
      <c r="AR1104" t="s">
        <v>1758</v>
      </c>
    </row>
    <row r="1105" spans="1:44" x14ac:dyDescent="0.25">
      <c r="A1105" t="s">
        <v>3141</v>
      </c>
      <c r="D1105" t="s">
        <v>4825</v>
      </c>
      <c r="E1105" t="s">
        <v>4826</v>
      </c>
      <c r="F1105" t="s">
        <v>1755</v>
      </c>
      <c r="G1105" t="str">
        <f>CONCATENATE(Master_Packing_Database[[#This Row],[Exp '#]],Master_Packing_Database[[#This Row],[Batch '#]])</f>
        <v>24-041-</v>
      </c>
      <c r="H1105" t="s">
        <v>4827</v>
      </c>
      <c r="I1105" t="s">
        <v>4828</v>
      </c>
      <c r="J1105" t="s">
        <v>117</v>
      </c>
      <c r="K1105" t="s">
        <v>32</v>
      </c>
      <c r="L1105" t="s">
        <v>4829</v>
      </c>
      <c r="M1105" t="s">
        <v>116</v>
      </c>
      <c r="N1105" t="s">
        <v>359</v>
      </c>
      <c r="O1105" t="s">
        <v>173</v>
      </c>
      <c r="V1105" t="s">
        <v>3526</v>
      </c>
      <c r="X1105" t="s">
        <v>3526</v>
      </c>
      <c r="Y1105" t="s">
        <v>1303</v>
      </c>
      <c r="Z1105" t="s">
        <v>4830</v>
      </c>
      <c r="AB1105" t="s">
        <v>4831</v>
      </c>
      <c r="AE1105" t="s">
        <v>3526</v>
      </c>
      <c r="AG1105" t="s">
        <v>1303</v>
      </c>
      <c r="AH1105" t="s">
        <v>116</v>
      </c>
      <c r="AI1105" t="s">
        <v>29</v>
      </c>
      <c r="AK1105" t="s">
        <v>4812</v>
      </c>
      <c r="AL1105" t="s">
        <v>3152</v>
      </c>
      <c r="AN1105">
        <v>0</v>
      </c>
      <c r="AO1105" t="s">
        <v>1834</v>
      </c>
      <c r="AP1105" t="s">
        <v>1834</v>
      </c>
      <c r="AQ1105">
        <v>0</v>
      </c>
      <c r="AR1105" t="s">
        <v>1758</v>
      </c>
    </row>
    <row r="1106" spans="1:44" x14ac:dyDescent="0.25">
      <c r="A1106" t="s">
        <v>3141</v>
      </c>
      <c r="D1106" t="s">
        <v>311</v>
      </c>
      <c r="E1106" t="s">
        <v>4832</v>
      </c>
      <c r="G1106" t="str">
        <f>CONCATENATE(Master_Packing_Database[[#This Row],[Exp '#]],Master_Packing_Database[[#This Row],[Batch '#]])</f>
        <v>2068th</v>
      </c>
      <c r="H1106" t="s">
        <v>4833</v>
      </c>
      <c r="I1106" t="s">
        <v>3194</v>
      </c>
      <c r="J1106" t="s">
        <v>117</v>
      </c>
      <c r="K1106" t="s">
        <v>3399</v>
      </c>
      <c r="L1106" t="s">
        <v>975</v>
      </c>
      <c r="M1106" t="s">
        <v>975</v>
      </c>
      <c r="N1106" t="s">
        <v>4834</v>
      </c>
      <c r="O1106" t="s">
        <v>4835</v>
      </c>
      <c r="V1106" t="s">
        <v>3508</v>
      </c>
      <c r="X1106" t="s">
        <v>3534</v>
      </c>
      <c r="Y1106" t="s">
        <v>3430</v>
      </c>
      <c r="Z1106" t="s">
        <v>4836</v>
      </c>
      <c r="AB1106" t="s">
        <v>4837</v>
      </c>
      <c r="AE1106" t="s">
        <v>3534</v>
      </c>
      <c r="AG1106" t="s">
        <v>1303</v>
      </c>
      <c r="AH1106" t="s">
        <v>599</v>
      </c>
      <c r="AI1106" t="s">
        <v>29</v>
      </c>
      <c r="AK1106" t="s">
        <v>4812</v>
      </c>
      <c r="AL1106" t="s">
        <v>3152</v>
      </c>
      <c r="AN1106">
        <v>0</v>
      </c>
      <c r="AO1106" t="s">
        <v>1834</v>
      </c>
      <c r="AP1106" t="s">
        <v>1834</v>
      </c>
      <c r="AQ1106">
        <v>0</v>
      </c>
      <c r="AR1106" t="s">
        <v>1758</v>
      </c>
    </row>
    <row r="1107" spans="1:44" x14ac:dyDescent="0.25">
      <c r="A1107" t="s">
        <v>3141</v>
      </c>
      <c r="D1107" t="s">
        <v>1090</v>
      </c>
      <c r="E1107" t="s">
        <v>4838</v>
      </c>
      <c r="F1107" t="s">
        <v>1755</v>
      </c>
      <c r="G1107" t="str">
        <f>CONCATENATE(Master_Packing_Database[[#This Row],[Exp '#]],Master_Packing_Database[[#This Row],[Batch '#]])</f>
        <v>2127th-</v>
      </c>
      <c r="H1107" t="s">
        <v>4839</v>
      </c>
      <c r="I1107" t="s">
        <v>752</v>
      </c>
      <c r="J1107" t="s">
        <v>366</v>
      </c>
      <c r="K1107" t="s">
        <v>1147</v>
      </c>
      <c r="L1107" t="s">
        <v>116</v>
      </c>
      <c r="M1107" t="s">
        <v>116</v>
      </c>
      <c r="N1107" t="s">
        <v>4215</v>
      </c>
      <c r="O1107" t="s">
        <v>4840</v>
      </c>
      <c r="V1107" t="s">
        <v>3542</v>
      </c>
      <c r="X1107" t="s">
        <v>3534</v>
      </c>
      <c r="Y1107" t="s">
        <v>116</v>
      </c>
      <c r="Z1107" t="s">
        <v>1303</v>
      </c>
      <c r="AB1107" t="s">
        <v>3507</v>
      </c>
      <c r="AE1107" t="s">
        <v>3534</v>
      </c>
      <c r="AG1107" t="s">
        <v>1303</v>
      </c>
      <c r="AH1107" t="s">
        <v>116</v>
      </c>
      <c r="AI1107" t="s">
        <v>29</v>
      </c>
      <c r="AK1107" t="s">
        <v>4812</v>
      </c>
      <c r="AL1107" t="s">
        <v>3152</v>
      </c>
      <c r="AN1107">
        <v>0</v>
      </c>
      <c r="AO1107" t="s">
        <v>1834</v>
      </c>
      <c r="AP1107" t="s">
        <v>1834</v>
      </c>
      <c r="AQ1107">
        <v>0</v>
      </c>
      <c r="AR1107" t="s">
        <v>1758</v>
      </c>
    </row>
    <row r="1108" spans="1:44" x14ac:dyDescent="0.25">
      <c r="A1108" t="s">
        <v>3141</v>
      </c>
      <c r="D1108" t="s">
        <v>1090</v>
      </c>
      <c r="E1108" t="s">
        <v>4841</v>
      </c>
      <c r="F1108" t="s">
        <v>1755</v>
      </c>
      <c r="G1108" t="str">
        <f>CONCATENATE(Master_Packing_Database[[#This Row],[Exp '#]],Master_Packing_Database[[#This Row],[Batch '#]])</f>
        <v>2175th-</v>
      </c>
      <c r="H1108" t="s">
        <v>4842</v>
      </c>
      <c r="I1108" t="s">
        <v>4843</v>
      </c>
      <c r="J1108" t="s">
        <v>366</v>
      </c>
      <c r="K1108" t="s">
        <v>1147</v>
      </c>
      <c r="L1108" t="s">
        <v>4844</v>
      </c>
      <c r="M1108" t="s">
        <v>116</v>
      </c>
      <c r="N1108" t="s">
        <v>4845</v>
      </c>
      <c r="O1108" t="s">
        <v>4547</v>
      </c>
      <c r="V1108" t="s">
        <v>3542</v>
      </c>
      <c r="X1108" t="s">
        <v>3522</v>
      </c>
      <c r="Y1108" t="s">
        <v>835</v>
      </c>
      <c r="Z1108" t="s">
        <v>1303</v>
      </c>
      <c r="AB1108" t="s">
        <v>3507</v>
      </c>
      <c r="AE1108" t="s">
        <v>3522</v>
      </c>
      <c r="AG1108" t="s">
        <v>1303</v>
      </c>
      <c r="AH1108" t="s">
        <v>116</v>
      </c>
      <c r="AI1108" t="s">
        <v>29</v>
      </c>
      <c r="AK1108" t="s">
        <v>4812</v>
      </c>
      <c r="AL1108" t="s">
        <v>3152</v>
      </c>
      <c r="AN1108">
        <v>0</v>
      </c>
      <c r="AO1108" t="s">
        <v>1834</v>
      </c>
      <c r="AP1108" t="s">
        <v>1834</v>
      </c>
      <c r="AQ1108">
        <v>0</v>
      </c>
      <c r="AR1108" t="s">
        <v>1758</v>
      </c>
    </row>
    <row r="1109" spans="1:44" x14ac:dyDescent="0.25">
      <c r="A1109" t="s">
        <v>3141</v>
      </c>
      <c r="D1109" t="s">
        <v>38</v>
      </c>
      <c r="E1109" t="s">
        <v>4846</v>
      </c>
      <c r="F1109" t="s">
        <v>1755</v>
      </c>
      <c r="G1109" t="str">
        <f>CONCATENATE(Master_Packing_Database[[#This Row],[Exp '#]],Master_Packing_Database[[#This Row],[Batch '#]])</f>
        <v>2125th-</v>
      </c>
      <c r="H1109" t="s">
        <v>4847</v>
      </c>
      <c r="I1109" t="s">
        <v>4848</v>
      </c>
      <c r="J1109" t="s">
        <v>117</v>
      </c>
      <c r="K1109" t="s">
        <v>3399</v>
      </c>
      <c r="L1109" t="s">
        <v>975</v>
      </c>
      <c r="M1109" t="s">
        <v>975</v>
      </c>
      <c r="N1109" t="s">
        <v>4849</v>
      </c>
      <c r="O1109" t="s">
        <v>4850</v>
      </c>
      <c r="V1109" t="s">
        <v>3540</v>
      </c>
      <c r="X1109" t="s">
        <v>3562</v>
      </c>
      <c r="Y1109" t="s">
        <v>1030</v>
      </c>
      <c r="Z1109" t="s">
        <v>1303</v>
      </c>
      <c r="AB1109" t="s">
        <v>3542</v>
      </c>
      <c r="AE1109" t="s">
        <v>3562</v>
      </c>
      <c r="AG1109" t="s">
        <v>1303</v>
      </c>
      <c r="AH1109" t="s">
        <v>1072</v>
      </c>
      <c r="AI1109" t="s">
        <v>29</v>
      </c>
      <c r="AK1109" t="s">
        <v>4851</v>
      </c>
      <c r="AL1109" t="s">
        <v>3152</v>
      </c>
      <c r="AN1109">
        <v>0</v>
      </c>
      <c r="AO1109" t="s">
        <v>1834</v>
      </c>
      <c r="AP1109" t="s">
        <v>1834</v>
      </c>
      <c r="AQ1109">
        <v>0</v>
      </c>
      <c r="AR1109" t="s">
        <v>1758</v>
      </c>
    </row>
    <row r="1110" spans="1:44" x14ac:dyDescent="0.25">
      <c r="A1110" t="s">
        <v>3141</v>
      </c>
      <c r="D1110" t="s">
        <v>4852</v>
      </c>
      <c r="E1110" t="s">
        <v>4853</v>
      </c>
      <c r="F1110" t="s">
        <v>1755</v>
      </c>
      <c r="G1110" t="str">
        <f>CONCATENATE(Master_Packing_Database[[#This Row],[Exp '#]],Master_Packing_Database[[#This Row],[Batch '#]])</f>
        <v>24-037-</v>
      </c>
      <c r="H1110" t="s">
        <v>4854</v>
      </c>
      <c r="I1110" t="s">
        <v>4855</v>
      </c>
      <c r="J1110" t="s">
        <v>117</v>
      </c>
      <c r="K1110" t="s">
        <v>1147</v>
      </c>
      <c r="L1110" t="s">
        <v>650</v>
      </c>
      <c r="M1110" t="s">
        <v>975</v>
      </c>
      <c r="N1110" t="s">
        <v>4856</v>
      </c>
      <c r="O1110" t="s">
        <v>754</v>
      </c>
      <c r="V1110" t="s">
        <v>4857</v>
      </c>
      <c r="X1110" t="s">
        <v>3522</v>
      </c>
      <c r="Y1110" t="s">
        <v>4858</v>
      </c>
      <c r="Z1110" t="s">
        <v>4859</v>
      </c>
      <c r="AB1110" t="s">
        <v>3542</v>
      </c>
      <c r="AE1110" t="s">
        <v>3522</v>
      </c>
      <c r="AG1110" t="s">
        <v>1303</v>
      </c>
      <c r="AH1110" t="s">
        <v>835</v>
      </c>
      <c r="AI1110" t="s">
        <v>29</v>
      </c>
      <c r="AK1110" t="s">
        <v>4860</v>
      </c>
      <c r="AL1110" t="s">
        <v>3152</v>
      </c>
      <c r="AN1110">
        <v>0</v>
      </c>
      <c r="AO1110" t="s">
        <v>1834</v>
      </c>
      <c r="AP1110" t="s">
        <v>1834</v>
      </c>
      <c r="AQ1110">
        <v>0</v>
      </c>
      <c r="AR1110" t="s">
        <v>1758</v>
      </c>
    </row>
    <row r="1111" spans="1:44" x14ac:dyDescent="0.25">
      <c r="A1111" t="s">
        <v>3141</v>
      </c>
      <c r="D1111" t="s">
        <v>2719</v>
      </c>
      <c r="E1111" t="s">
        <v>4861</v>
      </c>
      <c r="F1111" t="s">
        <v>1755</v>
      </c>
      <c r="G1111" t="str">
        <f>CONCATENATE(Master_Packing_Database[[#This Row],[Exp '#]],Master_Packing_Database[[#This Row],[Batch '#]])</f>
        <v>2172nd-</v>
      </c>
      <c r="H1111" t="s">
        <v>4862</v>
      </c>
      <c r="I1111" t="s">
        <v>4863</v>
      </c>
      <c r="J1111" t="s">
        <v>117</v>
      </c>
      <c r="K1111" t="s">
        <v>3173</v>
      </c>
      <c r="L1111" t="s">
        <v>599</v>
      </c>
      <c r="M1111" t="s">
        <v>599</v>
      </c>
      <c r="N1111" t="s">
        <v>4864</v>
      </c>
      <c r="O1111" t="s">
        <v>4865</v>
      </c>
      <c r="V1111" t="s">
        <v>3542</v>
      </c>
      <c r="X1111" t="s">
        <v>3543</v>
      </c>
      <c r="Y1111" t="s">
        <v>975</v>
      </c>
      <c r="Z1111" t="s">
        <v>1303</v>
      </c>
      <c r="AB1111" t="s">
        <v>3507</v>
      </c>
      <c r="AE1111" t="s">
        <v>3543</v>
      </c>
      <c r="AG1111" t="s">
        <v>1303</v>
      </c>
      <c r="AH1111" t="s">
        <v>544</v>
      </c>
      <c r="AI1111" t="s">
        <v>29</v>
      </c>
      <c r="AK1111" t="s">
        <v>4866</v>
      </c>
      <c r="AL1111" t="s">
        <v>3152</v>
      </c>
      <c r="AN1111">
        <v>0</v>
      </c>
      <c r="AO1111" t="s">
        <v>1834</v>
      </c>
      <c r="AP1111" t="s">
        <v>1834</v>
      </c>
      <c r="AQ1111">
        <v>0</v>
      </c>
      <c r="AR1111" t="s">
        <v>1758</v>
      </c>
    </row>
    <row r="1112" spans="1:44" x14ac:dyDescent="0.25">
      <c r="A1112" t="s">
        <v>3141</v>
      </c>
      <c r="D1112" t="s">
        <v>2719</v>
      </c>
      <c r="E1112" t="s">
        <v>4867</v>
      </c>
      <c r="G1112" t="str">
        <f>CONCATENATE(Master_Packing_Database[[#This Row],[Exp '#]],Master_Packing_Database[[#This Row],[Batch '#]])</f>
        <v>2117th</v>
      </c>
      <c r="H1112" t="s">
        <v>4868</v>
      </c>
      <c r="I1112" t="s">
        <v>4869</v>
      </c>
      <c r="J1112" t="s">
        <v>117</v>
      </c>
      <c r="K1112" t="s">
        <v>4288</v>
      </c>
      <c r="L1112" t="s">
        <v>970</v>
      </c>
      <c r="M1112" t="s">
        <v>970</v>
      </c>
      <c r="N1112" t="s">
        <v>4870</v>
      </c>
      <c r="O1112" t="s">
        <v>4871</v>
      </c>
      <c r="V1112" t="s">
        <v>3515</v>
      </c>
      <c r="X1112" t="s">
        <v>3581</v>
      </c>
      <c r="Y1112" t="s">
        <v>522</v>
      </c>
      <c r="Z1112" t="s">
        <v>1303</v>
      </c>
      <c r="AB1112" t="s">
        <v>3517</v>
      </c>
      <c r="AE1112" t="s">
        <v>3581</v>
      </c>
      <c r="AH1112" t="s">
        <v>1072</v>
      </c>
      <c r="AI1112" t="s">
        <v>29</v>
      </c>
      <c r="AK1112" t="s">
        <v>4866</v>
      </c>
      <c r="AL1112" t="s">
        <v>3152</v>
      </c>
      <c r="AN1112">
        <v>0</v>
      </c>
      <c r="AO1112" t="s">
        <v>1834</v>
      </c>
      <c r="AP1112" t="s">
        <v>1834</v>
      </c>
      <c r="AQ1112">
        <v>0</v>
      </c>
      <c r="AR1112" t="s">
        <v>1758</v>
      </c>
    </row>
    <row r="1113" spans="1:44" x14ac:dyDescent="0.25">
      <c r="A1113" t="s">
        <v>3141</v>
      </c>
      <c r="D1113" t="s">
        <v>4872</v>
      </c>
      <c r="E1113" t="s">
        <v>4873</v>
      </c>
      <c r="F1113" t="s">
        <v>1755</v>
      </c>
      <c r="G1113" t="str">
        <f>CONCATENATE(Master_Packing_Database[[#This Row],[Exp '#]],Master_Packing_Database[[#This Row],[Batch '#]])</f>
        <v>2139th-</v>
      </c>
      <c r="H1113" t="s">
        <v>4874</v>
      </c>
      <c r="I1113" t="s">
        <v>4875</v>
      </c>
      <c r="J1113" t="s">
        <v>117</v>
      </c>
      <c r="K1113" t="s">
        <v>3361</v>
      </c>
      <c r="L1113" t="s">
        <v>599</v>
      </c>
      <c r="M1113" t="s">
        <v>599</v>
      </c>
      <c r="N1113" t="s">
        <v>4876</v>
      </c>
      <c r="O1113" t="s">
        <v>1439</v>
      </c>
      <c r="V1113" t="s">
        <v>4877</v>
      </c>
      <c r="X1113" t="s">
        <v>4878</v>
      </c>
      <c r="Y1113" t="s">
        <v>912</v>
      </c>
      <c r="Z1113" t="s">
        <v>1303</v>
      </c>
      <c r="AB1113" t="s">
        <v>4879</v>
      </c>
      <c r="AE1113" t="s">
        <v>4878</v>
      </c>
      <c r="AG1113" t="s">
        <v>1303</v>
      </c>
      <c r="AH1113" t="s">
        <v>975</v>
      </c>
      <c r="AI1113" t="s">
        <v>29</v>
      </c>
      <c r="AK1113" t="s">
        <v>3575</v>
      </c>
      <c r="AL1113" t="s">
        <v>3152</v>
      </c>
      <c r="AN1113">
        <v>0</v>
      </c>
      <c r="AO1113" t="s">
        <v>1834</v>
      </c>
      <c r="AP1113" t="s">
        <v>1834</v>
      </c>
      <c r="AQ1113">
        <v>0</v>
      </c>
      <c r="AR1113" t="s">
        <v>1758</v>
      </c>
    </row>
    <row r="1114" spans="1:44" x14ac:dyDescent="0.25">
      <c r="A1114" t="s">
        <v>3141</v>
      </c>
      <c r="D1114" t="s">
        <v>4880</v>
      </c>
      <c r="E1114" t="s">
        <v>4881</v>
      </c>
      <c r="F1114" t="s">
        <v>1755</v>
      </c>
      <c r="G1114" t="str">
        <f>CONCATENATE(Master_Packing_Database[[#This Row],[Exp '#]],Master_Packing_Database[[#This Row],[Batch '#]])</f>
        <v>24-033-</v>
      </c>
      <c r="H1114" t="s">
        <v>4882</v>
      </c>
      <c r="I1114" t="s">
        <v>4883</v>
      </c>
      <c r="J1114" t="s">
        <v>1371</v>
      </c>
      <c r="K1114" t="s">
        <v>1147</v>
      </c>
      <c r="L1114" t="s">
        <v>4884</v>
      </c>
      <c r="M1114" t="s">
        <v>1425</v>
      </c>
      <c r="N1114" t="s">
        <v>4885</v>
      </c>
      <c r="O1114" t="s">
        <v>4886</v>
      </c>
      <c r="V1114" t="s">
        <v>4887</v>
      </c>
      <c r="X1114" t="s">
        <v>3540</v>
      </c>
      <c r="Y1114" t="s">
        <v>299</v>
      </c>
      <c r="Z1114" t="s">
        <v>4888</v>
      </c>
      <c r="AB1114" t="s">
        <v>3526</v>
      </c>
      <c r="AE1114" t="s">
        <v>3540</v>
      </c>
      <c r="AG1114" t="s">
        <v>1303</v>
      </c>
      <c r="AI1114" t="s">
        <v>29</v>
      </c>
      <c r="AK1114" t="s">
        <v>3575</v>
      </c>
      <c r="AL1114" t="s">
        <v>3152</v>
      </c>
      <c r="AN1114">
        <v>0</v>
      </c>
      <c r="AO1114" t="s">
        <v>1834</v>
      </c>
      <c r="AP1114" t="s">
        <v>1834</v>
      </c>
      <c r="AQ1114">
        <v>0</v>
      </c>
      <c r="AR1114" t="s">
        <v>1758</v>
      </c>
    </row>
    <row r="1115" spans="1:44" x14ac:dyDescent="0.25">
      <c r="A1115" t="s">
        <v>3141</v>
      </c>
      <c r="D1115" t="s">
        <v>4852</v>
      </c>
      <c r="E1115" t="s">
        <v>4889</v>
      </c>
      <c r="F1115" t="s">
        <v>1755</v>
      </c>
      <c r="G1115" t="str">
        <f>CONCATENATE(Master_Packing_Database[[#This Row],[Exp '#]],Master_Packing_Database[[#This Row],[Batch '#]])</f>
        <v>24-038-</v>
      </c>
      <c r="H1115" t="s">
        <v>4890</v>
      </c>
      <c r="I1115" t="s">
        <v>4891</v>
      </c>
      <c r="J1115" t="s">
        <v>117</v>
      </c>
      <c r="K1115" t="s">
        <v>1147</v>
      </c>
      <c r="L1115" t="s">
        <v>2640</v>
      </c>
      <c r="M1115" t="s">
        <v>116</v>
      </c>
      <c r="N1115" t="s">
        <v>4892</v>
      </c>
      <c r="O1115" t="s">
        <v>4893</v>
      </c>
      <c r="V1115" t="s">
        <v>4894</v>
      </c>
      <c r="X1115" t="s">
        <v>3563</v>
      </c>
      <c r="Y1115" t="s">
        <v>835</v>
      </c>
      <c r="Z1115" t="s">
        <v>4895</v>
      </c>
      <c r="AB1115" t="s">
        <v>4896</v>
      </c>
      <c r="AE1115" t="s">
        <v>3562</v>
      </c>
      <c r="AG1115" t="s">
        <v>2654</v>
      </c>
      <c r="AI1115" t="s">
        <v>29</v>
      </c>
      <c r="AK1115" t="s">
        <v>3575</v>
      </c>
      <c r="AL1115" t="s">
        <v>3152</v>
      </c>
      <c r="AN1115">
        <v>0</v>
      </c>
      <c r="AO1115" t="s">
        <v>1834</v>
      </c>
      <c r="AP1115" t="s">
        <v>1834</v>
      </c>
      <c r="AQ1115">
        <v>0</v>
      </c>
      <c r="AR1115" t="s">
        <v>1758</v>
      </c>
    </row>
    <row r="1116" spans="1:44" x14ac:dyDescent="0.25">
      <c r="A1116" t="s">
        <v>3141</v>
      </c>
      <c r="D1116" t="s">
        <v>917</v>
      </c>
      <c r="E1116" t="s">
        <v>4897</v>
      </c>
      <c r="F1116" t="s">
        <v>761</v>
      </c>
      <c r="G1116" t="str">
        <f>CONCATENATE(Master_Packing_Database[[#This Row],[Exp '#]],Master_Packing_Database[[#This Row],[Batch '#]])</f>
        <v>2163rd1st</v>
      </c>
      <c r="H1116" t="s">
        <v>4898</v>
      </c>
      <c r="I1116" t="s">
        <v>4899</v>
      </c>
      <c r="J1116" t="s">
        <v>117</v>
      </c>
      <c r="K1116" t="s">
        <v>1147</v>
      </c>
      <c r="L1116" t="s">
        <v>599</v>
      </c>
      <c r="M1116" t="s">
        <v>116</v>
      </c>
      <c r="N1116" t="s">
        <v>4900</v>
      </c>
      <c r="O1116" t="s">
        <v>1099</v>
      </c>
      <c r="V1116" t="s">
        <v>4901</v>
      </c>
      <c r="X1116" t="s">
        <v>4896</v>
      </c>
      <c r="Y1116" t="s">
        <v>4902</v>
      </c>
      <c r="Z1116" t="s">
        <v>1303</v>
      </c>
      <c r="AB1116" t="s">
        <v>3609</v>
      </c>
      <c r="AE1116" t="s">
        <v>4896</v>
      </c>
      <c r="AG1116" t="s">
        <v>1303</v>
      </c>
      <c r="AI1116" t="s">
        <v>29</v>
      </c>
      <c r="AK1116" t="s">
        <v>4903</v>
      </c>
      <c r="AL1116" t="s">
        <v>3152</v>
      </c>
      <c r="AN1116">
        <v>0</v>
      </c>
      <c r="AO1116" t="s">
        <v>1834</v>
      </c>
      <c r="AP1116" t="s">
        <v>1834</v>
      </c>
      <c r="AQ1116">
        <v>0</v>
      </c>
      <c r="AR1116" t="s">
        <v>1758</v>
      </c>
    </row>
    <row r="1117" spans="1:44" x14ac:dyDescent="0.25">
      <c r="A1117" t="s">
        <v>3141</v>
      </c>
      <c r="D1117" t="s">
        <v>1004</v>
      </c>
      <c r="E1117" t="s">
        <v>4904</v>
      </c>
      <c r="F1117" t="s">
        <v>1755</v>
      </c>
      <c r="G1117" t="str">
        <f>CONCATENATE(Master_Packing_Database[[#This Row],[Exp '#]],Master_Packing_Database[[#This Row],[Batch '#]])</f>
        <v>2171st-</v>
      </c>
      <c r="H1117" t="s">
        <v>4905</v>
      </c>
      <c r="I1117" t="s">
        <v>660</v>
      </c>
      <c r="J1117" t="s">
        <v>117</v>
      </c>
      <c r="K1117" t="s">
        <v>4803</v>
      </c>
      <c r="L1117" t="s">
        <v>544</v>
      </c>
      <c r="M1117" t="s">
        <v>599</v>
      </c>
      <c r="N1117" t="s">
        <v>976</v>
      </c>
      <c r="O1117" t="s">
        <v>4650</v>
      </c>
      <c r="V1117" t="s">
        <v>4901</v>
      </c>
      <c r="X1117" t="s">
        <v>4896</v>
      </c>
      <c r="Y1117" t="s">
        <v>4902</v>
      </c>
      <c r="Z1117" t="s">
        <v>1303</v>
      </c>
      <c r="AB1117" t="s">
        <v>4906</v>
      </c>
      <c r="AE1117" t="s">
        <v>4896</v>
      </c>
      <c r="AG1117" t="s">
        <v>1303</v>
      </c>
      <c r="AI1117" t="s">
        <v>29</v>
      </c>
      <c r="AK1117" t="s">
        <v>4907</v>
      </c>
      <c r="AL1117" t="s">
        <v>3152</v>
      </c>
      <c r="AN1117">
        <v>0</v>
      </c>
      <c r="AO1117" t="s">
        <v>1834</v>
      </c>
      <c r="AP1117" t="s">
        <v>1834</v>
      </c>
      <c r="AQ1117">
        <v>0</v>
      </c>
      <c r="AR1117" t="s">
        <v>1758</v>
      </c>
    </row>
    <row r="1118" spans="1:44" x14ac:dyDescent="0.25">
      <c r="A1118" t="s">
        <v>3141</v>
      </c>
      <c r="D1118" t="s">
        <v>137</v>
      </c>
      <c r="E1118" t="s">
        <v>4908</v>
      </c>
      <c r="F1118" t="s">
        <v>1755</v>
      </c>
      <c r="G1118" t="str">
        <f>CONCATENATE(Master_Packing_Database[[#This Row],[Exp '#]],Master_Packing_Database[[#This Row],[Batch '#]])</f>
        <v>2143rd-</v>
      </c>
      <c r="H1118" t="s">
        <v>4909</v>
      </c>
      <c r="I1118" t="s">
        <v>4910</v>
      </c>
      <c r="J1118" t="s">
        <v>117</v>
      </c>
      <c r="K1118" t="s">
        <v>3227</v>
      </c>
      <c r="L1118" t="s">
        <v>599</v>
      </c>
      <c r="M1118" t="s">
        <v>599</v>
      </c>
      <c r="N1118" t="s">
        <v>4911</v>
      </c>
      <c r="O1118" t="s">
        <v>4912</v>
      </c>
      <c r="V1118" t="s">
        <v>4901</v>
      </c>
      <c r="X1118" t="s">
        <v>4896</v>
      </c>
      <c r="Y1118" t="s">
        <v>4902</v>
      </c>
      <c r="Z1118" t="s">
        <v>1303</v>
      </c>
      <c r="AB1118" t="s">
        <v>4913</v>
      </c>
      <c r="AE1118" t="s">
        <v>4896</v>
      </c>
      <c r="AG1118" t="s">
        <v>1303</v>
      </c>
      <c r="AI1118" t="s">
        <v>29</v>
      </c>
      <c r="AK1118" t="s">
        <v>4907</v>
      </c>
      <c r="AL1118" t="s">
        <v>3152</v>
      </c>
      <c r="AN1118">
        <v>0</v>
      </c>
      <c r="AO1118" t="s">
        <v>1834</v>
      </c>
      <c r="AP1118" t="s">
        <v>1834</v>
      </c>
      <c r="AQ1118">
        <v>0</v>
      </c>
      <c r="AR1118" t="s">
        <v>1758</v>
      </c>
    </row>
    <row r="1119" spans="1:44" x14ac:dyDescent="0.25">
      <c r="A1119" t="s">
        <v>3141</v>
      </c>
      <c r="D1119" t="s">
        <v>917</v>
      </c>
      <c r="E1119" t="s">
        <v>4897</v>
      </c>
      <c r="F1119" t="s">
        <v>422</v>
      </c>
      <c r="G1119" t="str">
        <f>CONCATENATE(Master_Packing_Database[[#This Row],[Exp '#]],Master_Packing_Database[[#This Row],[Batch '#]])</f>
        <v>2163rd2nd</v>
      </c>
      <c r="H1119" t="s">
        <v>4914</v>
      </c>
      <c r="I1119" t="s">
        <v>4899</v>
      </c>
      <c r="J1119" t="s">
        <v>117</v>
      </c>
      <c r="K1119" t="s">
        <v>4915</v>
      </c>
      <c r="L1119" t="s">
        <v>835</v>
      </c>
      <c r="M1119" t="s">
        <v>116</v>
      </c>
      <c r="N1119" t="s">
        <v>4916</v>
      </c>
      <c r="O1119" t="s">
        <v>4917</v>
      </c>
      <c r="V1119" t="s">
        <v>4901</v>
      </c>
      <c r="X1119" t="s">
        <v>4896</v>
      </c>
      <c r="Y1119" t="s">
        <v>4902</v>
      </c>
      <c r="Z1119" t="s">
        <v>1303</v>
      </c>
      <c r="AB1119" t="s">
        <v>4918</v>
      </c>
      <c r="AE1119" t="s">
        <v>4896</v>
      </c>
      <c r="AG1119" t="s">
        <v>1303</v>
      </c>
      <c r="AI1119" t="s">
        <v>29</v>
      </c>
      <c r="AK1119" t="s">
        <v>4907</v>
      </c>
      <c r="AL1119" t="s">
        <v>3152</v>
      </c>
      <c r="AN1119">
        <v>0</v>
      </c>
      <c r="AO1119" t="s">
        <v>1834</v>
      </c>
      <c r="AP1119" t="s">
        <v>1834</v>
      </c>
      <c r="AQ1119">
        <v>0</v>
      </c>
      <c r="AR1119" t="s">
        <v>1758</v>
      </c>
    </row>
    <row r="1120" spans="1:44" x14ac:dyDescent="0.25">
      <c r="A1120" t="s">
        <v>3141</v>
      </c>
      <c r="D1120" t="s">
        <v>44</v>
      </c>
      <c r="E1120" t="s">
        <v>4919</v>
      </c>
      <c r="F1120" t="s">
        <v>1755</v>
      </c>
      <c r="G1120" t="str">
        <f>CONCATENATE(Master_Packing_Database[[#This Row],[Exp '#]],Master_Packing_Database[[#This Row],[Batch '#]])</f>
        <v>2135th-</v>
      </c>
      <c r="H1120" t="s">
        <v>4920</v>
      </c>
      <c r="I1120" t="s">
        <v>4921</v>
      </c>
      <c r="J1120" t="s">
        <v>117</v>
      </c>
      <c r="K1120" t="s">
        <v>3796</v>
      </c>
      <c r="L1120" t="s">
        <v>4922</v>
      </c>
      <c r="M1120" t="s">
        <v>1085</v>
      </c>
      <c r="N1120" t="s">
        <v>4923</v>
      </c>
      <c r="O1120" t="s">
        <v>4924</v>
      </c>
      <c r="V1120" t="s">
        <v>3540</v>
      </c>
      <c r="X1120" t="s">
        <v>4925</v>
      </c>
      <c r="Y1120" t="s">
        <v>4315</v>
      </c>
      <c r="Z1120" t="s">
        <v>1303</v>
      </c>
      <c r="AB1120" t="s">
        <v>4926</v>
      </c>
      <c r="AE1120" t="s">
        <v>4896</v>
      </c>
      <c r="AG1120" t="s">
        <v>4927</v>
      </c>
      <c r="AI1120" t="s">
        <v>29</v>
      </c>
      <c r="AK1120" t="s">
        <v>4907</v>
      </c>
      <c r="AL1120" t="s">
        <v>3152</v>
      </c>
      <c r="AN1120">
        <v>0</v>
      </c>
      <c r="AO1120" t="s">
        <v>1834</v>
      </c>
      <c r="AP1120" t="s">
        <v>1834</v>
      </c>
      <c r="AQ1120">
        <v>0</v>
      </c>
      <c r="AR1120" t="s">
        <v>1758</v>
      </c>
    </row>
    <row r="1121" spans="1:44" x14ac:dyDescent="0.25">
      <c r="A1121" t="s">
        <v>3141</v>
      </c>
      <c r="D1121" t="s">
        <v>1090</v>
      </c>
      <c r="E1121" t="s">
        <v>4928</v>
      </c>
      <c r="F1121" t="s">
        <v>1755</v>
      </c>
      <c r="G1121" t="str">
        <f>CONCATENATE(Master_Packing_Database[[#This Row],[Exp '#]],Master_Packing_Database[[#This Row],[Batch '#]])</f>
        <v>2162nd-</v>
      </c>
      <c r="H1121" t="s">
        <v>4929</v>
      </c>
      <c r="I1121" t="s">
        <v>4930</v>
      </c>
      <c r="J1121" t="s">
        <v>366</v>
      </c>
      <c r="K1121" t="s">
        <v>3435</v>
      </c>
      <c r="L1121" t="s">
        <v>4931</v>
      </c>
      <c r="M1121" t="s">
        <v>599</v>
      </c>
      <c r="N1121" t="s">
        <v>333</v>
      </c>
      <c r="O1121" t="s">
        <v>4932</v>
      </c>
      <c r="V1121" t="s">
        <v>4933</v>
      </c>
      <c r="X1121" t="s">
        <v>4918</v>
      </c>
      <c r="Y1121" t="s">
        <v>975</v>
      </c>
      <c r="Z1121" t="s">
        <v>1303</v>
      </c>
      <c r="AB1121" t="s">
        <v>4934</v>
      </c>
      <c r="AE1121" t="s">
        <v>4918</v>
      </c>
      <c r="AG1121" t="s">
        <v>1303</v>
      </c>
      <c r="AI1121" t="s">
        <v>29</v>
      </c>
      <c r="AK1121" t="s">
        <v>4935</v>
      </c>
      <c r="AL1121" t="s">
        <v>3152</v>
      </c>
      <c r="AN1121">
        <v>0</v>
      </c>
      <c r="AO1121" t="s">
        <v>1834</v>
      </c>
      <c r="AP1121" t="s">
        <v>1834</v>
      </c>
      <c r="AQ1121">
        <v>0</v>
      </c>
      <c r="AR1121" t="s">
        <v>1758</v>
      </c>
    </row>
    <row r="1122" spans="1:44" x14ac:dyDescent="0.25">
      <c r="A1122" t="s">
        <v>3141</v>
      </c>
      <c r="D1122" t="s">
        <v>1090</v>
      </c>
      <c r="E1122" t="s">
        <v>4936</v>
      </c>
      <c r="F1122" t="s">
        <v>1755</v>
      </c>
      <c r="G1122" t="str">
        <f>CONCATENATE(Master_Packing_Database[[#This Row],[Exp '#]],Master_Packing_Database[[#This Row],[Batch '#]])</f>
        <v>2152nd-</v>
      </c>
      <c r="H1122" t="s">
        <v>4937</v>
      </c>
      <c r="I1122" t="s">
        <v>4938</v>
      </c>
      <c r="J1122" t="s">
        <v>366</v>
      </c>
      <c r="K1122" t="s">
        <v>3426</v>
      </c>
      <c r="L1122" t="s">
        <v>4939</v>
      </c>
      <c r="M1122" t="s">
        <v>599</v>
      </c>
      <c r="N1122" t="s">
        <v>3883</v>
      </c>
      <c r="O1122" t="s">
        <v>4940</v>
      </c>
      <c r="V1122" t="s">
        <v>4933</v>
      </c>
      <c r="X1122" t="s">
        <v>4918</v>
      </c>
      <c r="Y1122" t="s">
        <v>975</v>
      </c>
      <c r="Z1122" t="s">
        <v>1303</v>
      </c>
      <c r="AB1122" t="s">
        <v>4934</v>
      </c>
      <c r="AE1122" t="s">
        <v>4918</v>
      </c>
      <c r="AG1122" t="s">
        <v>1303</v>
      </c>
      <c r="AI1122" t="s">
        <v>29</v>
      </c>
      <c r="AK1122" t="s">
        <v>4935</v>
      </c>
      <c r="AL1122" t="s">
        <v>3152</v>
      </c>
      <c r="AN1122">
        <v>0</v>
      </c>
      <c r="AO1122" t="s">
        <v>1834</v>
      </c>
      <c r="AP1122" t="s">
        <v>1834</v>
      </c>
      <c r="AQ1122">
        <v>0</v>
      </c>
      <c r="AR1122" t="s">
        <v>1758</v>
      </c>
    </row>
    <row r="1123" spans="1:44" x14ac:dyDescent="0.25">
      <c r="A1123" t="s">
        <v>3141</v>
      </c>
      <c r="D1123" t="s">
        <v>330</v>
      </c>
      <c r="E1123" t="s">
        <v>4941</v>
      </c>
      <c r="F1123" t="s">
        <v>1755</v>
      </c>
      <c r="G1123" t="str">
        <f>CONCATENATE(Master_Packing_Database[[#This Row],[Exp '#]],Master_Packing_Database[[#This Row],[Batch '#]])</f>
        <v>2156th-</v>
      </c>
      <c r="H1123" t="s">
        <v>4942</v>
      </c>
      <c r="I1123" t="s">
        <v>4943</v>
      </c>
      <c r="J1123" t="s">
        <v>366</v>
      </c>
      <c r="K1123" t="s">
        <v>4944</v>
      </c>
      <c r="L1123" t="s">
        <v>975</v>
      </c>
      <c r="M1123" t="s">
        <v>975</v>
      </c>
      <c r="N1123" t="s">
        <v>4607</v>
      </c>
      <c r="O1123" t="s">
        <v>4945</v>
      </c>
      <c r="V1123" t="s">
        <v>3540</v>
      </c>
      <c r="X1123" t="s">
        <v>4925</v>
      </c>
      <c r="Y1123" t="s">
        <v>4315</v>
      </c>
      <c r="Z1123" t="s">
        <v>1303</v>
      </c>
      <c r="AB1123" t="s">
        <v>4926</v>
      </c>
      <c r="AE1123" t="s">
        <v>4925</v>
      </c>
      <c r="AG1123" t="s">
        <v>1303</v>
      </c>
      <c r="AI1123" t="s">
        <v>29</v>
      </c>
      <c r="AK1123" t="s">
        <v>4946</v>
      </c>
      <c r="AL1123" t="s">
        <v>3152</v>
      </c>
      <c r="AN1123">
        <v>0</v>
      </c>
      <c r="AO1123" t="s">
        <v>1834</v>
      </c>
      <c r="AP1123" t="s">
        <v>1834</v>
      </c>
      <c r="AQ1123">
        <v>0</v>
      </c>
      <c r="AR1123" t="s">
        <v>1758</v>
      </c>
    </row>
    <row r="1124" spans="1:44" x14ac:dyDescent="0.25">
      <c r="A1124" t="s">
        <v>3141</v>
      </c>
      <c r="D1124" t="s">
        <v>908</v>
      </c>
      <c r="E1124" t="s">
        <v>4947</v>
      </c>
      <c r="F1124" t="s">
        <v>761</v>
      </c>
      <c r="G1124" t="str">
        <f>CONCATENATE(Master_Packing_Database[[#This Row],[Exp '#]],Master_Packing_Database[[#This Row],[Batch '#]])</f>
        <v>2167th1st</v>
      </c>
      <c r="H1124" t="s">
        <v>4948</v>
      </c>
      <c r="I1124" t="s">
        <v>4943</v>
      </c>
      <c r="J1124" t="s">
        <v>117</v>
      </c>
      <c r="K1124" t="s">
        <v>3335</v>
      </c>
      <c r="L1124" t="s">
        <v>544</v>
      </c>
      <c r="M1124" t="s">
        <v>544</v>
      </c>
      <c r="N1124" t="s">
        <v>4949</v>
      </c>
      <c r="O1124" t="s">
        <v>4950</v>
      </c>
      <c r="V1124" t="s">
        <v>4877</v>
      </c>
      <c r="X1124" t="s">
        <v>4925</v>
      </c>
      <c r="Y1124" t="s">
        <v>151</v>
      </c>
      <c r="Z1124" t="s">
        <v>1303</v>
      </c>
      <c r="AB1124" t="s">
        <v>4926</v>
      </c>
      <c r="AE1124" t="s">
        <v>4925</v>
      </c>
      <c r="AG1124" t="s">
        <v>1303</v>
      </c>
      <c r="AI1124" t="s">
        <v>29</v>
      </c>
      <c r="AK1124" t="s">
        <v>4946</v>
      </c>
      <c r="AL1124" t="s">
        <v>3152</v>
      </c>
      <c r="AN1124">
        <v>0</v>
      </c>
      <c r="AO1124" t="s">
        <v>1834</v>
      </c>
      <c r="AP1124" t="s">
        <v>1834</v>
      </c>
      <c r="AQ1124">
        <v>0</v>
      </c>
      <c r="AR1124" t="s">
        <v>1758</v>
      </c>
    </row>
    <row r="1125" spans="1:44" x14ac:dyDescent="0.25">
      <c r="A1125" t="s">
        <v>3141</v>
      </c>
      <c r="D1125" t="s">
        <v>4951</v>
      </c>
      <c r="E1125" t="s">
        <v>4952</v>
      </c>
      <c r="F1125" t="s">
        <v>1755</v>
      </c>
      <c r="G1125" t="str">
        <f>CONCATENATE(Master_Packing_Database[[#This Row],[Exp '#]],Master_Packing_Database[[#This Row],[Batch '#]])</f>
        <v>2165nd-</v>
      </c>
      <c r="H1125" t="s">
        <v>4953</v>
      </c>
      <c r="I1125" t="s">
        <v>115</v>
      </c>
      <c r="J1125" t="s">
        <v>117</v>
      </c>
      <c r="K1125" t="s">
        <v>4954</v>
      </c>
      <c r="L1125" t="s">
        <v>835</v>
      </c>
      <c r="M1125" t="s">
        <v>835</v>
      </c>
      <c r="N1125" t="s">
        <v>4955</v>
      </c>
      <c r="O1125" t="s">
        <v>4956</v>
      </c>
      <c r="V1125" t="s">
        <v>4933</v>
      </c>
      <c r="X1125" t="s">
        <v>4957</v>
      </c>
      <c r="Y1125" t="s">
        <v>1419</v>
      </c>
      <c r="Z1125" t="s">
        <v>1303</v>
      </c>
      <c r="AB1125" t="s">
        <v>4958</v>
      </c>
      <c r="AE1125" t="s">
        <v>4957</v>
      </c>
      <c r="AG1125" t="s">
        <v>1303</v>
      </c>
      <c r="AI1125" t="s">
        <v>29</v>
      </c>
      <c r="AK1125" t="s">
        <v>4959</v>
      </c>
      <c r="AL1125" t="s">
        <v>3152</v>
      </c>
      <c r="AN1125">
        <v>0</v>
      </c>
      <c r="AO1125" t="s">
        <v>1834</v>
      </c>
      <c r="AP1125" t="s">
        <v>1834</v>
      </c>
      <c r="AQ1125">
        <v>0</v>
      </c>
      <c r="AR1125" t="s">
        <v>1758</v>
      </c>
    </row>
    <row r="1126" spans="1:44" x14ac:dyDescent="0.25">
      <c r="A1126" t="s">
        <v>3141</v>
      </c>
      <c r="D1126" t="s">
        <v>4960</v>
      </c>
      <c r="E1126" t="s">
        <v>4961</v>
      </c>
      <c r="F1126" t="s">
        <v>1755</v>
      </c>
      <c r="G1126" t="str">
        <f>CONCATENATE(Master_Packing_Database[[#This Row],[Exp '#]],Master_Packing_Database[[#This Row],[Batch '#]])</f>
        <v>2126th-</v>
      </c>
      <c r="H1126" t="s">
        <v>4962</v>
      </c>
      <c r="I1126" t="s">
        <v>2738</v>
      </c>
      <c r="J1126" t="s">
        <v>366</v>
      </c>
      <c r="K1126" t="s">
        <v>3372</v>
      </c>
      <c r="L1126" t="s">
        <v>599</v>
      </c>
      <c r="M1126" t="s">
        <v>1072</v>
      </c>
      <c r="N1126" t="s">
        <v>4963</v>
      </c>
      <c r="O1126" t="s">
        <v>4964</v>
      </c>
      <c r="V1126" t="s">
        <v>4901</v>
      </c>
      <c r="X1126" t="s">
        <v>3610</v>
      </c>
      <c r="Y1126" t="s">
        <v>383</v>
      </c>
      <c r="Z1126" t="s">
        <v>1303</v>
      </c>
      <c r="AB1126" t="s">
        <v>3611</v>
      </c>
      <c r="AE1126" t="s">
        <v>3610</v>
      </c>
      <c r="AG1126" t="s">
        <v>1303</v>
      </c>
      <c r="AI1126" t="s">
        <v>29</v>
      </c>
      <c r="AK1126" t="s">
        <v>4959</v>
      </c>
      <c r="AL1126" t="s">
        <v>3152</v>
      </c>
      <c r="AN1126">
        <v>0</v>
      </c>
      <c r="AO1126" t="s">
        <v>1834</v>
      </c>
      <c r="AP1126" t="s">
        <v>1834</v>
      </c>
      <c r="AQ1126">
        <v>0</v>
      </c>
      <c r="AR1126" t="s">
        <v>1758</v>
      </c>
    </row>
    <row r="1127" spans="1:44" x14ac:dyDescent="0.25">
      <c r="A1127" t="s">
        <v>3141</v>
      </c>
      <c r="D1127" t="s">
        <v>908</v>
      </c>
      <c r="E1127" t="s">
        <v>4965</v>
      </c>
      <c r="G1127" t="str">
        <f>CONCATENATE(Master_Packing_Database[[#This Row],[Exp '#]],Master_Packing_Database[[#This Row],[Batch '#]])</f>
        <v>2168th</v>
      </c>
      <c r="H1127" t="s">
        <v>4966</v>
      </c>
      <c r="I1127" t="s">
        <v>4967</v>
      </c>
      <c r="J1127" t="s">
        <v>117</v>
      </c>
      <c r="K1127" t="s">
        <v>4968</v>
      </c>
      <c r="L1127" t="s">
        <v>1016</v>
      </c>
      <c r="M1127" t="s">
        <v>599</v>
      </c>
      <c r="N1127" t="s">
        <v>4969</v>
      </c>
      <c r="O1127" t="s">
        <v>588</v>
      </c>
      <c r="V1127" t="s">
        <v>4901</v>
      </c>
      <c r="X1127" t="s">
        <v>3620</v>
      </c>
      <c r="Y1127" t="s">
        <v>1456</v>
      </c>
      <c r="Z1127" t="s">
        <v>1303</v>
      </c>
      <c r="AB1127" t="s">
        <v>4970</v>
      </c>
      <c r="AE1127" t="s">
        <v>3620</v>
      </c>
      <c r="AG1127" t="s">
        <v>1303</v>
      </c>
      <c r="AI1127" t="s">
        <v>29</v>
      </c>
      <c r="AK1127" t="s">
        <v>4971</v>
      </c>
      <c r="AL1127" t="s">
        <v>3152</v>
      </c>
      <c r="AN1127">
        <v>0</v>
      </c>
      <c r="AO1127" t="s">
        <v>1834</v>
      </c>
      <c r="AP1127" t="s">
        <v>1834</v>
      </c>
      <c r="AQ1127">
        <v>0</v>
      </c>
      <c r="AR1127" t="s">
        <v>1758</v>
      </c>
    </row>
    <row r="1128" spans="1:44" x14ac:dyDescent="0.25">
      <c r="A1128" t="s">
        <v>3141</v>
      </c>
      <c r="D1128" t="s">
        <v>908</v>
      </c>
      <c r="E1128" t="s">
        <v>4947</v>
      </c>
      <c r="F1128" t="s">
        <v>422</v>
      </c>
      <c r="G1128" t="str">
        <f>CONCATENATE(Master_Packing_Database[[#This Row],[Exp '#]],Master_Packing_Database[[#This Row],[Batch '#]])</f>
        <v>2167th2nd</v>
      </c>
      <c r="H1128" t="s">
        <v>4972</v>
      </c>
      <c r="I1128" t="s">
        <v>4973</v>
      </c>
      <c r="J1128" t="s">
        <v>117</v>
      </c>
      <c r="K1128" t="s">
        <v>3805</v>
      </c>
      <c r="L1128" t="s">
        <v>4974</v>
      </c>
      <c r="M1128" t="s">
        <v>970</v>
      </c>
      <c r="N1128" t="s">
        <v>4975</v>
      </c>
      <c r="O1128" t="s">
        <v>4976</v>
      </c>
      <c r="V1128" t="s">
        <v>4901</v>
      </c>
      <c r="X1128" t="s">
        <v>3620</v>
      </c>
      <c r="Y1128" t="s">
        <v>1456</v>
      </c>
      <c r="Z1128" t="s">
        <v>1303</v>
      </c>
      <c r="AB1128" t="s">
        <v>4970</v>
      </c>
      <c r="AE1128" t="s">
        <v>3620</v>
      </c>
      <c r="AG1128" t="s">
        <v>1303</v>
      </c>
      <c r="AI1128" t="s">
        <v>29</v>
      </c>
      <c r="AK1128" t="s">
        <v>4971</v>
      </c>
      <c r="AL1128" t="s">
        <v>3152</v>
      </c>
      <c r="AN1128">
        <v>0</v>
      </c>
      <c r="AO1128" t="s">
        <v>1834</v>
      </c>
      <c r="AP1128" t="s">
        <v>1834</v>
      </c>
      <c r="AQ1128">
        <v>0</v>
      </c>
      <c r="AR1128" t="s">
        <v>1758</v>
      </c>
    </row>
    <row r="1129" spans="1:44" x14ac:dyDescent="0.25">
      <c r="A1129" t="s">
        <v>3141</v>
      </c>
      <c r="D1129" t="s">
        <v>281</v>
      </c>
      <c r="E1129" t="s">
        <v>4977</v>
      </c>
      <c r="F1129" t="s">
        <v>1755</v>
      </c>
      <c r="G1129" t="str">
        <f>CONCATENATE(Master_Packing_Database[[#This Row],[Exp '#]],Master_Packing_Database[[#This Row],[Batch '#]])</f>
        <v>2115th-</v>
      </c>
      <c r="H1129" t="s">
        <v>4978</v>
      </c>
      <c r="I1129" t="s">
        <v>419</v>
      </c>
      <c r="J1129" t="s">
        <v>117</v>
      </c>
      <c r="K1129" t="s">
        <v>4979</v>
      </c>
      <c r="L1129" t="s">
        <v>116</v>
      </c>
      <c r="M1129" t="s">
        <v>116</v>
      </c>
      <c r="N1129" t="s">
        <v>4980</v>
      </c>
      <c r="O1129" t="s">
        <v>4981</v>
      </c>
      <c r="V1129" t="s">
        <v>3587</v>
      </c>
      <c r="X1129" t="s">
        <v>3620</v>
      </c>
      <c r="Y1129" t="s">
        <v>679</v>
      </c>
      <c r="Z1129" t="s">
        <v>1303</v>
      </c>
      <c r="AB1129" t="s">
        <v>4982</v>
      </c>
      <c r="AE1129" t="s">
        <v>3620</v>
      </c>
      <c r="AG1129" t="s">
        <v>1303</v>
      </c>
      <c r="AI1129" t="s">
        <v>29</v>
      </c>
      <c r="AK1129" t="s">
        <v>4971</v>
      </c>
      <c r="AL1129" t="s">
        <v>3152</v>
      </c>
      <c r="AN1129">
        <v>0</v>
      </c>
      <c r="AO1129" t="s">
        <v>1834</v>
      </c>
      <c r="AP1129" t="s">
        <v>1834</v>
      </c>
      <c r="AQ1129">
        <v>0</v>
      </c>
      <c r="AR1129" t="s">
        <v>1758</v>
      </c>
    </row>
    <row r="1130" spans="1:44" x14ac:dyDescent="0.25">
      <c r="A1130" t="s">
        <v>3141</v>
      </c>
      <c r="D1130" t="s">
        <v>27</v>
      </c>
      <c r="E1130" t="s">
        <v>4983</v>
      </c>
      <c r="F1130" t="s">
        <v>1755</v>
      </c>
      <c r="G1130" t="str">
        <f>CONCATENATE(Master_Packing_Database[[#This Row],[Exp '#]],Master_Packing_Database[[#This Row],[Batch '#]])</f>
        <v>24-040-</v>
      </c>
      <c r="H1130" t="s">
        <v>4984</v>
      </c>
      <c r="I1130" t="s">
        <v>1227</v>
      </c>
      <c r="J1130" t="s">
        <v>366</v>
      </c>
      <c r="K1130" t="s">
        <v>1147</v>
      </c>
      <c r="L1130" t="s">
        <v>4309</v>
      </c>
      <c r="M1130" t="s">
        <v>116</v>
      </c>
      <c r="N1130" t="s">
        <v>4985</v>
      </c>
      <c r="O1130" t="s">
        <v>4986</v>
      </c>
      <c r="V1130" t="s">
        <v>4857</v>
      </c>
      <c r="X1130" t="s">
        <v>4926</v>
      </c>
      <c r="Y1130" t="s">
        <v>544</v>
      </c>
      <c r="Z1130" t="s">
        <v>1303</v>
      </c>
      <c r="AB1130" t="s">
        <v>4933</v>
      </c>
      <c r="AE1130" t="s">
        <v>4926</v>
      </c>
      <c r="AG1130" t="s">
        <v>1303</v>
      </c>
      <c r="AI1130" t="s">
        <v>29</v>
      </c>
      <c r="AK1130" t="s">
        <v>4971</v>
      </c>
      <c r="AL1130" t="s">
        <v>3152</v>
      </c>
      <c r="AN1130">
        <v>0</v>
      </c>
      <c r="AO1130" t="s">
        <v>1834</v>
      </c>
      <c r="AP1130" t="s">
        <v>1834</v>
      </c>
      <c r="AQ1130">
        <v>0</v>
      </c>
      <c r="AR1130" t="s">
        <v>1758</v>
      </c>
    </row>
    <row r="1131" spans="1:44" x14ac:dyDescent="0.25">
      <c r="A1131" t="s">
        <v>3141</v>
      </c>
      <c r="D1131" t="s">
        <v>1382</v>
      </c>
      <c r="E1131" t="s">
        <v>4987</v>
      </c>
      <c r="F1131" t="s">
        <v>1755</v>
      </c>
      <c r="G1131" t="str">
        <f>CONCATENATE(Master_Packing_Database[[#This Row],[Exp '#]],Master_Packing_Database[[#This Row],[Batch '#]])</f>
        <v>25-003-</v>
      </c>
      <c r="H1131" t="s">
        <v>4988</v>
      </c>
      <c r="I1131" t="s">
        <v>4989</v>
      </c>
      <c r="J1131" t="s">
        <v>117</v>
      </c>
      <c r="K1131" t="s">
        <v>1147</v>
      </c>
      <c r="L1131" t="s">
        <v>453</v>
      </c>
      <c r="M1131" t="s">
        <v>970</v>
      </c>
      <c r="N1131" t="s">
        <v>4990</v>
      </c>
      <c r="O1131" t="s">
        <v>4991</v>
      </c>
      <c r="V1131" t="s">
        <v>4857</v>
      </c>
      <c r="X1131" t="s">
        <v>4992</v>
      </c>
      <c r="Y1131" t="s">
        <v>2579</v>
      </c>
      <c r="Z1131" t="s">
        <v>1303</v>
      </c>
      <c r="AB1131" t="s">
        <v>4933</v>
      </c>
      <c r="AE1131" t="s">
        <v>4992</v>
      </c>
      <c r="AG1131" t="s">
        <v>1303</v>
      </c>
      <c r="AI1131" t="s">
        <v>29</v>
      </c>
      <c r="AK1131" t="s">
        <v>4993</v>
      </c>
      <c r="AL1131" t="s">
        <v>3152</v>
      </c>
      <c r="AN1131">
        <v>0</v>
      </c>
      <c r="AO1131" t="s">
        <v>1834</v>
      </c>
      <c r="AP1131" t="s">
        <v>1834</v>
      </c>
      <c r="AQ1131">
        <v>0</v>
      </c>
      <c r="AR1131" t="s">
        <v>1758</v>
      </c>
    </row>
    <row r="1132" spans="1:44" x14ac:dyDescent="0.25">
      <c r="A1132" t="s">
        <v>3141</v>
      </c>
      <c r="D1132" t="s">
        <v>1090</v>
      </c>
      <c r="E1132" t="s">
        <v>4994</v>
      </c>
      <c r="F1132" t="s">
        <v>1755</v>
      </c>
      <c r="G1132" t="str">
        <f>CONCATENATE(Master_Packing_Database[[#This Row],[Exp '#]],Master_Packing_Database[[#This Row],[Batch '#]])</f>
        <v>2187th-</v>
      </c>
      <c r="H1132" t="s">
        <v>4995</v>
      </c>
      <c r="I1132" t="s">
        <v>4996</v>
      </c>
      <c r="J1132" t="s">
        <v>366</v>
      </c>
      <c r="K1132" t="s">
        <v>4997</v>
      </c>
      <c r="L1132" t="s">
        <v>4998</v>
      </c>
      <c r="M1132" t="s">
        <v>116</v>
      </c>
      <c r="N1132" t="s">
        <v>4547</v>
      </c>
      <c r="O1132" t="s">
        <v>764</v>
      </c>
      <c r="V1132" t="s">
        <v>4901</v>
      </c>
      <c r="X1132" t="s">
        <v>4999</v>
      </c>
      <c r="Y1132" t="s">
        <v>453</v>
      </c>
      <c r="Z1132" t="s">
        <v>5000</v>
      </c>
      <c r="AB1132" t="s">
        <v>4970</v>
      </c>
      <c r="AE1132" t="s">
        <v>4999</v>
      </c>
      <c r="AG1132" t="s">
        <v>1303</v>
      </c>
      <c r="AI1132" t="s">
        <v>29</v>
      </c>
      <c r="AK1132" t="s">
        <v>3621</v>
      </c>
      <c r="AL1132" t="s">
        <v>3152</v>
      </c>
      <c r="AN1132">
        <v>0</v>
      </c>
      <c r="AO1132" t="s">
        <v>1834</v>
      </c>
      <c r="AP1132" t="s">
        <v>1834</v>
      </c>
      <c r="AQ1132">
        <v>0</v>
      </c>
      <c r="AR1132" t="s">
        <v>1758</v>
      </c>
    </row>
    <row r="1133" spans="1:44" x14ac:dyDescent="0.25">
      <c r="A1133" t="s">
        <v>3141</v>
      </c>
      <c r="D1133" t="s">
        <v>48</v>
      </c>
      <c r="E1133" t="s">
        <v>5001</v>
      </c>
      <c r="F1133" t="s">
        <v>1755</v>
      </c>
      <c r="G1133" t="str">
        <f>CONCATENATE(Master_Packing_Database[[#This Row],[Exp '#]],Master_Packing_Database[[#This Row],[Batch '#]])</f>
        <v>2124th-</v>
      </c>
      <c r="H1133" t="s">
        <v>5002</v>
      </c>
      <c r="I1133" t="s">
        <v>5003</v>
      </c>
      <c r="J1133" t="s">
        <v>117</v>
      </c>
      <c r="K1133" t="s">
        <v>5004</v>
      </c>
      <c r="L1133" t="s">
        <v>599</v>
      </c>
      <c r="M1133" t="s">
        <v>599</v>
      </c>
      <c r="N1133" t="s">
        <v>5005</v>
      </c>
      <c r="O1133" t="s">
        <v>3556</v>
      </c>
      <c r="V1133" t="s">
        <v>4901</v>
      </c>
      <c r="X1133" t="s">
        <v>3618</v>
      </c>
      <c r="Y1133" t="s">
        <v>3273</v>
      </c>
      <c r="Z1133" t="s">
        <v>3619</v>
      </c>
      <c r="AB1133" t="s">
        <v>4970</v>
      </c>
      <c r="AE1133" t="s">
        <v>3618</v>
      </c>
      <c r="AG1133" t="s">
        <v>1303</v>
      </c>
      <c r="AI1133" t="s">
        <v>29</v>
      </c>
      <c r="AK1133" t="s">
        <v>3621</v>
      </c>
      <c r="AL1133" t="s">
        <v>3152</v>
      </c>
      <c r="AN1133">
        <v>0</v>
      </c>
      <c r="AO1133" t="s">
        <v>1834</v>
      </c>
      <c r="AP1133" t="s">
        <v>1834</v>
      </c>
      <c r="AQ1133">
        <v>0</v>
      </c>
      <c r="AR1133" t="s">
        <v>1758</v>
      </c>
    </row>
    <row r="1134" spans="1:44" x14ac:dyDescent="0.25">
      <c r="A1134" t="s">
        <v>3141</v>
      </c>
      <c r="D1134" t="s">
        <v>2719</v>
      </c>
      <c r="E1134" t="s">
        <v>5006</v>
      </c>
      <c r="F1134" t="s">
        <v>1755</v>
      </c>
      <c r="G1134" t="str">
        <f>CONCATENATE(Master_Packing_Database[[#This Row],[Exp '#]],Master_Packing_Database[[#This Row],[Batch '#]])</f>
        <v>2131st-</v>
      </c>
      <c r="H1134" t="s">
        <v>5007</v>
      </c>
      <c r="I1134" t="s">
        <v>5008</v>
      </c>
      <c r="J1134" t="s">
        <v>117</v>
      </c>
      <c r="K1134" t="s">
        <v>5009</v>
      </c>
      <c r="L1134" t="s">
        <v>599</v>
      </c>
      <c r="M1134" t="s">
        <v>599</v>
      </c>
      <c r="N1134" t="s">
        <v>5010</v>
      </c>
      <c r="O1134" t="s">
        <v>5011</v>
      </c>
      <c r="V1134" t="s">
        <v>4901</v>
      </c>
      <c r="X1134" t="s">
        <v>3618</v>
      </c>
      <c r="Y1134" t="s">
        <v>3273</v>
      </c>
      <c r="Z1134" t="s">
        <v>3619</v>
      </c>
      <c r="AB1134" t="s">
        <v>4970</v>
      </c>
      <c r="AE1134" t="s">
        <v>3618</v>
      </c>
      <c r="AG1134" t="s">
        <v>1303</v>
      </c>
      <c r="AI1134" t="s">
        <v>29</v>
      </c>
      <c r="AK1134" t="s">
        <v>3621</v>
      </c>
      <c r="AL1134" t="s">
        <v>3152</v>
      </c>
      <c r="AN1134">
        <v>0</v>
      </c>
      <c r="AO1134" t="s">
        <v>1834</v>
      </c>
      <c r="AP1134" t="s">
        <v>1834</v>
      </c>
      <c r="AQ1134">
        <v>0</v>
      </c>
      <c r="AR1134" t="s">
        <v>1758</v>
      </c>
    </row>
    <row r="1135" spans="1:44" x14ac:dyDescent="0.25">
      <c r="A1135" t="s">
        <v>3141</v>
      </c>
      <c r="D1135" t="s">
        <v>5012</v>
      </c>
      <c r="E1135" t="s">
        <v>5013</v>
      </c>
      <c r="F1135" t="s">
        <v>1755</v>
      </c>
      <c r="G1135" t="str">
        <f>CONCATENATE(Master_Packing_Database[[#This Row],[Exp '#]],Master_Packing_Database[[#This Row],[Batch '#]])</f>
        <v>2177th-</v>
      </c>
      <c r="H1135" t="s">
        <v>5014</v>
      </c>
      <c r="I1135" t="s">
        <v>115</v>
      </c>
      <c r="J1135" t="s">
        <v>117</v>
      </c>
      <c r="K1135" t="s">
        <v>3238</v>
      </c>
      <c r="L1135" t="s">
        <v>599</v>
      </c>
      <c r="M1135" t="s">
        <v>599</v>
      </c>
      <c r="N1135" t="s">
        <v>5015</v>
      </c>
      <c r="O1135" t="s">
        <v>5016</v>
      </c>
      <c r="V1135" t="s">
        <v>4901</v>
      </c>
      <c r="X1135" t="s">
        <v>3654</v>
      </c>
      <c r="Y1135" t="s">
        <v>2657</v>
      </c>
      <c r="Z1135" t="s">
        <v>5017</v>
      </c>
      <c r="AB1135" t="s">
        <v>4970</v>
      </c>
      <c r="AE1135" t="s">
        <v>3654</v>
      </c>
      <c r="AG1135" t="s">
        <v>1303</v>
      </c>
      <c r="AI1135" t="s">
        <v>29</v>
      </c>
      <c r="AK1135" t="s">
        <v>3621</v>
      </c>
      <c r="AL1135" t="s">
        <v>3152</v>
      </c>
      <c r="AN1135">
        <v>0</v>
      </c>
      <c r="AO1135" t="s">
        <v>1834</v>
      </c>
      <c r="AP1135" t="s">
        <v>1834</v>
      </c>
      <c r="AQ1135">
        <v>0</v>
      </c>
      <c r="AR1135" t="s">
        <v>1758</v>
      </c>
    </row>
    <row r="1136" spans="1:44" x14ac:dyDescent="0.25">
      <c r="A1136" t="s">
        <v>3141</v>
      </c>
      <c r="D1136" t="s">
        <v>5018</v>
      </c>
      <c r="E1136" t="s">
        <v>5019</v>
      </c>
      <c r="F1136" t="s">
        <v>1755</v>
      </c>
      <c r="G1136" t="str">
        <f>CONCATENATE(Master_Packing_Database[[#This Row],[Exp '#]],Master_Packing_Database[[#This Row],[Batch '#]])</f>
        <v>2148th-</v>
      </c>
      <c r="H1136" t="s">
        <v>5020</v>
      </c>
      <c r="I1136" t="s">
        <v>419</v>
      </c>
      <c r="J1136" t="s">
        <v>117</v>
      </c>
      <c r="K1136" t="s">
        <v>5021</v>
      </c>
      <c r="L1136" t="s">
        <v>116</v>
      </c>
      <c r="M1136" t="s">
        <v>116</v>
      </c>
      <c r="N1136" t="s">
        <v>5022</v>
      </c>
      <c r="O1136" t="s">
        <v>5023</v>
      </c>
      <c r="V1136" t="s">
        <v>4901</v>
      </c>
      <c r="X1136" t="s">
        <v>3654</v>
      </c>
      <c r="Y1136" t="s">
        <v>2657</v>
      </c>
      <c r="Z1136" t="s">
        <v>5017</v>
      </c>
      <c r="AB1136" t="s">
        <v>4970</v>
      </c>
      <c r="AE1136" t="s">
        <v>3654</v>
      </c>
      <c r="AG1136" t="s">
        <v>1303</v>
      </c>
      <c r="AI1136" t="s">
        <v>29</v>
      </c>
      <c r="AK1136" t="s">
        <v>3621</v>
      </c>
      <c r="AL1136" t="s">
        <v>3152</v>
      </c>
      <c r="AN1136">
        <v>0</v>
      </c>
      <c r="AO1136" t="s">
        <v>1834</v>
      </c>
      <c r="AP1136" t="s">
        <v>1834</v>
      </c>
      <c r="AQ1136">
        <v>0</v>
      </c>
      <c r="AR1136" t="s">
        <v>1758</v>
      </c>
    </row>
    <row r="1137" spans="1:44" x14ac:dyDescent="0.25">
      <c r="A1137" t="s">
        <v>3141</v>
      </c>
      <c r="D1137" t="s">
        <v>5024</v>
      </c>
      <c r="E1137" t="s">
        <v>5025</v>
      </c>
      <c r="F1137" t="s">
        <v>1755</v>
      </c>
      <c r="G1137" t="str">
        <f>CONCATENATE(Master_Packing_Database[[#This Row],[Exp '#]],Master_Packing_Database[[#This Row],[Batch '#]])</f>
        <v>2093rd-</v>
      </c>
      <c r="H1137" t="s">
        <v>5026</v>
      </c>
      <c r="I1137" t="s">
        <v>696</v>
      </c>
      <c r="J1137" t="s">
        <v>366</v>
      </c>
      <c r="K1137" t="s">
        <v>3796</v>
      </c>
      <c r="L1137" t="s">
        <v>116</v>
      </c>
      <c r="M1137" t="s">
        <v>544</v>
      </c>
      <c r="N1137" t="s">
        <v>5027</v>
      </c>
      <c r="O1137" t="s">
        <v>5028</v>
      </c>
      <c r="V1137" t="s">
        <v>3542</v>
      </c>
      <c r="X1137" t="s">
        <v>3581</v>
      </c>
      <c r="Y1137" t="s">
        <v>2579</v>
      </c>
      <c r="Z1137" t="s">
        <v>5029</v>
      </c>
      <c r="AB1137" t="s">
        <v>3582</v>
      </c>
      <c r="AE1137" t="s">
        <v>3581</v>
      </c>
      <c r="AG1137" t="s">
        <v>1303</v>
      </c>
      <c r="AI1137" t="s">
        <v>29</v>
      </c>
      <c r="AK1137" t="s">
        <v>3621</v>
      </c>
      <c r="AL1137" t="s">
        <v>3152</v>
      </c>
      <c r="AN1137">
        <v>0</v>
      </c>
      <c r="AO1137" t="s">
        <v>1834</v>
      </c>
      <c r="AP1137" t="s">
        <v>1834</v>
      </c>
      <c r="AQ1137">
        <v>0</v>
      </c>
      <c r="AR1137" t="s">
        <v>1758</v>
      </c>
    </row>
    <row r="1138" spans="1:44" x14ac:dyDescent="0.25">
      <c r="A1138" t="s">
        <v>3141</v>
      </c>
      <c r="D1138" t="s">
        <v>5030</v>
      </c>
      <c r="E1138" t="s">
        <v>5031</v>
      </c>
      <c r="F1138" t="s">
        <v>1755</v>
      </c>
      <c r="G1138" t="str">
        <f>CONCATENATE(Master_Packing_Database[[#This Row],[Exp '#]],Master_Packing_Database[[#This Row],[Batch '#]])</f>
        <v>2147th-</v>
      </c>
      <c r="H1138" t="s">
        <v>5032</v>
      </c>
      <c r="I1138" t="s">
        <v>696</v>
      </c>
      <c r="J1138" t="s">
        <v>366</v>
      </c>
      <c r="K1138" t="s">
        <v>3399</v>
      </c>
      <c r="L1138" t="s">
        <v>116</v>
      </c>
      <c r="M1138" t="s">
        <v>544</v>
      </c>
      <c r="N1138" t="s">
        <v>5033</v>
      </c>
      <c r="O1138" t="s">
        <v>5034</v>
      </c>
      <c r="V1138" t="s">
        <v>4887</v>
      </c>
      <c r="X1138" t="s">
        <v>3654</v>
      </c>
      <c r="Y1138" t="s">
        <v>501</v>
      </c>
      <c r="Z1138" t="s">
        <v>5017</v>
      </c>
      <c r="AB1138" t="s">
        <v>3643</v>
      </c>
      <c r="AE1138" t="s">
        <v>3654</v>
      </c>
      <c r="AG1138" t="s">
        <v>1303</v>
      </c>
      <c r="AI1138" t="s">
        <v>29</v>
      </c>
      <c r="AK1138" t="s">
        <v>3621</v>
      </c>
      <c r="AL1138" t="s">
        <v>3152</v>
      </c>
      <c r="AN1138">
        <v>0</v>
      </c>
      <c r="AO1138" t="s">
        <v>1834</v>
      </c>
      <c r="AP1138" t="s">
        <v>1834</v>
      </c>
      <c r="AQ1138">
        <v>0</v>
      </c>
      <c r="AR1138" t="s">
        <v>1758</v>
      </c>
    </row>
    <row r="1139" spans="1:44" x14ac:dyDescent="0.25">
      <c r="A1139" t="s">
        <v>3141</v>
      </c>
      <c r="D1139" t="s">
        <v>35</v>
      </c>
      <c r="E1139" t="s">
        <v>5035</v>
      </c>
      <c r="F1139" t="s">
        <v>1755</v>
      </c>
      <c r="G1139" t="str">
        <f>CONCATENATE(Master_Packing_Database[[#This Row],[Exp '#]],Master_Packing_Database[[#This Row],[Batch '#]])</f>
        <v>2144th-</v>
      </c>
      <c r="H1139" t="s">
        <v>5036</v>
      </c>
      <c r="I1139" t="s">
        <v>5037</v>
      </c>
      <c r="J1139" t="s">
        <v>366</v>
      </c>
      <c r="K1139" t="s">
        <v>4306</v>
      </c>
      <c r="L1139" t="s">
        <v>116</v>
      </c>
      <c r="M1139" t="s">
        <v>116</v>
      </c>
      <c r="N1139" t="s">
        <v>352</v>
      </c>
      <c r="O1139" t="s">
        <v>2695</v>
      </c>
      <c r="V1139" t="s">
        <v>3542</v>
      </c>
      <c r="X1139" t="s">
        <v>3597</v>
      </c>
      <c r="Y1139" t="s">
        <v>194</v>
      </c>
      <c r="Z1139" t="s">
        <v>5038</v>
      </c>
      <c r="AB1139" t="s">
        <v>3599</v>
      </c>
      <c r="AE1139" t="s">
        <v>3597</v>
      </c>
      <c r="AG1139" t="s">
        <v>1303</v>
      </c>
      <c r="AI1139" t="s">
        <v>29</v>
      </c>
      <c r="AK1139" t="s">
        <v>3637</v>
      </c>
      <c r="AL1139" t="s">
        <v>3152</v>
      </c>
      <c r="AN1139">
        <v>0</v>
      </c>
      <c r="AO1139" t="s">
        <v>1834</v>
      </c>
      <c r="AP1139" t="s">
        <v>1834</v>
      </c>
      <c r="AQ1139">
        <v>0</v>
      </c>
      <c r="AR1139" t="s">
        <v>1758</v>
      </c>
    </row>
    <row r="1140" spans="1:44" x14ac:dyDescent="0.25">
      <c r="A1140" t="s">
        <v>3141</v>
      </c>
      <c r="D1140" t="s">
        <v>35</v>
      </c>
      <c r="E1140" t="s">
        <v>5039</v>
      </c>
      <c r="F1140" t="s">
        <v>1755</v>
      </c>
      <c r="G1140" t="str">
        <f>CONCATENATE(Master_Packing_Database[[#This Row],[Exp '#]],Master_Packing_Database[[#This Row],[Batch '#]])</f>
        <v>2186th-</v>
      </c>
      <c r="H1140" t="s">
        <v>5040</v>
      </c>
      <c r="I1140" t="s">
        <v>115</v>
      </c>
      <c r="J1140" t="s">
        <v>366</v>
      </c>
      <c r="K1140" t="s">
        <v>3796</v>
      </c>
      <c r="L1140" t="s">
        <v>835</v>
      </c>
      <c r="M1140" t="s">
        <v>835</v>
      </c>
      <c r="N1140" t="s">
        <v>5041</v>
      </c>
      <c r="O1140" t="s">
        <v>5042</v>
      </c>
      <c r="V1140" t="s">
        <v>4901</v>
      </c>
      <c r="X1140" t="s">
        <v>4999</v>
      </c>
      <c r="Y1140" t="s">
        <v>453</v>
      </c>
      <c r="Z1140" t="s">
        <v>5000</v>
      </c>
      <c r="AB1140" t="s">
        <v>4970</v>
      </c>
      <c r="AE1140" t="s">
        <v>4999</v>
      </c>
      <c r="AG1140" t="s">
        <v>1303</v>
      </c>
      <c r="AI1140" t="s">
        <v>29</v>
      </c>
      <c r="AK1140" t="s">
        <v>3637</v>
      </c>
      <c r="AL1140" t="s">
        <v>3152</v>
      </c>
      <c r="AN1140">
        <v>0</v>
      </c>
      <c r="AO1140" t="s">
        <v>1834</v>
      </c>
      <c r="AP1140" t="s">
        <v>1834</v>
      </c>
      <c r="AQ1140">
        <v>0</v>
      </c>
      <c r="AR1140" t="s">
        <v>1758</v>
      </c>
    </row>
    <row r="1141" spans="1:44" x14ac:dyDescent="0.25">
      <c r="A1141" t="s">
        <v>3141</v>
      </c>
      <c r="D1141" t="s">
        <v>5043</v>
      </c>
      <c r="E1141" t="s">
        <v>5044</v>
      </c>
      <c r="F1141" t="s">
        <v>1755</v>
      </c>
      <c r="G1141" t="str">
        <f>CONCATENATE(Master_Packing_Database[[#This Row],[Exp '#]],Master_Packing_Database[[#This Row],[Batch '#]])</f>
        <v>24-035-</v>
      </c>
      <c r="H1141" t="s">
        <v>5045</v>
      </c>
      <c r="I1141" t="s">
        <v>5046</v>
      </c>
      <c r="J1141" t="s">
        <v>1371</v>
      </c>
      <c r="K1141" t="s">
        <v>1147</v>
      </c>
      <c r="L1141" t="s">
        <v>5047</v>
      </c>
      <c r="M1141" t="s">
        <v>835</v>
      </c>
      <c r="N1141" t="s">
        <v>5048</v>
      </c>
      <c r="O1141" t="s">
        <v>5049</v>
      </c>
      <c r="V1141" t="s">
        <v>4857</v>
      </c>
      <c r="X1141" t="s">
        <v>3651</v>
      </c>
      <c r="Y1141" t="s">
        <v>3695</v>
      </c>
      <c r="Z1141" t="s">
        <v>3669</v>
      </c>
      <c r="AB1141" t="s">
        <v>3654</v>
      </c>
      <c r="AE1141" t="s">
        <v>3651</v>
      </c>
      <c r="AG1141" t="s">
        <v>1303</v>
      </c>
      <c r="AI1141" t="s">
        <v>29</v>
      </c>
      <c r="AK1141" t="s">
        <v>5050</v>
      </c>
      <c r="AL1141" t="s">
        <v>3152</v>
      </c>
      <c r="AN1141">
        <v>0</v>
      </c>
      <c r="AO1141" t="s">
        <v>1834</v>
      </c>
      <c r="AP1141" t="s">
        <v>1834</v>
      </c>
      <c r="AQ1141">
        <v>0</v>
      </c>
      <c r="AR1141" t="s">
        <v>1758</v>
      </c>
    </row>
    <row r="1142" spans="1:44" x14ac:dyDescent="0.25">
      <c r="A1142" t="s">
        <v>3141</v>
      </c>
      <c r="D1142" t="s">
        <v>1004</v>
      </c>
      <c r="E1142" t="s">
        <v>5051</v>
      </c>
      <c r="F1142" t="s">
        <v>1755</v>
      </c>
      <c r="G1142" t="str">
        <f>CONCATENATE(Master_Packing_Database[[#This Row],[Exp '#]],Master_Packing_Database[[#This Row],[Batch '#]])</f>
        <v>2222nd-</v>
      </c>
      <c r="H1142" t="s">
        <v>5052</v>
      </c>
      <c r="I1142" t="s">
        <v>3339</v>
      </c>
      <c r="J1142" t="s">
        <v>366</v>
      </c>
      <c r="K1142" t="s">
        <v>1147</v>
      </c>
      <c r="L1142" t="s">
        <v>5053</v>
      </c>
      <c r="M1142" t="s">
        <v>599</v>
      </c>
      <c r="N1142" t="s">
        <v>381</v>
      </c>
      <c r="O1142" t="s">
        <v>4900</v>
      </c>
      <c r="V1142" t="s">
        <v>3644</v>
      </c>
      <c r="X1142" t="s">
        <v>3644</v>
      </c>
      <c r="Y1142" t="s">
        <v>1303</v>
      </c>
      <c r="Z1142" t="s">
        <v>5054</v>
      </c>
      <c r="AB1142" t="s">
        <v>3645</v>
      </c>
      <c r="AE1142" t="s">
        <v>5055</v>
      </c>
      <c r="AG1142" t="s">
        <v>3544</v>
      </c>
      <c r="AI1142" t="s">
        <v>29</v>
      </c>
      <c r="AK1142" t="s">
        <v>5056</v>
      </c>
      <c r="AL1142" t="s">
        <v>3152</v>
      </c>
      <c r="AN1142">
        <v>0</v>
      </c>
      <c r="AO1142" t="s">
        <v>1834</v>
      </c>
      <c r="AP1142" t="s">
        <v>1834</v>
      </c>
      <c r="AQ1142">
        <v>0</v>
      </c>
      <c r="AR1142" t="s">
        <v>1758</v>
      </c>
    </row>
    <row r="1143" spans="1:44" x14ac:dyDescent="0.25">
      <c r="A1143" t="s">
        <v>3141</v>
      </c>
      <c r="D1143" t="s">
        <v>1132</v>
      </c>
      <c r="E1143" t="s">
        <v>5057</v>
      </c>
      <c r="F1143" t="s">
        <v>1755</v>
      </c>
      <c r="G1143" t="str">
        <f>CONCATENATE(Master_Packing_Database[[#This Row],[Exp '#]],Master_Packing_Database[[#This Row],[Batch '#]])</f>
        <v>2136th-</v>
      </c>
      <c r="H1143" t="s">
        <v>5058</v>
      </c>
      <c r="I1143" t="s">
        <v>5008</v>
      </c>
      <c r="J1143" t="s">
        <v>117</v>
      </c>
      <c r="K1143" t="s">
        <v>5059</v>
      </c>
      <c r="L1143" t="s">
        <v>116</v>
      </c>
      <c r="M1143" t="s">
        <v>116</v>
      </c>
      <c r="N1143" t="s">
        <v>5060</v>
      </c>
      <c r="O1143" t="s">
        <v>5061</v>
      </c>
      <c r="V1143" t="s">
        <v>5062</v>
      </c>
      <c r="X1143" t="s">
        <v>5063</v>
      </c>
      <c r="Y1143" t="s">
        <v>3544</v>
      </c>
      <c r="Z1143" t="s">
        <v>5064</v>
      </c>
      <c r="AB1143" t="s">
        <v>5065</v>
      </c>
      <c r="AE1143" t="s">
        <v>5063</v>
      </c>
      <c r="AG1143" t="s">
        <v>1303</v>
      </c>
      <c r="AI1143" t="s">
        <v>29</v>
      </c>
      <c r="AK1143" t="s">
        <v>3646</v>
      </c>
      <c r="AL1143" t="s">
        <v>3152</v>
      </c>
      <c r="AN1143">
        <v>0</v>
      </c>
      <c r="AO1143" t="s">
        <v>1834</v>
      </c>
      <c r="AP1143" t="s">
        <v>1834</v>
      </c>
      <c r="AQ1143">
        <v>0</v>
      </c>
      <c r="AR1143" t="s">
        <v>1758</v>
      </c>
    </row>
    <row r="1144" spans="1:44" x14ac:dyDescent="0.25">
      <c r="A1144" t="s">
        <v>3141</v>
      </c>
      <c r="D1144" t="s">
        <v>5024</v>
      </c>
      <c r="E1144" t="s">
        <v>5066</v>
      </c>
      <c r="F1144" t="s">
        <v>1755</v>
      </c>
      <c r="G1144" t="str">
        <f>CONCATENATE(Master_Packing_Database[[#This Row],[Exp '#]],Master_Packing_Database[[#This Row],[Batch '#]])</f>
        <v>2077th-</v>
      </c>
      <c r="H1144" t="s">
        <v>5067</v>
      </c>
      <c r="I1144" t="s">
        <v>5068</v>
      </c>
      <c r="J1144" t="s">
        <v>117</v>
      </c>
      <c r="K1144" t="s">
        <v>3361</v>
      </c>
      <c r="L1144" t="s">
        <v>116</v>
      </c>
      <c r="M1144" t="s">
        <v>1456</v>
      </c>
      <c r="N1144" t="s">
        <v>5069</v>
      </c>
      <c r="O1144" t="s">
        <v>5070</v>
      </c>
      <c r="V1144" t="s">
        <v>4887</v>
      </c>
      <c r="X1144" t="s">
        <v>5063</v>
      </c>
      <c r="Y1144" t="s">
        <v>4845</v>
      </c>
      <c r="Z1144" t="s">
        <v>5064</v>
      </c>
      <c r="AB1144" t="s">
        <v>3687</v>
      </c>
      <c r="AE1144" t="s">
        <v>5063</v>
      </c>
      <c r="AG1144" t="s">
        <v>1303</v>
      </c>
      <c r="AI1144" t="s">
        <v>29</v>
      </c>
      <c r="AK1144" t="s">
        <v>3646</v>
      </c>
      <c r="AL1144" t="s">
        <v>3152</v>
      </c>
      <c r="AN1144">
        <v>0</v>
      </c>
      <c r="AO1144" t="s">
        <v>1834</v>
      </c>
      <c r="AP1144" t="s">
        <v>1834</v>
      </c>
      <c r="AQ1144">
        <v>0</v>
      </c>
      <c r="AR1144" t="s">
        <v>1758</v>
      </c>
    </row>
    <row r="1145" spans="1:44" x14ac:dyDescent="0.25">
      <c r="A1145" t="s">
        <v>3141</v>
      </c>
      <c r="D1145" t="s">
        <v>5030</v>
      </c>
      <c r="E1145" t="s">
        <v>5071</v>
      </c>
      <c r="F1145" t="s">
        <v>1755</v>
      </c>
      <c r="G1145" t="str">
        <f>CONCATENATE(Master_Packing_Database[[#This Row],[Exp '#]],Master_Packing_Database[[#This Row],[Batch '#]])</f>
        <v>2078th-</v>
      </c>
      <c r="H1145" t="s">
        <v>5072</v>
      </c>
      <c r="I1145" t="s">
        <v>5073</v>
      </c>
      <c r="J1145" t="s">
        <v>117</v>
      </c>
      <c r="K1145" t="s">
        <v>3399</v>
      </c>
      <c r="L1145" t="s">
        <v>116</v>
      </c>
      <c r="M1145" t="s">
        <v>1456</v>
      </c>
      <c r="N1145" t="s">
        <v>5074</v>
      </c>
      <c r="O1145" t="s">
        <v>5075</v>
      </c>
      <c r="V1145" t="s">
        <v>4970</v>
      </c>
      <c r="X1145" t="s">
        <v>5063</v>
      </c>
      <c r="Y1145" t="s">
        <v>5076</v>
      </c>
      <c r="Z1145" t="s">
        <v>5064</v>
      </c>
      <c r="AB1145" t="s">
        <v>3687</v>
      </c>
      <c r="AE1145" t="s">
        <v>5063</v>
      </c>
      <c r="AG1145" t="s">
        <v>1303</v>
      </c>
      <c r="AI1145" t="s">
        <v>29</v>
      </c>
      <c r="AK1145" t="s">
        <v>3646</v>
      </c>
      <c r="AL1145" t="s">
        <v>3152</v>
      </c>
      <c r="AN1145">
        <v>0</v>
      </c>
      <c r="AO1145" t="s">
        <v>1834</v>
      </c>
      <c r="AP1145" t="s">
        <v>1834</v>
      </c>
      <c r="AQ1145">
        <v>0</v>
      </c>
      <c r="AR1145" t="s">
        <v>1758</v>
      </c>
    </row>
    <row r="1146" spans="1:44" x14ac:dyDescent="0.25">
      <c r="A1146" t="s">
        <v>3141</v>
      </c>
      <c r="D1146" t="s">
        <v>4473</v>
      </c>
      <c r="E1146" t="s">
        <v>5077</v>
      </c>
      <c r="F1146" t="s">
        <v>1755</v>
      </c>
      <c r="G1146" t="str">
        <f>CONCATENATE(Master_Packing_Database[[#This Row],[Exp '#]],Master_Packing_Database[[#This Row],[Batch '#]])</f>
        <v>2158th-</v>
      </c>
      <c r="H1146" t="s">
        <v>5078</v>
      </c>
      <c r="I1146" t="s">
        <v>5079</v>
      </c>
      <c r="J1146" t="s">
        <v>117</v>
      </c>
      <c r="K1146" t="s">
        <v>3173</v>
      </c>
      <c r="L1146" t="s">
        <v>599</v>
      </c>
      <c r="M1146" t="s">
        <v>599</v>
      </c>
      <c r="N1146" t="s">
        <v>920</v>
      </c>
      <c r="O1146" t="s">
        <v>5080</v>
      </c>
      <c r="V1146" t="s">
        <v>3542</v>
      </c>
      <c r="X1146" t="s">
        <v>3543</v>
      </c>
      <c r="Y1146" t="s">
        <v>975</v>
      </c>
      <c r="Z1146" t="s">
        <v>5081</v>
      </c>
      <c r="AB1146" t="s">
        <v>5082</v>
      </c>
      <c r="AE1146" t="s">
        <v>3543</v>
      </c>
      <c r="AG1146" t="s">
        <v>1303</v>
      </c>
      <c r="AI1146" t="s">
        <v>29</v>
      </c>
      <c r="AK1146" t="s">
        <v>3656</v>
      </c>
      <c r="AL1146" t="s">
        <v>3152</v>
      </c>
      <c r="AN1146">
        <v>0</v>
      </c>
      <c r="AO1146" t="s">
        <v>1834</v>
      </c>
      <c r="AP1146" t="s">
        <v>1834</v>
      </c>
      <c r="AQ1146">
        <v>0</v>
      </c>
      <c r="AR1146" t="s">
        <v>1758</v>
      </c>
    </row>
    <row r="1147" spans="1:44" x14ac:dyDescent="0.25">
      <c r="A1147" t="s">
        <v>3141</v>
      </c>
      <c r="D1147" t="s">
        <v>908</v>
      </c>
      <c r="E1147" t="s">
        <v>4947</v>
      </c>
      <c r="F1147" t="s">
        <v>142</v>
      </c>
      <c r="G1147" t="str">
        <f>CONCATENATE(Master_Packing_Database[[#This Row],[Exp '#]],Master_Packing_Database[[#This Row],[Batch '#]])</f>
        <v>2167th3rd</v>
      </c>
      <c r="H1147" t="s">
        <v>5083</v>
      </c>
      <c r="I1147" t="s">
        <v>5084</v>
      </c>
      <c r="J1147" t="s">
        <v>117</v>
      </c>
      <c r="K1147" t="s">
        <v>5085</v>
      </c>
      <c r="L1147" t="s">
        <v>599</v>
      </c>
      <c r="M1147" t="s">
        <v>599</v>
      </c>
      <c r="N1147" t="s">
        <v>5086</v>
      </c>
      <c r="O1147" t="s">
        <v>5087</v>
      </c>
      <c r="V1147" t="s">
        <v>4887</v>
      </c>
      <c r="X1147" t="s">
        <v>5063</v>
      </c>
      <c r="Y1147" t="s">
        <v>4845</v>
      </c>
      <c r="Z1147" t="s">
        <v>5064</v>
      </c>
      <c r="AB1147" t="s">
        <v>3455</v>
      </c>
      <c r="AE1147" t="s">
        <v>5063</v>
      </c>
      <c r="AG1147" t="s">
        <v>1303</v>
      </c>
      <c r="AI1147" t="s">
        <v>29</v>
      </c>
      <c r="AK1147" t="s">
        <v>4971</v>
      </c>
      <c r="AL1147" t="s">
        <v>3152</v>
      </c>
      <c r="AN1147">
        <v>0</v>
      </c>
      <c r="AO1147" t="s">
        <v>1834</v>
      </c>
      <c r="AP1147" t="s">
        <v>1834</v>
      </c>
      <c r="AQ1147">
        <v>0</v>
      </c>
      <c r="AR1147" t="s">
        <v>1758</v>
      </c>
    </row>
    <row r="1148" spans="1:44" x14ac:dyDescent="0.25">
      <c r="A1148" t="s">
        <v>3141</v>
      </c>
      <c r="D1148" t="s">
        <v>5088</v>
      </c>
      <c r="E1148" t="s">
        <v>5089</v>
      </c>
      <c r="F1148" t="s">
        <v>1755</v>
      </c>
      <c r="G1148" t="str">
        <f>CONCATENATE(Master_Packing_Database[[#This Row],[Exp '#]],Master_Packing_Database[[#This Row],[Batch '#]])</f>
        <v>24-034-</v>
      </c>
      <c r="H1148" t="s">
        <v>5090</v>
      </c>
      <c r="I1148" t="s">
        <v>1173</v>
      </c>
      <c r="J1148" t="s">
        <v>117</v>
      </c>
      <c r="K1148" t="s">
        <v>1147</v>
      </c>
      <c r="L1148" t="s">
        <v>544</v>
      </c>
      <c r="M1148" t="s">
        <v>544</v>
      </c>
      <c r="N1148" t="s">
        <v>5091</v>
      </c>
      <c r="O1148" t="s">
        <v>5092</v>
      </c>
      <c r="V1148" t="s">
        <v>4934</v>
      </c>
      <c r="X1148" t="s">
        <v>4992</v>
      </c>
      <c r="Y1148" t="s">
        <v>2569</v>
      </c>
      <c r="Z1148" t="s">
        <v>3341</v>
      </c>
      <c r="AB1148" t="s">
        <v>4878</v>
      </c>
      <c r="AE1148" t="s">
        <v>5093</v>
      </c>
      <c r="AG1148" t="s">
        <v>3626</v>
      </c>
      <c r="AI1148" t="s">
        <v>29</v>
      </c>
      <c r="AK1148" t="s">
        <v>3679</v>
      </c>
      <c r="AL1148" t="s">
        <v>3152</v>
      </c>
      <c r="AN1148">
        <v>0</v>
      </c>
      <c r="AO1148" t="s">
        <v>1834</v>
      </c>
      <c r="AP1148" t="s">
        <v>1834</v>
      </c>
      <c r="AQ1148">
        <v>0</v>
      </c>
      <c r="AR1148" t="s">
        <v>1758</v>
      </c>
    </row>
    <row r="1149" spans="1:44" x14ac:dyDescent="0.25">
      <c r="A1149" t="s">
        <v>3141</v>
      </c>
      <c r="D1149" t="s">
        <v>1382</v>
      </c>
      <c r="E1149" t="s">
        <v>5094</v>
      </c>
      <c r="F1149" t="s">
        <v>1755</v>
      </c>
      <c r="G1149" t="str">
        <f>CONCATENATE(Master_Packing_Database[[#This Row],[Exp '#]],Master_Packing_Database[[#This Row],[Batch '#]])</f>
        <v>25-007-</v>
      </c>
      <c r="H1149" t="s">
        <v>5095</v>
      </c>
      <c r="I1149" t="s">
        <v>5096</v>
      </c>
      <c r="J1149" t="s">
        <v>117</v>
      </c>
      <c r="K1149" t="s">
        <v>1147</v>
      </c>
      <c r="L1149" t="s">
        <v>1456</v>
      </c>
      <c r="M1149" t="s">
        <v>835</v>
      </c>
      <c r="N1149" t="s">
        <v>4986</v>
      </c>
      <c r="O1149" t="s">
        <v>1457</v>
      </c>
      <c r="V1149" t="s">
        <v>4887</v>
      </c>
      <c r="X1149" t="s">
        <v>5063</v>
      </c>
      <c r="Y1149" t="s">
        <v>4845</v>
      </c>
      <c r="Z1149" t="s">
        <v>5064</v>
      </c>
      <c r="AB1149" t="s">
        <v>3455</v>
      </c>
      <c r="AE1149" t="s">
        <v>5063</v>
      </c>
      <c r="AG1149" t="s">
        <v>1303</v>
      </c>
      <c r="AI1149" t="s">
        <v>29</v>
      </c>
      <c r="AK1149" t="s">
        <v>3679</v>
      </c>
      <c r="AL1149" t="s">
        <v>3152</v>
      </c>
      <c r="AN1149">
        <v>0</v>
      </c>
      <c r="AO1149" t="s">
        <v>1834</v>
      </c>
      <c r="AP1149" t="s">
        <v>1834</v>
      </c>
      <c r="AQ1149">
        <v>0</v>
      </c>
      <c r="AR1149" t="s">
        <v>1758</v>
      </c>
    </row>
    <row r="1150" spans="1:44" x14ac:dyDescent="0.25">
      <c r="A1150" t="s">
        <v>3141</v>
      </c>
      <c r="D1150" t="s">
        <v>109</v>
      </c>
      <c r="E1150" t="s">
        <v>5097</v>
      </c>
      <c r="F1150" t="s">
        <v>1755</v>
      </c>
      <c r="G1150" t="str">
        <f>CONCATENATE(Master_Packing_Database[[#This Row],[Exp '#]],Master_Packing_Database[[#This Row],[Batch '#]])</f>
        <v>2079th-</v>
      </c>
      <c r="H1150" t="s">
        <v>5098</v>
      </c>
      <c r="I1150" t="s">
        <v>5099</v>
      </c>
      <c r="J1150" t="s">
        <v>117</v>
      </c>
      <c r="K1150" t="s">
        <v>4979</v>
      </c>
      <c r="L1150" t="s">
        <v>116</v>
      </c>
      <c r="M1150" t="s">
        <v>116</v>
      </c>
      <c r="N1150" t="s">
        <v>5100</v>
      </c>
      <c r="O1150" t="s">
        <v>5101</v>
      </c>
      <c r="V1150" t="s">
        <v>5062</v>
      </c>
      <c r="X1150" t="s">
        <v>5102</v>
      </c>
      <c r="Y1150" t="s">
        <v>975</v>
      </c>
      <c r="Z1150" t="s">
        <v>5103</v>
      </c>
      <c r="AB1150" t="s">
        <v>5065</v>
      </c>
      <c r="AE1150" t="s">
        <v>5102</v>
      </c>
      <c r="AG1150" t="s">
        <v>1303</v>
      </c>
      <c r="AI1150" t="s">
        <v>29</v>
      </c>
      <c r="AK1150" t="s">
        <v>3690</v>
      </c>
      <c r="AL1150" t="s">
        <v>3152</v>
      </c>
      <c r="AN1150">
        <v>0</v>
      </c>
      <c r="AO1150" t="s">
        <v>1834</v>
      </c>
      <c r="AP1150" t="s">
        <v>1834</v>
      </c>
      <c r="AQ1150">
        <v>0</v>
      </c>
      <c r="AR1150" t="s">
        <v>1758</v>
      </c>
    </row>
    <row r="1151" spans="1:44" x14ac:dyDescent="0.25">
      <c r="A1151" t="s">
        <v>3141</v>
      </c>
      <c r="D1151" t="s">
        <v>510</v>
      </c>
      <c r="E1151" t="s">
        <v>5104</v>
      </c>
      <c r="F1151" t="s">
        <v>1755</v>
      </c>
      <c r="G1151" t="str">
        <f>CONCATENATE(Master_Packing_Database[[#This Row],[Exp '#]],Master_Packing_Database[[#This Row],[Batch '#]])</f>
        <v>2219th-</v>
      </c>
      <c r="H1151" t="s">
        <v>5105</v>
      </c>
      <c r="I1151" t="s">
        <v>5106</v>
      </c>
      <c r="J1151" t="s">
        <v>117</v>
      </c>
      <c r="K1151" t="s">
        <v>1147</v>
      </c>
      <c r="L1151" t="s">
        <v>975</v>
      </c>
      <c r="M1151" t="s">
        <v>116</v>
      </c>
      <c r="N1151" t="s">
        <v>975</v>
      </c>
      <c r="O1151" t="s">
        <v>975</v>
      </c>
      <c r="V1151" t="s">
        <v>3688</v>
      </c>
      <c r="X1151" t="s">
        <v>3688</v>
      </c>
      <c r="Y1151" t="s">
        <v>1303</v>
      </c>
      <c r="Z1151" t="s">
        <v>3689</v>
      </c>
      <c r="AB1151" t="s">
        <v>3696</v>
      </c>
      <c r="AE1151" t="s">
        <v>3688</v>
      </c>
      <c r="AG1151" t="s">
        <v>1303</v>
      </c>
      <c r="AI1151" t="s">
        <v>29</v>
      </c>
      <c r="AK1151" t="s">
        <v>3690</v>
      </c>
      <c r="AL1151" t="s">
        <v>3152</v>
      </c>
      <c r="AN1151">
        <v>0</v>
      </c>
      <c r="AO1151" t="s">
        <v>1834</v>
      </c>
      <c r="AP1151" t="s">
        <v>1834</v>
      </c>
      <c r="AQ1151">
        <v>0</v>
      </c>
      <c r="AR1151" t="s">
        <v>1758</v>
      </c>
    </row>
    <row r="1152" spans="1:44" x14ac:dyDescent="0.25">
      <c r="A1152" t="s">
        <v>3141</v>
      </c>
      <c r="D1152" t="s">
        <v>5107</v>
      </c>
      <c r="E1152" t="s">
        <v>5108</v>
      </c>
      <c r="F1152" t="s">
        <v>1755</v>
      </c>
      <c r="G1152" t="str">
        <f>CONCATENATE(Master_Packing_Database[[#This Row],[Exp '#]],Master_Packing_Database[[#This Row],[Batch '#]])</f>
        <v>GE-IDM-25-001-</v>
      </c>
      <c r="H1152" t="s">
        <v>5109</v>
      </c>
      <c r="I1152" t="s">
        <v>5110</v>
      </c>
      <c r="J1152" t="s">
        <v>117</v>
      </c>
      <c r="K1152" t="s">
        <v>1147</v>
      </c>
      <c r="L1152" t="s">
        <v>975</v>
      </c>
      <c r="M1152" t="s">
        <v>975</v>
      </c>
      <c r="N1152" t="s">
        <v>5111</v>
      </c>
      <c r="O1152" t="s">
        <v>5112</v>
      </c>
      <c r="V1152" t="s">
        <v>4901</v>
      </c>
      <c r="X1152" t="s">
        <v>5113</v>
      </c>
      <c r="Y1152" t="s">
        <v>562</v>
      </c>
      <c r="Z1152" t="s">
        <v>5114</v>
      </c>
      <c r="AB1152" t="s">
        <v>4970</v>
      </c>
      <c r="AE1152" t="s">
        <v>5113</v>
      </c>
      <c r="AG1152" t="s">
        <v>1303</v>
      </c>
      <c r="AI1152" t="s">
        <v>29</v>
      </c>
      <c r="AK1152" t="s">
        <v>5115</v>
      </c>
      <c r="AL1152" t="s">
        <v>3152</v>
      </c>
      <c r="AN1152">
        <v>0</v>
      </c>
      <c r="AO1152" t="s">
        <v>1834</v>
      </c>
      <c r="AP1152" t="s">
        <v>1834</v>
      </c>
      <c r="AQ1152">
        <v>0</v>
      </c>
      <c r="AR1152" t="s">
        <v>1758</v>
      </c>
    </row>
    <row r="1153" spans="1:44" x14ac:dyDescent="0.25">
      <c r="A1153" t="s">
        <v>3141</v>
      </c>
      <c r="D1153" t="s">
        <v>560</v>
      </c>
      <c r="E1153" t="s">
        <v>5116</v>
      </c>
      <c r="F1153" t="s">
        <v>1755</v>
      </c>
      <c r="G1153" t="str">
        <f>CONCATENATE(Master_Packing_Database[[#This Row],[Exp '#]],Master_Packing_Database[[#This Row],[Batch '#]])</f>
        <v>2169th-</v>
      </c>
      <c r="H1153" t="s">
        <v>5117</v>
      </c>
      <c r="I1153" t="s">
        <v>5118</v>
      </c>
      <c r="J1153" t="s">
        <v>117</v>
      </c>
      <c r="K1153" t="s">
        <v>1059</v>
      </c>
      <c r="L1153" t="s">
        <v>835</v>
      </c>
      <c r="M1153" t="s">
        <v>835</v>
      </c>
      <c r="N1153" t="s">
        <v>5119</v>
      </c>
      <c r="O1153" t="s">
        <v>5120</v>
      </c>
      <c r="V1153" t="s">
        <v>5062</v>
      </c>
      <c r="X1153" t="s">
        <v>5113</v>
      </c>
      <c r="Y1153" t="s">
        <v>1072</v>
      </c>
      <c r="Z1153" t="s">
        <v>5114</v>
      </c>
      <c r="AB1153" t="s">
        <v>5065</v>
      </c>
      <c r="AE1153" t="s">
        <v>5113</v>
      </c>
      <c r="AG1153" t="s">
        <v>1303</v>
      </c>
      <c r="AI1153" t="s">
        <v>29</v>
      </c>
      <c r="AK1153" t="s">
        <v>5115</v>
      </c>
      <c r="AL1153" t="s">
        <v>3152</v>
      </c>
      <c r="AN1153">
        <v>0</v>
      </c>
      <c r="AO1153" t="s">
        <v>1834</v>
      </c>
      <c r="AP1153" t="s">
        <v>1834</v>
      </c>
      <c r="AQ1153">
        <v>0</v>
      </c>
      <c r="AR1153" t="s">
        <v>1758</v>
      </c>
    </row>
    <row r="1154" spans="1:44" x14ac:dyDescent="0.25">
      <c r="A1154" t="s">
        <v>3141</v>
      </c>
      <c r="D1154" t="s">
        <v>727</v>
      </c>
      <c r="E1154" t="s">
        <v>5121</v>
      </c>
      <c r="F1154" t="s">
        <v>761</v>
      </c>
      <c r="G1154" t="str">
        <f>CONCATENATE(Master_Packing_Database[[#This Row],[Exp '#]],Master_Packing_Database[[#This Row],[Batch '#]])</f>
        <v>2155th1st</v>
      </c>
      <c r="H1154" t="s">
        <v>5122</v>
      </c>
      <c r="I1154" t="s">
        <v>5123</v>
      </c>
      <c r="J1154" t="s">
        <v>117</v>
      </c>
      <c r="K1154" t="s">
        <v>3578</v>
      </c>
      <c r="L1154" t="s">
        <v>5124</v>
      </c>
      <c r="M1154" t="s">
        <v>3430</v>
      </c>
      <c r="N1154" t="s">
        <v>5125</v>
      </c>
      <c r="O1154" t="s">
        <v>5126</v>
      </c>
      <c r="V1154" t="s">
        <v>5062</v>
      </c>
      <c r="X1154" t="s">
        <v>3723</v>
      </c>
      <c r="Y1154" t="s">
        <v>912</v>
      </c>
      <c r="Z1154" t="s">
        <v>5127</v>
      </c>
      <c r="AB1154" t="s">
        <v>5065</v>
      </c>
      <c r="AE1154" t="s">
        <v>3723</v>
      </c>
      <c r="AG1154" t="s">
        <v>1303</v>
      </c>
      <c r="AI1154" t="s">
        <v>29</v>
      </c>
      <c r="AK1154" t="s">
        <v>5115</v>
      </c>
      <c r="AL1154" t="s">
        <v>3152</v>
      </c>
      <c r="AN1154">
        <v>0</v>
      </c>
      <c r="AO1154" t="s">
        <v>1834</v>
      </c>
      <c r="AP1154" t="s">
        <v>1834</v>
      </c>
      <c r="AQ1154">
        <v>0</v>
      </c>
      <c r="AR1154" t="s">
        <v>1758</v>
      </c>
    </row>
    <row r="1155" spans="1:44" x14ac:dyDescent="0.25">
      <c r="A1155" t="s">
        <v>3141</v>
      </c>
      <c r="D1155" t="s">
        <v>1158</v>
      </c>
      <c r="E1155" t="s">
        <v>5128</v>
      </c>
      <c r="F1155" t="s">
        <v>1755</v>
      </c>
      <c r="G1155" t="str">
        <f>CONCATENATE(Master_Packing_Database[[#This Row],[Exp '#]],Master_Packing_Database[[#This Row],[Batch '#]])</f>
        <v>24-039-</v>
      </c>
      <c r="H1155" t="s">
        <v>5129</v>
      </c>
      <c r="I1155" t="s">
        <v>5130</v>
      </c>
      <c r="J1155" t="s">
        <v>366</v>
      </c>
      <c r="K1155" t="s">
        <v>1147</v>
      </c>
      <c r="L1155" t="s">
        <v>5131</v>
      </c>
      <c r="M1155" t="s">
        <v>1072</v>
      </c>
      <c r="N1155" t="s">
        <v>5132</v>
      </c>
      <c r="O1155" t="s">
        <v>270</v>
      </c>
      <c r="V1155" t="s">
        <v>3636</v>
      </c>
      <c r="X1155" t="s">
        <v>3655</v>
      </c>
      <c r="Y1155" t="s">
        <v>264</v>
      </c>
      <c r="Z1155" t="s">
        <v>3653</v>
      </c>
      <c r="AB1155" t="s">
        <v>5133</v>
      </c>
      <c r="AE1155" t="s">
        <v>3655</v>
      </c>
      <c r="AG1155" t="s">
        <v>1303</v>
      </c>
      <c r="AI1155" t="s">
        <v>29</v>
      </c>
      <c r="AK1155" t="s">
        <v>3705</v>
      </c>
      <c r="AL1155" t="s">
        <v>3152</v>
      </c>
      <c r="AN1155">
        <v>0</v>
      </c>
      <c r="AO1155" t="s">
        <v>1834</v>
      </c>
      <c r="AP1155" t="s">
        <v>1834</v>
      </c>
      <c r="AQ1155">
        <v>0</v>
      </c>
      <c r="AR1155" t="s">
        <v>1758</v>
      </c>
    </row>
    <row r="1156" spans="1:44" x14ac:dyDescent="0.25">
      <c r="A1156" t="s">
        <v>3141</v>
      </c>
      <c r="D1156" t="s">
        <v>5134</v>
      </c>
      <c r="E1156" t="s">
        <v>5135</v>
      </c>
      <c r="F1156" t="s">
        <v>1755</v>
      </c>
      <c r="G1156" t="str">
        <f>CONCATENATE(Master_Packing_Database[[#This Row],[Exp '#]],Master_Packing_Database[[#This Row],[Batch '#]])</f>
        <v>2130th-</v>
      </c>
      <c r="H1156" t="s">
        <v>5136</v>
      </c>
      <c r="I1156" t="s">
        <v>3189</v>
      </c>
      <c r="J1156" t="s">
        <v>117</v>
      </c>
      <c r="K1156" t="s">
        <v>3173</v>
      </c>
      <c r="L1156" t="s">
        <v>376</v>
      </c>
      <c r="M1156" t="s">
        <v>376</v>
      </c>
      <c r="N1156" t="s">
        <v>5137</v>
      </c>
      <c r="O1156" t="s">
        <v>5138</v>
      </c>
      <c r="V1156" t="s">
        <v>5062</v>
      </c>
      <c r="X1156" t="s">
        <v>5139</v>
      </c>
      <c r="Y1156" t="s">
        <v>264</v>
      </c>
      <c r="Z1156" t="s">
        <v>5140</v>
      </c>
      <c r="AB1156" t="s">
        <v>5065</v>
      </c>
      <c r="AE1156" t="s">
        <v>5139</v>
      </c>
      <c r="AG1156" t="s">
        <v>1303</v>
      </c>
      <c r="AI1156" t="s">
        <v>29</v>
      </c>
      <c r="AK1156" t="s">
        <v>5141</v>
      </c>
      <c r="AL1156" t="s">
        <v>3152</v>
      </c>
      <c r="AN1156">
        <v>0</v>
      </c>
      <c r="AO1156" t="s">
        <v>1834</v>
      </c>
      <c r="AP1156" t="s">
        <v>1834</v>
      </c>
      <c r="AQ1156">
        <v>0</v>
      </c>
      <c r="AR1156" t="s">
        <v>1758</v>
      </c>
    </row>
    <row r="1157" spans="1:44" x14ac:dyDescent="0.25">
      <c r="A1157" t="s">
        <v>3141</v>
      </c>
      <c r="D1157" t="s">
        <v>35</v>
      </c>
      <c r="E1157" t="s">
        <v>5142</v>
      </c>
      <c r="F1157" t="s">
        <v>1755</v>
      </c>
      <c r="G1157" t="str">
        <f>CONCATENATE(Master_Packing_Database[[#This Row],[Exp '#]],Master_Packing_Database[[#This Row],[Batch '#]])</f>
        <v>2159th-</v>
      </c>
      <c r="H1157" t="s">
        <v>5143</v>
      </c>
      <c r="I1157" t="s">
        <v>156</v>
      </c>
      <c r="J1157" t="s">
        <v>117</v>
      </c>
      <c r="K1157" t="s">
        <v>5144</v>
      </c>
      <c r="L1157" t="s">
        <v>975</v>
      </c>
      <c r="M1157" t="s">
        <v>975</v>
      </c>
      <c r="N1157" t="s">
        <v>5145</v>
      </c>
      <c r="O1157" t="s">
        <v>5146</v>
      </c>
      <c r="V1157" t="s">
        <v>5062</v>
      </c>
      <c r="X1157" t="s">
        <v>5147</v>
      </c>
      <c r="Y1157" t="s">
        <v>1054</v>
      </c>
      <c r="Z1157" t="s">
        <v>4280</v>
      </c>
      <c r="AB1157" t="s">
        <v>5065</v>
      </c>
      <c r="AE1157" t="s">
        <v>5147</v>
      </c>
      <c r="AG1157" t="s">
        <v>1303</v>
      </c>
      <c r="AI1157" t="s">
        <v>29</v>
      </c>
      <c r="AK1157" t="s">
        <v>5148</v>
      </c>
      <c r="AL1157" t="s">
        <v>3152</v>
      </c>
      <c r="AN1157">
        <v>0</v>
      </c>
      <c r="AO1157" t="s">
        <v>1834</v>
      </c>
      <c r="AP1157" t="s">
        <v>1834</v>
      </c>
      <c r="AQ1157">
        <v>0</v>
      </c>
      <c r="AR1157" t="s">
        <v>1758</v>
      </c>
    </row>
    <row r="1158" spans="1:44" x14ac:dyDescent="0.25">
      <c r="A1158" t="s">
        <v>3141</v>
      </c>
      <c r="D1158" t="s">
        <v>5149</v>
      </c>
      <c r="E1158" t="s">
        <v>5150</v>
      </c>
      <c r="F1158" t="s">
        <v>1755</v>
      </c>
      <c r="G1158" t="str">
        <f>CONCATENATE(Master_Packing_Database[[#This Row],[Exp '#]],Master_Packing_Database[[#This Row],[Batch '#]])</f>
        <v>2195th-</v>
      </c>
      <c r="H1158" t="s">
        <v>5151</v>
      </c>
      <c r="I1158" t="s">
        <v>319</v>
      </c>
      <c r="J1158" t="s">
        <v>366</v>
      </c>
      <c r="K1158" t="s">
        <v>4744</v>
      </c>
      <c r="L1158" t="s">
        <v>975</v>
      </c>
      <c r="M1158" t="s">
        <v>116</v>
      </c>
      <c r="N1158" t="s">
        <v>4244</v>
      </c>
      <c r="O1158" t="s">
        <v>5152</v>
      </c>
      <c r="V1158" t="s">
        <v>5153</v>
      </c>
      <c r="X1158" t="s">
        <v>5154</v>
      </c>
      <c r="Y1158" t="s">
        <v>975</v>
      </c>
      <c r="Z1158" t="s">
        <v>5155</v>
      </c>
      <c r="AB1158" t="s">
        <v>5156</v>
      </c>
      <c r="AE1158" t="s">
        <v>5154</v>
      </c>
      <c r="AG1158" t="s">
        <v>1303</v>
      </c>
      <c r="AI1158" t="s">
        <v>29</v>
      </c>
      <c r="AK1158" t="s">
        <v>5148</v>
      </c>
      <c r="AL1158" t="s">
        <v>3152</v>
      </c>
      <c r="AN1158">
        <v>0</v>
      </c>
      <c r="AO1158" t="s">
        <v>1834</v>
      </c>
      <c r="AP1158" t="s">
        <v>1834</v>
      </c>
      <c r="AQ1158">
        <v>0</v>
      </c>
      <c r="AR1158" t="s">
        <v>1758</v>
      </c>
    </row>
    <row r="1159" spans="1:44" x14ac:dyDescent="0.25">
      <c r="A1159" t="s">
        <v>3141</v>
      </c>
      <c r="D1159" t="s">
        <v>762</v>
      </c>
      <c r="E1159" t="s">
        <v>5157</v>
      </c>
      <c r="F1159" t="s">
        <v>1755</v>
      </c>
      <c r="G1159" t="str">
        <f>CONCATENATE(Master_Packing_Database[[#This Row],[Exp '#]],Master_Packing_Database[[#This Row],[Batch '#]])</f>
        <v>2137th-</v>
      </c>
      <c r="H1159" t="s">
        <v>5158</v>
      </c>
      <c r="I1159" t="s">
        <v>5159</v>
      </c>
      <c r="J1159" t="s">
        <v>117</v>
      </c>
      <c r="K1159" t="s">
        <v>4793</v>
      </c>
      <c r="L1159" t="s">
        <v>599</v>
      </c>
      <c r="M1159" t="s">
        <v>116</v>
      </c>
      <c r="N1159" t="s">
        <v>5160</v>
      </c>
      <c r="O1159" t="s">
        <v>5161</v>
      </c>
      <c r="V1159" t="s">
        <v>5062</v>
      </c>
      <c r="X1159" t="s">
        <v>5139</v>
      </c>
      <c r="Y1159" t="s">
        <v>264</v>
      </c>
      <c r="Z1159" t="s">
        <v>5140</v>
      </c>
      <c r="AB1159" t="s">
        <v>5065</v>
      </c>
      <c r="AE1159" t="s">
        <v>5139</v>
      </c>
      <c r="AG1159" t="s">
        <v>1303</v>
      </c>
      <c r="AI1159" t="s">
        <v>29</v>
      </c>
      <c r="AK1159" t="s">
        <v>5148</v>
      </c>
      <c r="AL1159" t="s">
        <v>3152</v>
      </c>
      <c r="AN1159">
        <v>0</v>
      </c>
      <c r="AO1159" t="s">
        <v>1834</v>
      </c>
      <c r="AP1159" t="s">
        <v>1834</v>
      </c>
      <c r="AQ1159">
        <v>0</v>
      </c>
      <c r="AR1159" t="s">
        <v>1758</v>
      </c>
    </row>
    <row r="1160" spans="1:44" x14ac:dyDescent="0.25">
      <c r="A1160" t="s">
        <v>3141</v>
      </c>
      <c r="D1160" t="s">
        <v>5162</v>
      </c>
      <c r="E1160" t="s">
        <v>5163</v>
      </c>
      <c r="F1160" t="s">
        <v>1755</v>
      </c>
      <c r="G1160" t="str">
        <f>CONCATENATE(Master_Packing_Database[[#This Row],[Exp '#]],Master_Packing_Database[[#This Row],[Batch '#]])</f>
        <v>2166th-</v>
      </c>
      <c r="H1160" t="s">
        <v>5164</v>
      </c>
      <c r="I1160" t="s">
        <v>419</v>
      </c>
      <c r="J1160" t="s">
        <v>117</v>
      </c>
      <c r="K1160" t="s">
        <v>5165</v>
      </c>
      <c r="L1160" t="s">
        <v>116</v>
      </c>
      <c r="M1160" t="s">
        <v>116</v>
      </c>
      <c r="N1160" t="s">
        <v>5166</v>
      </c>
      <c r="O1160" t="s">
        <v>5167</v>
      </c>
      <c r="V1160" t="s">
        <v>5062</v>
      </c>
      <c r="X1160" t="s">
        <v>5139</v>
      </c>
      <c r="Y1160" t="s">
        <v>264</v>
      </c>
      <c r="Z1160" t="s">
        <v>5140</v>
      </c>
      <c r="AB1160" t="s">
        <v>5065</v>
      </c>
      <c r="AE1160" t="s">
        <v>5139</v>
      </c>
      <c r="AG1160" t="s">
        <v>1303</v>
      </c>
      <c r="AI1160" t="s">
        <v>29</v>
      </c>
      <c r="AK1160" t="s">
        <v>5148</v>
      </c>
      <c r="AL1160" t="s">
        <v>3152</v>
      </c>
      <c r="AN1160">
        <v>0</v>
      </c>
      <c r="AO1160" t="s">
        <v>1834</v>
      </c>
      <c r="AP1160" t="s">
        <v>1834</v>
      </c>
      <c r="AQ1160">
        <v>0</v>
      </c>
      <c r="AR1160" t="s">
        <v>1758</v>
      </c>
    </row>
    <row r="1161" spans="1:44" x14ac:dyDescent="0.25">
      <c r="A1161" t="s">
        <v>3141</v>
      </c>
      <c r="D1161" t="s">
        <v>35</v>
      </c>
      <c r="E1161" t="s">
        <v>5168</v>
      </c>
      <c r="F1161" t="s">
        <v>1755</v>
      </c>
      <c r="G1161" t="str">
        <f>CONCATENATE(Master_Packing_Database[[#This Row],[Exp '#]],Master_Packing_Database[[#This Row],[Batch '#]])</f>
        <v>2191st-</v>
      </c>
      <c r="H1161" t="s">
        <v>5169</v>
      </c>
      <c r="I1161" t="s">
        <v>3887</v>
      </c>
      <c r="J1161" t="s">
        <v>117</v>
      </c>
      <c r="K1161" t="s">
        <v>5170</v>
      </c>
      <c r="L1161" t="s">
        <v>599</v>
      </c>
      <c r="M1161" t="s">
        <v>116</v>
      </c>
      <c r="N1161" t="s">
        <v>4174</v>
      </c>
      <c r="O1161" t="s">
        <v>5171</v>
      </c>
      <c r="V1161" t="s">
        <v>5062</v>
      </c>
      <c r="X1161" t="s">
        <v>5154</v>
      </c>
      <c r="Y1161" t="s">
        <v>522</v>
      </c>
      <c r="Z1161" t="s">
        <v>5155</v>
      </c>
      <c r="AB1161" t="s">
        <v>5065</v>
      </c>
      <c r="AE1161" t="s">
        <v>5154</v>
      </c>
      <c r="AG1161" t="s">
        <v>1303</v>
      </c>
      <c r="AI1161" t="s">
        <v>29</v>
      </c>
      <c r="AK1161" t="s">
        <v>5148</v>
      </c>
      <c r="AL1161" t="s">
        <v>3152</v>
      </c>
      <c r="AN1161">
        <v>0</v>
      </c>
      <c r="AO1161" t="s">
        <v>1834</v>
      </c>
      <c r="AP1161" t="s">
        <v>1834</v>
      </c>
      <c r="AQ1161">
        <v>0</v>
      </c>
      <c r="AR1161" t="s">
        <v>1758</v>
      </c>
    </row>
    <row r="1162" spans="1:44" x14ac:dyDescent="0.25">
      <c r="A1162" t="s">
        <v>3141</v>
      </c>
      <c r="D1162" t="s">
        <v>27</v>
      </c>
      <c r="E1162" t="s">
        <v>5172</v>
      </c>
      <c r="F1162" t="s">
        <v>1755</v>
      </c>
      <c r="G1162" t="str">
        <f>CONCATENATE(Master_Packing_Database[[#This Row],[Exp '#]],Master_Packing_Database[[#This Row],[Batch '#]])</f>
        <v>25-005-</v>
      </c>
      <c r="H1162" t="s">
        <v>5173</v>
      </c>
      <c r="I1162" t="s">
        <v>1227</v>
      </c>
      <c r="J1162" t="s">
        <v>366</v>
      </c>
      <c r="K1162" t="s">
        <v>1147</v>
      </c>
      <c r="L1162" t="s">
        <v>453</v>
      </c>
      <c r="M1162" t="s">
        <v>599</v>
      </c>
      <c r="N1162" t="s">
        <v>4318</v>
      </c>
      <c r="O1162" t="s">
        <v>1350</v>
      </c>
      <c r="V1162" t="s">
        <v>4887</v>
      </c>
      <c r="X1162" t="s">
        <v>3720</v>
      </c>
      <c r="Y1162" t="s">
        <v>5174</v>
      </c>
      <c r="Z1162" t="s">
        <v>5175</v>
      </c>
      <c r="AB1162" t="s">
        <v>3455</v>
      </c>
      <c r="AE1162" t="s">
        <v>3720</v>
      </c>
      <c r="AG1162" t="s">
        <v>1303</v>
      </c>
      <c r="AI1162" t="s">
        <v>29</v>
      </c>
      <c r="AK1162" t="s">
        <v>5148</v>
      </c>
      <c r="AL1162" t="s">
        <v>3152</v>
      </c>
      <c r="AN1162">
        <v>0</v>
      </c>
      <c r="AO1162" t="s">
        <v>1834</v>
      </c>
      <c r="AP1162" t="s">
        <v>1834</v>
      </c>
      <c r="AQ1162">
        <v>0</v>
      </c>
      <c r="AR1162" t="s">
        <v>1758</v>
      </c>
    </row>
    <row r="1163" spans="1:44" x14ac:dyDescent="0.25">
      <c r="A1163" t="s">
        <v>3141</v>
      </c>
      <c r="D1163" t="s">
        <v>2719</v>
      </c>
      <c r="E1163" t="s">
        <v>5176</v>
      </c>
      <c r="F1163" t="s">
        <v>1755</v>
      </c>
      <c r="G1163" t="str">
        <f>CONCATENATE(Master_Packing_Database[[#This Row],[Exp '#]],Master_Packing_Database[[#This Row],[Batch '#]])</f>
        <v>2240th-</v>
      </c>
      <c r="H1163" t="s">
        <v>5177</v>
      </c>
      <c r="I1163" t="s">
        <v>5106</v>
      </c>
      <c r="J1163" t="s">
        <v>366</v>
      </c>
      <c r="K1163" t="s">
        <v>1147</v>
      </c>
      <c r="L1163" t="s">
        <v>544</v>
      </c>
      <c r="M1163" t="s">
        <v>116</v>
      </c>
      <c r="N1163" t="s">
        <v>1016</v>
      </c>
      <c r="O1163" t="s">
        <v>1016</v>
      </c>
      <c r="V1163" t="s">
        <v>5178</v>
      </c>
      <c r="X1163" t="s">
        <v>5178</v>
      </c>
      <c r="Y1163" t="s">
        <v>1303</v>
      </c>
      <c r="Z1163" t="s">
        <v>1303</v>
      </c>
      <c r="AB1163" t="s">
        <v>5179</v>
      </c>
      <c r="AE1163" t="s">
        <v>5178</v>
      </c>
      <c r="AG1163" t="s">
        <v>1303</v>
      </c>
      <c r="AI1163" t="s">
        <v>29</v>
      </c>
      <c r="AK1163" t="s">
        <v>5180</v>
      </c>
      <c r="AL1163" t="s">
        <v>3152</v>
      </c>
      <c r="AN1163">
        <v>0</v>
      </c>
      <c r="AO1163" t="s">
        <v>1834</v>
      </c>
      <c r="AP1163" t="s">
        <v>1834</v>
      </c>
      <c r="AQ1163">
        <v>0</v>
      </c>
      <c r="AR1163" t="s">
        <v>1758</v>
      </c>
    </row>
    <row r="1164" spans="1:44" x14ac:dyDescent="0.25">
      <c r="A1164" t="s">
        <v>3141</v>
      </c>
      <c r="D1164" t="s">
        <v>1382</v>
      </c>
      <c r="E1164" t="s">
        <v>5181</v>
      </c>
      <c r="F1164" t="s">
        <v>1755</v>
      </c>
      <c r="G1164" t="str">
        <f>CONCATENATE(Master_Packing_Database[[#This Row],[Exp '#]],Master_Packing_Database[[#This Row],[Batch '#]])</f>
        <v>25-012-</v>
      </c>
      <c r="H1164" t="s">
        <v>5182</v>
      </c>
      <c r="I1164" t="s">
        <v>5183</v>
      </c>
      <c r="J1164" t="s">
        <v>117</v>
      </c>
      <c r="K1164" t="s">
        <v>1147</v>
      </c>
      <c r="L1164" t="s">
        <v>5184</v>
      </c>
      <c r="M1164" t="s">
        <v>599</v>
      </c>
      <c r="N1164" t="s">
        <v>1421</v>
      </c>
      <c r="O1164" t="s">
        <v>4173</v>
      </c>
      <c r="V1164" t="s">
        <v>4115</v>
      </c>
      <c r="X1164" t="s">
        <v>5185</v>
      </c>
      <c r="Y1164" t="s">
        <v>5186</v>
      </c>
      <c r="Z1164" t="s">
        <v>5187</v>
      </c>
      <c r="AB1164" t="s">
        <v>4093</v>
      </c>
      <c r="AE1164" t="s">
        <v>5185</v>
      </c>
      <c r="AG1164" t="s">
        <v>1303</v>
      </c>
      <c r="AI1164" t="s">
        <v>29</v>
      </c>
      <c r="AK1164" t="s">
        <v>5180</v>
      </c>
      <c r="AL1164" t="s">
        <v>3152</v>
      </c>
      <c r="AN1164">
        <v>0</v>
      </c>
      <c r="AO1164" t="s">
        <v>1834</v>
      </c>
      <c r="AP1164" t="s">
        <v>1834</v>
      </c>
      <c r="AQ1164">
        <v>0</v>
      </c>
      <c r="AR1164" t="s">
        <v>1758</v>
      </c>
    </row>
    <row r="1165" spans="1:44" x14ac:dyDescent="0.25">
      <c r="A1165" t="s">
        <v>3141</v>
      </c>
      <c r="D1165" t="s">
        <v>762</v>
      </c>
      <c r="E1165" t="s">
        <v>5188</v>
      </c>
      <c r="F1165" t="s">
        <v>1755</v>
      </c>
      <c r="G1165" t="str">
        <f>CONCATENATE(Master_Packing_Database[[#This Row],[Exp '#]],Master_Packing_Database[[#This Row],[Batch '#]])</f>
        <v>2170th-</v>
      </c>
      <c r="H1165" t="s">
        <v>5189</v>
      </c>
      <c r="I1165" t="s">
        <v>319</v>
      </c>
      <c r="J1165" t="s">
        <v>366</v>
      </c>
      <c r="K1165" t="s">
        <v>1042</v>
      </c>
      <c r="L1165" t="s">
        <v>599</v>
      </c>
      <c r="M1165" t="s">
        <v>116</v>
      </c>
      <c r="N1165" t="s">
        <v>5190</v>
      </c>
      <c r="O1165" t="s">
        <v>3499</v>
      </c>
      <c r="V1165" t="s">
        <v>5191</v>
      </c>
      <c r="X1165" t="s">
        <v>5192</v>
      </c>
      <c r="Y1165" t="s">
        <v>544</v>
      </c>
      <c r="Z1165" t="s">
        <v>5193</v>
      </c>
      <c r="AB1165" t="s">
        <v>5154</v>
      </c>
      <c r="AE1165" t="s">
        <v>5178</v>
      </c>
      <c r="AG1165" t="s">
        <v>3385</v>
      </c>
      <c r="AI1165" t="s">
        <v>29</v>
      </c>
      <c r="AK1165" t="s">
        <v>3724</v>
      </c>
      <c r="AL1165" t="s">
        <v>3152</v>
      </c>
      <c r="AN1165">
        <v>0</v>
      </c>
      <c r="AO1165" t="s">
        <v>1834</v>
      </c>
      <c r="AP1165" t="s">
        <v>1834</v>
      </c>
      <c r="AQ1165">
        <v>0</v>
      </c>
      <c r="AR1165" t="s">
        <v>1758</v>
      </c>
    </row>
    <row r="1166" spans="1:44" x14ac:dyDescent="0.25">
      <c r="A1166" t="s">
        <v>3141</v>
      </c>
      <c r="D1166" t="s">
        <v>4825</v>
      </c>
      <c r="E1166" t="s">
        <v>5194</v>
      </c>
      <c r="F1166" t="s">
        <v>1755</v>
      </c>
      <c r="G1166" t="str">
        <f>CONCATENATE(Master_Packing_Database[[#This Row],[Exp '#]],Master_Packing_Database[[#This Row],[Batch '#]])</f>
        <v>25-008-</v>
      </c>
      <c r="H1166" t="s">
        <v>5195</v>
      </c>
      <c r="I1166" t="s">
        <v>2971</v>
      </c>
      <c r="J1166" t="s">
        <v>1371</v>
      </c>
      <c r="K1166" t="s">
        <v>1147</v>
      </c>
      <c r="L1166" t="s">
        <v>544</v>
      </c>
      <c r="M1166" t="s">
        <v>116</v>
      </c>
      <c r="N1166" t="s">
        <v>1030</v>
      </c>
      <c r="O1166" t="s">
        <v>1030</v>
      </c>
      <c r="V1166" t="s">
        <v>4887</v>
      </c>
      <c r="X1166" t="s">
        <v>5196</v>
      </c>
      <c r="Y1166" t="s">
        <v>4187</v>
      </c>
      <c r="Z1166" t="s">
        <v>5197</v>
      </c>
      <c r="AB1166" t="s">
        <v>3455</v>
      </c>
      <c r="AE1166" t="s">
        <v>5196</v>
      </c>
      <c r="AG1166" t="s">
        <v>1303</v>
      </c>
      <c r="AI1166" t="s">
        <v>29</v>
      </c>
      <c r="AK1166" t="s">
        <v>5198</v>
      </c>
      <c r="AL1166" t="s">
        <v>3152</v>
      </c>
      <c r="AN1166">
        <v>0</v>
      </c>
      <c r="AO1166" t="s">
        <v>1834</v>
      </c>
      <c r="AP1166" t="s">
        <v>1834</v>
      </c>
      <c r="AQ1166">
        <v>0</v>
      </c>
      <c r="AR1166" t="s">
        <v>1758</v>
      </c>
    </row>
    <row r="1167" spans="1:44" x14ac:dyDescent="0.25">
      <c r="A1167" t="s">
        <v>3141</v>
      </c>
      <c r="D1167" t="s">
        <v>727</v>
      </c>
      <c r="E1167" t="s">
        <v>5121</v>
      </c>
      <c r="F1167" t="s">
        <v>422</v>
      </c>
      <c r="G1167" t="str">
        <f>CONCATENATE(Master_Packing_Database[[#This Row],[Exp '#]],Master_Packing_Database[[#This Row],[Batch '#]])</f>
        <v>2155th2nd</v>
      </c>
      <c r="H1167" t="s">
        <v>5199</v>
      </c>
      <c r="I1167" t="s">
        <v>5200</v>
      </c>
      <c r="J1167" t="s">
        <v>117</v>
      </c>
      <c r="K1167" t="s">
        <v>3970</v>
      </c>
      <c r="L1167" t="s">
        <v>606</v>
      </c>
      <c r="M1167" t="s">
        <v>376</v>
      </c>
      <c r="N1167" t="s">
        <v>5201</v>
      </c>
      <c r="O1167" t="s">
        <v>5202</v>
      </c>
      <c r="V1167" t="s">
        <v>5062</v>
      </c>
      <c r="X1167" t="s">
        <v>5203</v>
      </c>
      <c r="Y1167" t="s">
        <v>3295</v>
      </c>
      <c r="Z1167" t="s">
        <v>5204</v>
      </c>
      <c r="AB1167" t="s">
        <v>5065</v>
      </c>
      <c r="AE1167" t="s">
        <v>5196</v>
      </c>
      <c r="AG1167" t="s">
        <v>5205</v>
      </c>
      <c r="AI1167" t="s">
        <v>29</v>
      </c>
      <c r="AK1167" t="s">
        <v>5198</v>
      </c>
      <c r="AL1167" t="s">
        <v>3152</v>
      </c>
      <c r="AN1167">
        <v>0</v>
      </c>
      <c r="AO1167" t="s">
        <v>1834</v>
      </c>
      <c r="AP1167" t="s">
        <v>1834</v>
      </c>
      <c r="AQ1167">
        <v>0</v>
      </c>
      <c r="AR1167" t="s">
        <v>1758</v>
      </c>
    </row>
    <row r="1168" spans="1:44" x14ac:dyDescent="0.25">
      <c r="A1168" t="s">
        <v>3141</v>
      </c>
      <c r="D1168" t="s">
        <v>2719</v>
      </c>
      <c r="E1168" t="s">
        <v>5176</v>
      </c>
      <c r="F1168" t="s">
        <v>422</v>
      </c>
      <c r="G1168" t="str">
        <f>CONCATENATE(Master_Packing_Database[[#This Row],[Exp '#]],Master_Packing_Database[[#This Row],[Batch '#]])</f>
        <v>2240th2nd</v>
      </c>
      <c r="H1168" t="s">
        <v>5177</v>
      </c>
      <c r="I1168" t="s">
        <v>5106</v>
      </c>
      <c r="J1168" t="s">
        <v>366</v>
      </c>
      <c r="K1168" t="s">
        <v>1147</v>
      </c>
      <c r="L1168" t="s">
        <v>1054</v>
      </c>
      <c r="M1168" t="s">
        <v>599</v>
      </c>
      <c r="N1168" t="s">
        <v>3392</v>
      </c>
      <c r="O1168" t="s">
        <v>3392</v>
      </c>
      <c r="V1168" t="s">
        <v>5206</v>
      </c>
      <c r="X1168" t="s">
        <v>5206</v>
      </c>
      <c r="Y1168" t="s">
        <v>1303</v>
      </c>
      <c r="Z1168" t="s">
        <v>5207</v>
      </c>
      <c r="AB1168" t="s">
        <v>5208</v>
      </c>
      <c r="AE1168" t="s">
        <v>5206</v>
      </c>
      <c r="AG1168" t="s">
        <v>1303</v>
      </c>
      <c r="AI1168" t="s">
        <v>29</v>
      </c>
      <c r="AK1168" t="s">
        <v>5209</v>
      </c>
      <c r="AL1168" t="s">
        <v>3152</v>
      </c>
      <c r="AN1168">
        <v>0</v>
      </c>
      <c r="AO1168" t="s">
        <v>1834</v>
      </c>
      <c r="AP1168" t="s">
        <v>1834</v>
      </c>
      <c r="AQ1168">
        <v>0</v>
      </c>
      <c r="AR1168" t="s">
        <v>1758</v>
      </c>
    </row>
    <row r="1169" spans="1:44" x14ac:dyDescent="0.25">
      <c r="A1169" t="s">
        <v>3141</v>
      </c>
      <c r="D1169" t="s">
        <v>5210</v>
      </c>
      <c r="E1169" t="s">
        <v>5211</v>
      </c>
      <c r="F1169" t="s">
        <v>5212</v>
      </c>
      <c r="G1169" t="str">
        <f>CONCATENATE(Master_Packing_Database[[#This Row],[Exp '#]],Master_Packing_Database[[#This Row],[Batch '#]])</f>
        <v>2197thPart Load with 2195th</v>
      </c>
      <c r="H1169" t="s">
        <v>5213</v>
      </c>
      <c r="I1169" t="s">
        <v>319</v>
      </c>
      <c r="J1169" t="s">
        <v>366</v>
      </c>
      <c r="K1169" t="s">
        <v>3399</v>
      </c>
      <c r="L1169" t="s">
        <v>835</v>
      </c>
      <c r="M1169" t="s">
        <v>116</v>
      </c>
      <c r="N1169" t="s">
        <v>5214</v>
      </c>
      <c r="O1169" t="s">
        <v>5215</v>
      </c>
      <c r="V1169" t="s">
        <v>5062</v>
      </c>
      <c r="X1169" t="s">
        <v>5206</v>
      </c>
      <c r="Y1169" t="s">
        <v>529</v>
      </c>
      <c r="Z1169" t="s">
        <v>5207</v>
      </c>
      <c r="AB1169" t="s">
        <v>5065</v>
      </c>
      <c r="AE1169" t="s">
        <v>5206</v>
      </c>
      <c r="AG1169" t="s">
        <v>1303</v>
      </c>
      <c r="AI1169" t="s">
        <v>29</v>
      </c>
      <c r="AK1169" t="s">
        <v>5216</v>
      </c>
      <c r="AL1169" t="s">
        <v>3152</v>
      </c>
      <c r="AN1169">
        <v>0</v>
      </c>
      <c r="AO1169" t="s">
        <v>1834</v>
      </c>
      <c r="AP1169" t="s">
        <v>1834</v>
      </c>
      <c r="AQ1169">
        <v>0</v>
      </c>
      <c r="AR1169" t="s">
        <v>1758</v>
      </c>
    </row>
    <row r="1170" spans="1:44" x14ac:dyDescent="0.25">
      <c r="A1170" t="s">
        <v>3141</v>
      </c>
      <c r="D1170" t="s">
        <v>518</v>
      </c>
      <c r="E1170" t="s">
        <v>5217</v>
      </c>
      <c r="F1170" t="s">
        <v>1755</v>
      </c>
      <c r="G1170" t="str">
        <f>CONCATENATE(Master_Packing_Database[[#This Row],[Exp '#]],Master_Packing_Database[[#This Row],[Batch '#]])</f>
        <v>2201St-</v>
      </c>
      <c r="H1170" t="s">
        <v>5218</v>
      </c>
      <c r="I1170" t="s">
        <v>5219</v>
      </c>
      <c r="J1170" t="s">
        <v>366</v>
      </c>
      <c r="K1170" t="s">
        <v>3578</v>
      </c>
      <c r="L1170" t="s">
        <v>599</v>
      </c>
      <c r="M1170" t="s">
        <v>599</v>
      </c>
      <c r="N1170" t="s">
        <v>5220</v>
      </c>
      <c r="O1170" t="s">
        <v>5221</v>
      </c>
      <c r="V1170" t="s">
        <v>5222</v>
      </c>
      <c r="X1170" t="s">
        <v>5222</v>
      </c>
      <c r="Y1170" t="s">
        <v>1303</v>
      </c>
      <c r="Z1170" t="s">
        <v>5223</v>
      </c>
      <c r="AB1170" t="s">
        <v>3721</v>
      </c>
      <c r="AE1170" t="s">
        <v>5222</v>
      </c>
      <c r="AG1170" t="s">
        <v>1303</v>
      </c>
      <c r="AI1170" t="s">
        <v>29</v>
      </c>
      <c r="AK1170" t="s">
        <v>3733</v>
      </c>
      <c r="AL1170" t="s">
        <v>3152</v>
      </c>
      <c r="AN1170">
        <v>0</v>
      </c>
      <c r="AO1170" t="s">
        <v>1834</v>
      </c>
      <c r="AP1170" t="s">
        <v>1834</v>
      </c>
      <c r="AQ1170">
        <v>0</v>
      </c>
      <c r="AR1170" t="s">
        <v>1758</v>
      </c>
    </row>
    <row r="1171" spans="1:44" x14ac:dyDescent="0.25">
      <c r="A1171" t="s">
        <v>3141</v>
      </c>
      <c r="D1171" t="s">
        <v>311</v>
      </c>
      <c r="E1171" t="s">
        <v>5224</v>
      </c>
      <c r="F1171" t="s">
        <v>1755</v>
      </c>
      <c r="G1171" t="str">
        <f>CONCATENATE(Master_Packing_Database[[#This Row],[Exp '#]],Master_Packing_Database[[#This Row],[Batch '#]])</f>
        <v>2198th-</v>
      </c>
      <c r="H1171" t="s">
        <v>5225</v>
      </c>
      <c r="I1171" t="s">
        <v>115</v>
      </c>
      <c r="J1171" t="s">
        <v>117</v>
      </c>
      <c r="K1171" t="s">
        <v>3372</v>
      </c>
      <c r="L1171" t="s">
        <v>835</v>
      </c>
      <c r="M1171" t="s">
        <v>835</v>
      </c>
      <c r="N1171" t="s">
        <v>210</v>
      </c>
      <c r="O1171" t="s">
        <v>5226</v>
      </c>
      <c r="V1171" t="s">
        <v>3730</v>
      </c>
      <c r="X1171" t="s">
        <v>3730</v>
      </c>
      <c r="Y1171" t="s">
        <v>1303</v>
      </c>
      <c r="Z1171" t="s">
        <v>5227</v>
      </c>
      <c r="AB1171" t="s">
        <v>3732</v>
      </c>
      <c r="AE1171" t="s">
        <v>3730</v>
      </c>
      <c r="AG1171" t="s">
        <v>1303</v>
      </c>
      <c r="AI1171" t="s">
        <v>29</v>
      </c>
      <c r="AK1171" t="s">
        <v>3733</v>
      </c>
      <c r="AL1171" t="s">
        <v>3152</v>
      </c>
      <c r="AN1171">
        <v>0</v>
      </c>
      <c r="AO1171" t="s">
        <v>1834</v>
      </c>
      <c r="AP1171" t="s">
        <v>1834</v>
      </c>
      <c r="AQ1171">
        <v>0</v>
      </c>
      <c r="AR1171" t="s">
        <v>1758</v>
      </c>
    </row>
    <row r="1172" spans="1:44" x14ac:dyDescent="0.25">
      <c r="A1172" t="s">
        <v>3141</v>
      </c>
      <c r="D1172" t="s">
        <v>1158</v>
      </c>
      <c r="E1172" t="s">
        <v>5228</v>
      </c>
      <c r="F1172" t="s">
        <v>1755</v>
      </c>
      <c r="G1172" t="str">
        <f>CONCATENATE(Master_Packing_Database[[#This Row],[Exp '#]],Master_Packing_Database[[#This Row],[Batch '#]])</f>
        <v>25-006-</v>
      </c>
      <c r="H1172" t="s">
        <v>5229</v>
      </c>
      <c r="I1172" t="s">
        <v>1227</v>
      </c>
      <c r="J1172" t="s">
        <v>117</v>
      </c>
      <c r="K1172" t="s">
        <v>1147</v>
      </c>
      <c r="L1172" t="s">
        <v>435</v>
      </c>
      <c r="M1172" t="s">
        <v>975</v>
      </c>
      <c r="N1172" t="s">
        <v>5230</v>
      </c>
      <c r="O1172" t="s">
        <v>5231</v>
      </c>
      <c r="V1172" t="s">
        <v>4887</v>
      </c>
      <c r="X1172" t="s">
        <v>3723</v>
      </c>
      <c r="Y1172" t="s">
        <v>5232</v>
      </c>
      <c r="Z1172" t="s">
        <v>5127</v>
      </c>
      <c r="AB1172" t="s">
        <v>3455</v>
      </c>
      <c r="AE1172" t="s">
        <v>3723</v>
      </c>
      <c r="AG1172" t="s">
        <v>1303</v>
      </c>
      <c r="AI1172" t="s">
        <v>29</v>
      </c>
      <c r="AK1172" t="s">
        <v>3746</v>
      </c>
      <c r="AL1172" t="s">
        <v>3152</v>
      </c>
      <c r="AN1172">
        <v>0</v>
      </c>
      <c r="AO1172" t="s">
        <v>1834</v>
      </c>
      <c r="AP1172" t="s">
        <v>1834</v>
      </c>
      <c r="AQ1172">
        <v>0</v>
      </c>
      <c r="AR1172" t="s">
        <v>1758</v>
      </c>
    </row>
    <row r="1173" spans="1:44" x14ac:dyDescent="0.25">
      <c r="A1173" t="s">
        <v>3141</v>
      </c>
      <c r="D1173" t="s">
        <v>1158</v>
      </c>
      <c r="E1173" t="s">
        <v>5233</v>
      </c>
      <c r="F1173" t="s">
        <v>1755</v>
      </c>
      <c r="G1173" t="str">
        <f>CONCATENATE(Master_Packing_Database[[#This Row],[Exp '#]],Master_Packing_Database[[#This Row],[Batch '#]])</f>
        <v>25-011-</v>
      </c>
      <c r="H1173" t="s">
        <v>5234</v>
      </c>
      <c r="I1173" t="s">
        <v>5235</v>
      </c>
      <c r="J1173" t="s">
        <v>366</v>
      </c>
      <c r="K1173" t="s">
        <v>1147</v>
      </c>
      <c r="L1173" t="s">
        <v>3412</v>
      </c>
      <c r="M1173" t="s">
        <v>116</v>
      </c>
      <c r="N1173" t="s">
        <v>5236</v>
      </c>
      <c r="O1173" t="s">
        <v>965</v>
      </c>
      <c r="V1173" t="s">
        <v>4887</v>
      </c>
      <c r="X1173" t="s">
        <v>5237</v>
      </c>
      <c r="Y1173" t="s">
        <v>3042</v>
      </c>
      <c r="Z1173" t="s">
        <v>5238</v>
      </c>
      <c r="AB1173" t="s">
        <v>3455</v>
      </c>
      <c r="AE1173" t="s">
        <v>5237</v>
      </c>
      <c r="AG1173" t="s">
        <v>1303</v>
      </c>
      <c r="AI1173" t="s">
        <v>29</v>
      </c>
      <c r="AK1173" t="s">
        <v>3746</v>
      </c>
      <c r="AL1173" t="s">
        <v>3152</v>
      </c>
      <c r="AN1173">
        <v>0</v>
      </c>
      <c r="AO1173" t="s">
        <v>1834</v>
      </c>
      <c r="AP1173" t="s">
        <v>1834</v>
      </c>
      <c r="AQ1173">
        <v>0</v>
      </c>
      <c r="AR1173" t="s">
        <v>1758</v>
      </c>
    </row>
    <row r="1174" spans="1:44" x14ac:dyDescent="0.25">
      <c r="A1174" t="s">
        <v>3141</v>
      </c>
      <c r="D1174" t="s">
        <v>4880</v>
      </c>
      <c r="E1174" t="s">
        <v>5239</v>
      </c>
      <c r="F1174" t="s">
        <v>1755</v>
      </c>
      <c r="G1174" t="str">
        <f>CONCATENATE(Master_Packing_Database[[#This Row],[Exp '#]],Master_Packing_Database[[#This Row],[Batch '#]])</f>
        <v>25-001-</v>
      </c>
      <c r="H1174" t="s">
        <v>5240</v>
      </c>
      <c r="I1174" t="s">
        <v>1227</v>
      </c>
      <c r="J1174" t="s">
        <v>4792</v>
      </c>
      <c r="K1174" t="s">
        <v>1147</v>
      </c>
      <c r="L1174" t="s">
        <v>1054</v>
      </c>
      <c r="M1174" t="s">
        <v>599</v>
      </c>
      <c r="N1174" t="s">
        <v>5241</v>
      </c>
      <c r="O1174" t="s">
        <v>4811</v>
      </c>
      <c r="V1174" t="s">
        <v>4901</v>
      </c>
      <c r="X1174" t="s">
        <v>5242</v>
      </c>
      <c r="Y1174" t="s">
        <v>4230</v>
      </c>
      <c r="Z1174" t="s">
        <v>5243</v>
      </c>
      <c r="AB1174" t="s">
        <v>5244</v>
      </c>
      <c r="AE1174" t="s">
        <v>5242</v>
      </c>
      <c r="AG1174" t="s">
        <v>1303</v>
      </c>
      <c r="AI1174" t="s">
        <v>29</v>
      </c>
      <c r="AK1174" t="s">
        <v>3746</v>
      </c>
      <c r="AL1174" t="s">
        <v>3152</v>
      </c>
      <c r="AN1174">
        <v>0</v>
      </c>
      <c r="AO1174" t="s">
        <v>1834</v>
      </c>
      <c r="AP1174" t="s">
        <v>1834</v>
      </c>
      <c r="AQ1174">
        <v>0</v>
      </c>
      <c r="AR1174" t="s">
        <v>1758</v>
      </c>
    </row>
    <row r="1175" spans="1:44" x14ac:dyDescent="0.25">
      <c r="A1175" t="s">
        <v>3141</v>
      </c>
      <c r="D1175" t="s">
        <v>1090</v>
      </c>
      <c r="E1175" t="s">
        <v>5245</v>
      </c>
      <c r="F1175" t="s">
        <v>1755</v>
      </c>
      <c r="G1175" t="str">
        <f>CONCATENATE(Master_Packing_Database[[#This Row],[Exp '#]],Master_Packing_Database[[#This Row],[Batch '#]])</f>
        <v>2192nd-</v>
      </c>
      <c r="H1175" t="s">
        <v>5246</v>
      </c>
      <c r="I1175" t="s">
        <v>5247</v>
      </c>
      <c r="J1175" t="s">
        <v>117</v>
      </c>
      <c r="K1175" t="s">
        <v>3426</v>
      </c>
      <c r="L1175" t="s">
        <v>4939</v>
      </c>
      <c r="M1175" t="s">
        <v>116</v>
      </c>
      <c r="N1175" t="s">
        <v>5232</v>
      </c>
      <c r="O1175" t="s">
        <v>3878</v>
      </c>
      <c r="V1175" t="s">
        <v>5248</v>
      </c>
      <c r="X1175" t="s">
        <v>5248</v>
      </c>
      <c r="Y1175" t="s">
        <v>1303</v>
      </c>
      <c r="Z1175" t="s">
        <v>5249</v>
      </c>
      <c r="AB1175" t="s">
        <v>5250</v>
      </c>
      <c r="AE1175" t="s">
        <v>5248</v>
      </c>
      <c r="AG1175" t="s">
        <v>1303</v>
      </c>
      <c r="AI1175" t="s">
        <v>29</v>
      </c>
      <c r="AK1175" t="s">
        <v>5251</v>
      </c>
      <c r="AL1175" t="s">
        <v>3152</v>
      </c>
      <c r="AN1175">
        <v>0</v>
      </c>
      <c r="AO1175" t="s">
        <v>1834</v>
      </c>
      <c r="AP1175" t="s">
        <v>1834</v>
      </c>
      <c r="AQ1175">
        <v>0</v>
      </c>
      <c r="AR1175" t="s">
        <v>1758</v>
      </c>
    </row>
    <row r="1176" spans="1:44" x14ac:dyDescent="0.25">
      <c r="A1176" t="s">
        <v>3141</v>
      </c>
      <c r="D1176" t="s">
        <v>5134</v>
      </c>
      <c r="E1176" t="s">
        <v>5252</v>
      </c>
      <c r="F1176" t="s">
        <v>1755</v>
      </c>
      <c r="G1176" t="str">
        <f>CONCATENATE(Master_Packing_Database[[#This Row],[Exp '#]],Master_Packing_Database[[#This Row],[Batch '#]])</f>
        <v>2154th-</v>
      </c>
      <c r="H1176" t="s">
        <v>5253</v>
      </c>
      <c r="I1176" t="s">
        <v>5254</v>
      </c>
      <c r="J1176" t="s">
        <v>117</v>
      </c>
      <c r="K1176" t="s">
        <v>4288</v>
      </c>
      <c r="L1176" t="s">
        <v>827</v>
      </c>
      <c r="M1176" t="s">
        <v>599</v>
      </c>
      <c r="N1176" t="s">
        <v>5255</v>
      </c>
      <c r="O1176" t="s">
        <v>5256</v>
      </c>
      <c r="V1176" t="s">
        <v>5248</v>
      </c>
      <c r="X1176" t="s">
        <v>5248</v>
      </c>
      <c r="Y1176" t="s">
        <v>1303</v>
      </c>
      <c r="Z1176" t="s">
        <v>5249</v>
      </c>
      <c r="AB1176" t="s">
        <v>5250</v>
      </c>
      <c r="AE1176" t="s">
        <v>5248</v>
      </c>
      <c r="AG1176" t="s">
        <v>1303</v>
      </c>
      <c r="AI1176" t="s">
        <v>29</v>
      </c>
      <c r="AK1176" t="s">
        <v>5251</v>
      </c>
      <c r="AL1176" t="s">
        <v>3152</v>
      </c>
      <c r="AN1176">
        <v>0</v>
      </c>
      <c r="AO1176" t="s">
        <v>1834</v>
      </c>
      <c r="AP1176" t="s">
        <v>1834</v>
      </c>
      <c r="AQ1176">
        <v>0</v>
      </c>
      <c r="AR1176" t="s">
        <v>1758</v>
      </c>
    </row>
    <row r="1177" spans="1:44" x14ac:dyDescent="0.25">
      <c r="A1177" t="s">
        <v>3141</v>
      </c>
      <c r="D1177" t="s">
        <v>2719</v>
      </c>
      <c r="E1177" t="s">
        <v>5257</v>
      </c>
      <c r="F1177" t="s">
        <v>1755</v>
      </c>
      <c r="G1177" t="str">
        <f>CONCATENATE(Master_Packing_Database[[#This Row],[Exp '#]],Master_Packing_Database[[#This Row],[Batch '#]])</f>
        <v>2248th-</v>
      </c>
      <c r="H1177" t="s">
        <v>5258</v>
      </c>
      <c r="I1177" t="s">
        <v>5259</v>
      </c>
      <c r="J1177" t="s">
        <v>366</v>
      </c>
      <c r="K1177" t="s">
        <v>1059</v>
      </c>
      <c r="L1177" t="s">
        <v>116</v>
      </c>
      <c r="M1177" t="s">
        <v>116</v>
      </c>
      <c r="N1177" t="s">
        <v>596</v>
      </c>
      <c r="O1177" t="s">
        <v>4081</v>
      </c>
      <c r="V1177" t="s">
        <v>32</v>
      </c>
      <c r="X1177" t="s">
        <v>5260</v>
      </c>
      <c r="Z1177" t="s">
        <v>5261</v>
      </c>
      <c r="AE1177" t="s">
        <v>5262</v>
      </c>
      <c r="AG1177" t="s">
        <v>2654</v>
      </c>
      <c r="AI1177" t="s">
        <v>29</v>
      </c>
      <c r="AK1177" t="s">
        <v>3773</v>
      </c>
      <c r="AL1177" t="s">
        <v>3152</v>
      </c>
      <c r="AN1177">
        <v>0</v>
      </c>
      <c r="AO1177" t="s">
        <v>1834</v>
      </c>
      <c r="AP1177" t="s">
        <v>1834</v>
      </c>
      <c r="AQ1177">
        <v>0</v>
      </c>
      <c r="AR1177" t="s">
        <v>1758</v>
      </c>
    </row>
    <row r="1178" spans="1:44" x14ac:dyDescent="0.25">
      <c r="A1178" t="s">
        <v>3141</v>
      </c>
      <c r="D1178" t="s">
        <v>2719</v>
      </c>
      <c r="E1178" t="s">
        <v>5263</v>
      </c>
      <c r="F1178" t="s">
        <v>1755</v>
      </c>
      <c r="G1178" t="str">
        <f>CONCATENATE(Master_Packing_Database[[#This Row],[Exp '#]],Master_Packing_Database[[#This Row],[Batch '#]])</f>
        <v>2117 ( IOL MEMO NO. 205 )-</v>
      </c>
      <c r="H1178" t="s">
        <v>5264</v>
      </c>
      <c r="I1178" t="s">
        <v>5265</v>
      </c>
      <c r="J1178" t="s">
        <v>117</v>
      </c>
      <c r="K1178" t="s">
        <v>3701</v>
      </c>
      <c r="L1178" t="s">
        <v>116</v>
      </c>
      <c r="M1178" t="s">
        <v>116</v>
      </c>
      <c r="N1178" t="s">
        <v>5266</v>
      </c>
      <c r="O1178" t="s">
        <v>5267</v>
      </c>
      <c r="V1178" t="s">
        <v>32</v>
      </c>
      <c r="X1178" t="s">
        <v>5260</v>
      </c>
      <c r="Z1178" t="s">
        <v>5261</v>
      </c>
      <c r="AE1178" t="s">
        <v>5262</v>
      </c>
      <c r="AG1178" t="s">
        <v>2654</v>
      </c>
      <c r="AI1178" t="s">
        <v>29</v>
      </c>
      <c r="AK1178" t="s">
        <v>3773</v>
      </c>
      <c r="AL1178" t="s">
        <v>3152</v>
      </c>
      <c r="AN1178">
        <v>0</v>
      </c>
      <c r="AO1178" t="s">
        <v>1834</v>
      </c>
      <c r="AP1178" t="s">
        <v>1834</v>
      </c>
      <c r="AQ1178">
        <v>0</v>
      </c>
      <c r="AR1178" t="s">
        <v>1758</v>
      </c>
    </row>
    <row r="1179" spans="1:44" x14ac:dyDescent="0.25">
      <c r="A1179" t="s">
        <v>3141</v>
      </c>
      <c r="D1179" t="s">
        <v>5268</v>
      </c>
      <c r="E1179" t="s">
        <v>5269</v>
      </c>
      <c r="F1179" t="s">
        <v>1755</v>
      </c>
      <c r="G1179" t="str">
        <f>CONCATENATE(Master_Packing_Database[[#This Row],[Exp '#]],Master_Packing_Database[[#This Row],[Batch '#]])</f>
        <v>2199th-</v>
      </c>
      <c r="H1179" t="s">
        <v>5270</v>
      </c>
      <c r="I1179" t="s">
        <v>5271</v>
      </c>
      <c r="J1179" t="s">
        <v>117</v>
      </c>
      <c r="K1179" t="s">
        <v>5272</v>
      </c>
      <c r="L1179" t="s">
        <v>599</v>
      </c>
      <c r="M1179" t="s">
        <v>116</v>
      </c>
      <c r="N1179" t="s">
        <v>353</v>
      </c>
      <c r="O1179" t="s">
        <v>5273</v>
      </c>
      <c r="V1179" t="s">
        <v>32</v>
      </c>
      <c r="X1179" t="s">
        <v>5274</v>
      </c>
      <c r="Z1179" t="s">
        <v>5275</v>
      </c>
      <c r="AE1179" t="s">
        <v>5274</v>
      </c>
      <c r="AG1179" t="s">
        <v>1303</v>
      </c>
      <c r="AI1179" t="s">
        <v>29</v>
      </c>
      <c r="AK1179" t="s">
        <v>3773</v>
      </c>
      <c r="AL1179" t="s">
        <v>3152</v>
      </c>
      <c r="AN1179">
        <v>0</v>
      </c>
      <c r="AO1179" t="s">
        <v>1834</v>
      </c>
      <c r="AP1179" t="s">
        <v>1834</v>
      </c>
      <c r="AQ1179">
        <v>0</v>
      </c>
      <c r="AR1179" t="s">
        <v>1758</v>
      </c>
    </row>
    <row r="1180" spans="1:44" x14ac:dyDescent="0.25">
      <c r="A1180" t="s">
        <v>3141</v>
      </c>
      <c r="D1180" t="s">
        <v>4473</v>
      </c>
      <c r="E1180" t="s">
        <v>5276</v>
      </c>
      <c r="F1180" t="s">
        <v>1755</v>
      </c>
      <c r="G1180" t="str">
        <f>CONCATENATE(Master_Packing_Database[[#This Row],[Exp '#]],Master_Packing_Database[[#This Row],[Batch '#]])</f>
        <v>2188th-</v>
      </c>
      <c r="H1180" t="s">
        <v>5277</v>
      </c>
      <c r="I1180" t="s">
        <v>5278</v>
      </c>
      <c r="J1180" t="s">
        <v>117</v>
      </c>
      <c r="K1180" t="s">
        <v>4793</v>
      </c>
      <c r="L1180" t="s">
        <v>599</v>
      </c>
      <c r="M1180" t="s">
        <v>599</v>
      </c>
      <c r="N1180" t="s">
        <v>5279</v>
      </c>
      <c r="O1180" t="s">
        <v>5280</v>
      </c>
      <c r="V1180" t="s">
        <v>32</v>
      </c>
      <c r="X1180" t="s">
        <v>3783</v>
      </c>
      <c r="Z1180" t="s">
        <v>5281</v>
      </c>
      <c r="AE1180" t="s">
        <v>3783</v>
      </c>
      <c r="AG1180" t="s">
        <v>1303</v>
      </c>
      <c r="AI1180" t="s">
        <v>29</v>
      </c>
      <c r="AK1180" t="s">
        <v>3793</v>
      </c>
      <c r="AL1180" t="s">
        <v>3152</v>
      </c>
      <c r="AN1180">
        <v>0</v>
      </c>
      <c r="AO1180" t="s">
        <v>1834</v>
      </c>
      <c r="AP1180" t="s">
        <v>1834</v>
      </c>
      <c r="AQ1180">
        <v>0</v>
      </c>
      <c r="AR1180" t="s">
        <v>1758</v>
      </c>
    </row>
    <row r="1181" spans="1:44" x14ac:dyDescent="0.25">
      <c r="A1181" t="s">
        <v>3141</v>
      </c>
      <c r="D1181" t="s">
        <v>5282</v>
      </c>
      <c r="E1181" t="s">
        <v>5283</v>
      </c>
      <c r="F1181" t="s">
        <v>5212</v>
      </c>
      <c r="G1181" t="str">
        <f>CONCATENATE(Master_Packing_Database[[#This Row],[Exp '#]],Master_Packing_Database[[#This Row],[Batch '#]])</f>
        <v>2196thPart Load with 2195th</v>
      </c>
      <c r="H1181" t="s">
        <v>5284</v>
      </c>
      <c r="I1181" t="s">
        <v>319</v>
      </c>
      <c r="J1181" t="s">
        <v>366</v>
      </c>
      <c r="K1181" t="s">
        <v>3238</v>
      </c>
      <c r="L1181" t="s">
        <v>975</v>
      </c>
      <c r="M1181" t="s">
        <v>116</v>
      </c>
      <c r="N1181" t="s">
        <v>5285</v>
      </c>
      <c r="O1181" t="s">
        <v>5286</v>
      </c>
      <c r="V1181" t="s">
        <v>32</v>
      </c>
      <c r="X1181" t="s">
        <v>3781</v>
      </c>
      <c r="Z1181" t="s">
        <v>3782</v>
      </c>
      <c r="AE1181" t="s">
        <v>3781</v>
      </c>
      <c r="AG1181" t="s">
        <v>1303</v>
      </c>
      <c r="AI1181" t="s">
        <v>29</v>
      </c>
      <c r="AK1181" t="s">
        <v>3793</v>
      </c>
      <c r="AL1181" t="s">
        <v>3152</v>
      </c>
      <c r="AN1181">
        <v>0</v>
      </c>
      <c r="AO1181" t="s">
        <v>1834</v>
      </c>
      <c r="AP1181" t="s">
        <v>1834</v>
      </c>
      <c r="AQ1181">
        <v>0</v>
      </c>
      <c r="AR1181" t="s">
        <v>1758</v>
      </c>
    </row>
    <row r="1182" spans="1:44" x14ac:dyDescent="0.25">
      <c r="A1182" t="s">
        <v>3141</v>
      </c>
      <c r="D1182" t="s">
        <v>4880</v>
      </c>
      <c r="E1182" t="s">
        <v>5287</v>
      </c>
      <c r="F1182" t="s">
        <v>1755</v>
      </c>
      <c r="G1182" t="str">
        <f>CONCATENATE(Master_Packing_Database[[#This Row],[Exp '#]],Master_Packing_Database[[#This Row],[Batch '#]])</f>
        <v>24-036-</v>
      </c>
      <c r="H1182" t="s">
        <v>5288</v>
      </c>
      <c r="I1182" t="s">
        <v>5289</v>
      </c>
      <c r="J1182" t="s">
        <v>117</v>
      </c>
      <c r="K1182" t="s">
        <v>1147</v>
      </c>
      <c r="L1182" t="s">
        <v>2569</v>
      </c>
      <c r="M1182" t="s">
        <v>599</v>
      </c>
      <c r="N1182" t="s">
        <v>5290</v>
      </c>
      <c r="O1182" t="s">
        <v>5291</v>
      </c>
      <c r="V1182" t="s">
        <v>4887</v>
      </c>
      <c r="X1182" t="s">
        <v>5237</v>
      </c>
      <c r="Y1182" t="s">
        <v>3042</v>
      </c>
      <c r="Z1182" t="s">
        <v>5238</v>
      </c>
      <c r="AB1182" t="s">
        <v>3455</v>
      </c>
      <c r="AE1182" t="s">
        <v>5237</v>
      </c>
      <c r="AG1182" t="s">
        <v>1303</v>
      </c>
      <c r="AI1182" t="s">
        <v>29</v>
      </c>
      <c r="AK1182" t="s">
        <v>3793</v>
      </c>
      <c r="AL1182" t="s">
        <v>3152</v>
      </c>
      <c r="AN1182">
        <v>0</v>
      </c>
      <c r="AO1182" t="s">
        <v>1834</v>
      </c>
      <c r="AP1182" t="s">
        <v>1834</v>
      </c>
      <c r="AQ1182">
        <v>0</v>
      </c>
      <c r="AR1182" t="s">
        <v>1758</v>
      </c>
    </row>
    <row r="1183" spans="1:44" x14ac:dyDescent="0.25">
      <c r="A1183" t="s">
        <v>3141</v>
      </c>
      <c r="D1183" t="s">
        <v>1050</v>
      </c>
      <c r="E1183" t="s">
        <v>5292</v>
      </c>
      <c r="F1183" t="s">
        <v>761</v>
      </c>
      <c r="G1183" t="str">
        <f>CONCATENATE(Master_Packing_Database[[#This Row],[Exp '#]],Master_Packing_Database[[#This Row],[Batch '#]])</f>
        <v>2202nd1st</v>
      </c>
      <c r="H1183" t="s">
        <v>5293</v>
      </c>
      <c r="I1183" t="s">
        <v>4333</v>
      </c>
      <c r="J1183" t="s">
        <v>117</v>
      </c>
      <c r="K1183" t="s">
        <v>3173</v>
      </c>
      <c r="L1183" t="s">
        <v>4315</v>
      </c>
      <c r="M1183" t="s">
        <v>2579</v>
      </c>
      <c r="N1183" t="s">
        <v>5294</v>
      </c>
      <c r="O1183" t="s">
        <v>5295</v>
      </c>
      <c r="V1183" t="s">
        <v>32</v>
      </c>
      <c r="X1183" t="s">
        <v>3781</v>
      </c>
      <c r="AE1183" t="s">
        <v>1755</v>
      </c>
      <c r="AI1183" t="s">
        <v>29</v>
      </c>
      <c r="AK1183" t="s">
        <v>3793</v>
      </c>
      <c r="AL1183" t="s">
        <v>3152</v>
      </c>
      <c r="AN1183">
        <v>0</v>
      </c>
      <c r="AO1183" t="s">
        <v>1834</v>
      </c>
      <c r="AP1183" t="s">
        <v>1834</v>
      </c>
      <c r="AQ1183">
        <v>0</v>
      </c>
      <c r="AR1183" t="s">
        <v>1835</v>
      </c>
    </row>
    <row r="1184" spans="1:44" x14ac:dyDescent="0.25">
      <c r="A1184" t="s">
        <v>3141</v>
      </c>
      <c r="D1184" t="s">
        <v>731</v>
      </c>
      <c r="E1184" t="s">
        <v>5296</v>
      </c>
      <c r="F1184" t="s">
        <v>5297</v>
      </c>
      <c r="G1184" t="str">
        <f>CONCATENATE(Master_Packing_Database[[#This Row],[Exp '#]],Master_Packing_Database[[#This Row],[Batch '#]])</f>
        <v>2174thPart Load with 2184</v>
      </c>
      <c r="H1184" t="s">
        <v>5298</v>
      </c>
      <c r="I1184" t="s">
        <v>5299</v>
      </c>
      <c r="J1184" t="s">
        <v>4792</v>
      </c>
      <c r="K1184" t="s">
        <v>1042</v>
      </c>
      <c r="L1184" t="s">
        <v>5300</v>
      </c>
      <c r="M1184" t="s">
        <v>912</v>
      </c>
      <c r="N1184" t="s">
        <v>5301</v>
      </c>
      <c r="O1184" t="s">
        <v>5302</v>
      </c>
      <c r="V1184" t="s">
        <v>32</v>
      </c>
      <c r="X1184" t="s">
        <v>3751</v>
      </c>
      <c r="Z1184" t="s">
        <v>3596</v>
      </c>
      <c r="AE1184" t="s">
        <v>3751</v>
      </c>
      <c r="AG1184" t="s">
        <v>1303</v>
      </c>
      <c r="AI1184" t="s">
        <v>29</v>
      </c>
      <c r="AK1184" t="s">
        <v>5303</v>
      </c>
      <c r="AL1184" t="s">
        <v>3152</v>
      </c>
      <c r="AN1184">
        <v>0</v>
      </c>
      <c r="AO1184" t="s">
        <v>1834</v>
      </c>
      <c r="AP1184" t="s">
        <v>1834</v>
      </c>
      <c r="AQ1184">
        <v>0</v>
      </c>
      <c r="AR1184" t="s">
        <v>1758</v>
      </c>
    </row>
    <row r="1185" spans="1:44" x14ac:dyDescent="0.25">
      <c r="A1185" t="s">
        <v>3141</v>
      </c>
      <c r="D1185" t="s">
        <v>731</v>
      </c>
      <c r="E1185" t="s">
        <v>5304</v>
      </c>
      <c r="F1185" t="s">
        <v>5297</v>
      </c>
      <c r="G1185" t="str">
        <f>CONCATENATE(Master_Packing_Database[[#This Row],[Exp '#]],Master_Packing_Database[[#This Row],[Batch '#]])</f>
        <v>2184thPart Load with 2184</v>
      </c>
      <c r="H1185" t="s">
        <v>5305</v>
      </c>
      <c r="I1185" t="s">
        <v>5306</v>
      </c>
      <c r="J1185" t="s">
        <v>4792</v>
      </c>
      <c r="K1185" t="s">
        <v>1042</v>
      </c>
      <c r="L1185" t="s">
        <v>5307</v>
      </c>
      <c r="V1185" t="s">
        <v>32</v>
      </c>
      <c r="X1185" t="s">
        <v>3808</v>
      </c>
      <c r="AE1185" t="s">
        <v>1755</v>
      </c>
      <c r="AI1185" t="s">
        <v>29</v>
      </c>
      <c r="AK1185" t="s">
        <v>5303</v>
      </c>
      <c r="AL1185" t="s">
        <v>3152</v>
      </c>
      <c r="AN1185">
        <v>0</v>
      </c>
      <c r="AO1185" t="s">
        <v>1834</v>
      </c>
      <c r="AP1185" t="s">
        <v>1834</v>
      </c>
      <c r="AQ1185">
        <v>0</v>
      </c>
      <c r="AR1185" t="s">
        <v>1835</v>
      </c>
    </row>
    <row r="1186" spans="1:44" x14ac:dyDescent="0.25">
      <c r="A1186" t="s">
        <v>3141</v>
      </c>
      <c r="D1186" t="s">
        <v>5308</v>
      </c>
      <c r="E1186" t="s">
        <v>5309</v>
      </c>
      <c r="F1186" t="s">
        <v>1755</v>
      </c>
      <c r="G1186" t="str">
        <f>CONCATENATE(Master_Packing_Database[[#This Row],[Exp '#]],Master_Packing_Database[[#This Row],[Batch '#]])</f>
        <v>2193rd-</v>
      </c>
      <c r="H1186" t="s">
        <v>5310</v>
      </c>
      <c r="I1186" t="s">
        <v>2622</v>
      </c>
      <c r="J1186" t="s">
        <v>117</v>
      </c>
      <c r="K1186" t="s">
        <v>4698</v>
      </c>
      <c r="L1186" t="s">
        <v>116</v>
      </c>
      <c r="M1186" t="s">
        <v>116</v>
      </c>
      <c r="N1186" t="s">
        <v>5311</v>
      </c>
      <c r="O1186" t="s">
        <v>5312</v>
      </c>
      <c r="V1186" t="s">
        <v>32</v>
      </c>
      <c r="X1186" t="s">
        <v>3808</v>
      </c>
      <c r="AE1186" t="s">
        <v>1755</v>
      </c>
      <c r="AI1186" t="s">
        <v>29</v>
      </c>
      <c r="AK1186" t="s">
        <v>5303</v>
      </c>
      <c r="AL1186" t="s">
        <v>3152</v>
      </c>
      <c r="AN1186">
        <v>0</v>
      </c>
      <c r="AO1186" t="s">
        <v>1834</v>
      </c>
      <c r="AP1186" t="s">
        <v>1834</v>
      </c>
      <c r="AQ1186">
        <v>0</v>
      </c>
      <c r="AR1186" t="s">
        <v>1835</v>
      </c>
    </row>
    <row r="1187" spans="1:44" x14ac:dyDescent="0.25">
      <c r="A1187" t="s">
        <v>3141</v>
      </c>
      <c r="D1187" t="s">
        <v>1398</v>
      </c>
      <c r="E1187" t="s">
        <v>5313</v>
      </c>
      <c r="F1187" t="s">
        <v>1755</v>
      </c>
      <c r="G1187" t="str">
        <f>CONCATENATE(Master_Packing_Database[[#This Row],[Exp '#]],Master_Packing_Database[[#This Row],[Batch '#]])</f>
        <v>25-015-</v>
      </c>
      <c r="H1187" t="s">
        <v>5314</v>
      </c>
      <c r="I1187" t="s">
        <v>5315</v>
      </c>
      <c r="J1187" t="s">
        <v>366</v>
      </c>
      <c r="K1187" t="s">
        <v>1147</v>
      </c>
      <c r="L1187" t="s">
        <v>2710</v>
      </c>
      <c r="M1187" t="s">
        <v>599</v>
      </c>
      <c r="N1187" t="s">
        <v>334</v>
      </c>
      <c r="O1187" t="s">
        <v>3845</v>
      </c>
      <c r="V1187" t="s">
        <v>5316</v>
      </c>
      <c r="X1187" t="s">
        <v>5317</v>
      </c>
      <c r="Y1187" t="s">
        <v>5207</v>
      </c>
      <c r="Z1187" t="s">
        <v>5318</v>
      </c>
      <c r="AB1187" t="s">
        <v>5319</v>
      </c>
      <c r="AE1187" t="s">
        <v>5317</v>
      </c>
      <c r="AG1187" t="s">
        <v>1303</v>
      </c>
      <c r="AI1187" t="s">
        <v>29</v>
      </c>
      <c r="AK1187" t="s">
        <v>5320</v>
      </c>
      <c r="AL1187" t="s">
        <v>3152</v>
      </c>
      <c r="AN1187">
        <v>0</v>
      </c>
      <c r="AO1187" t="s">
        <v>1834</v>
      </c>
      <c r="AP1187" t="s">
        <v>1834</v>
      </c>
      <c r="AQ1187">
        <v>0</v>
      </c>
      <c r="AR1187" t="s">
        <v>1758</v>
      </c>
    </row>
    <row r="1188" spans="1:44" x14ac:dyDescent="0.25">
      <c r="A1188" t="s">
        <v>3141</v>
      </c>
      <c r="D1188" t="s">
        <v>5321</v>
      </c>
      <c r="E1188" t="s">
        <v>5322</v>
      </c>
      <c r="F1188" t="s">
        <v>1755</v>
      </c>
      <c r="G1188" t="str">
        <f>CONCATENATE(Master_Packing_Database[[#This Row],[Exp '#]],Master_Packing_Database[[#This Row],[Batch '#]])</f>
        <v>2209th-</v>
      </c>
      <c r="H1188" t="s">
        <v>5323</v>
      </c>
      <c r="I1188" t="s">
        <v>5219</v>
      </c>
      <c r="J1188" t="s">
        <v>117</v>
      </c>
      <c r="K1188" t="s">
        <v>3372</v>
      </c>
      <c r="L1188" t="s">
        <v>544</v>
      </c>
      <c r="M1188" t="s">
        <v>544</v>
      </c>
      <c r="N1188" t="s">
        <v>411</v>
      </c>
      <c r="O1188" t="s">
        <v>5324</v>
      </c>
      <c r="V1188" t="s">
        <v>32</v>
      </c>
      <c r="X1188" t="s">
        <v>5325</v>
      </c>
      <c r="Z1188" t="s">
        <v>5326</v>
      </c>
      <c r="AE1188" t="s">
        <v>5325</v>
      </c>
      <c r="AG1188" t="s">
        <v>1303</v>
      </c>
      <c r="AI1188" t="s">
        <v>29</v>
      </c>
      <c r="AK1188" t="s">
        <v>5327</v>
      </c>
      <c r="AL1188" t="s">
        <v>3152</v>
      </c>
      <c r="AN1188">
        <v>0</v>
      </c>
      <c r="AO1188" t="s">
        <v>1834</v>
      </c>
      <c r="AP1188" t="s">
        <v>1834</v>
      </c>
      <c r="AQ1188">
        <v>0</v>
      </c>
      <c r="AR1188" t="s">
        <v>1758</v>
      </c>
    </row>
    <row r="1189" spans="1:44" x14ac:dyDescent="0.25">
      <c r="A1189" t="s">
        <v>3141</v>
      </c>
      <c r="D1189" t="s">
        <v>837</v>
      </c>
      <c r="E1189" t="s">
        <v>5328</v>
      </c>
      <c r="F1189" t="s">
        <v>5329</v>
      </c>
      <c r="G1189" t="str">
        <f>CONCATENATE(Master_Packing_Database[[#This Row],[Exp '#]],Master_Packing_Database[[#This Row],[Batch '#]])</f>
        <v>2226thLC  1st</v>
      </c>
      <c r="H1189" t="s">
        <v>5330</v>
      </c>
      <c r="I1189" t="s">
        <v>5331</v>
      </c>
      <c r="J1189" t="s">
        <v>117</v>
      </c>
      <c r="K1189" t="s">
        <v>3399</v>
      </c>
      <c r="L1189" t="s">
        <v>1072</v>
      </c>
      <c r="M1189" t="s">
        <v>1072</v>
      </c>
      <c r="N1189" t="s">
        <v>5332</v>
      </c>
      <c r="O1189" t="s">
        <v>5333</v>
      </c>
      <c r="V1189" t="s">
        <v>32</v>
      </c>
      <c r="X1189" t="s">
        <v>3806</v>
      </c>
      <c r="AE1189" t="s">
        <v>1755</v>
      </c>
      <c r="AI1189" t="s">
        <v>29</v>
      </c>
      <c r="AK1189" t="s">
        <v>5334</v>
      </c>
      <c r="AL1189" t="s">
        <v>3152</v>
      </c>
      <c r="AN1189">
        <v>0</v>
      </c>
      <c r="AO1189" t="s">
        <v>1834</v>
      </c>
      <c r="AP1189" t="s">
        <v>1834</v>
      </c>
      <c r="AQ1189">
        <v>0</v>
      </c>
      <c r="AR1189" t="s">
        <v>1835</v>
      </c>
    </row>
    <row r="1190" spans="1:44" x14ac:dyDescent="0.25">
      <c r="A1190" t="s">
        <v>3141</v>
      </c>
      <c r="D1190" t="s">
        <v>5335</v>
      </c>
      <c r="E1190" t="s">
        <v>5336</v>
      </c>
      <c r="F1190" t="s">
        <v>1755</v>
      </c>
      <c r="G1190" t="str">
        <f>CONCATENATE(Master_Packing_Database[[#This Row],[Exp '#]],Master_Packing_Database[[#This Row],[Batch '#]])</f>
        <v>2264th-</v>
      </c>
      <c r="H1190" t="s">
        <v>5337</v>
      </c>
      <c r="I1190" t="s">
        <v>5338</v>
      </c>
      <c r="J1190" t="s">
        <v>366</v>
      </c>
      <c r="K1190" t="s">
        <v>1147</v>
      </c>
      <c r="L1190" t="s">
        <v>1419</v>
      </c>
      <c r="M1190" t="s">
        <v>116</v>
      </c>
      <c r="N1190" t="s">
        <v>912</v>
      </c>
      <c r="O1190" t="s">
        <v>912</v>
      </c>
      <c r="V1190" t="s">
        <v>32</v>
      </c>
      <c r="X1190" t="s">
        <v>3806</v>
      </c>
      <c r="Z1190" t="s">
        <v>656</v>
      </c>
      <c r="AE1190" t="s">
        <v>5339</v>
      </c>
      <c r="AG1190" t="s">
        <v>116</v>
      </c>
      <c r="AI1190" t="s">
        <v>29</v>
      </c>
      <c r="AK1190" t="s">
        <v>5327</v>
      </c>
      <c r="AL1190" t="s">
        <v>3152</v>
      </c>
      <c r="AN1190">
        <v>0</v>
      </c>
      <c r="AO1190" t="s">
        <v>1834</v>
      </c>
      <c r="AP1190" t="s">
        <v>1834</v>
      </c>
      <c r="AQ1190">
        <v>0</v>
      </c>
      <c r="AR1190" t="s">
        <v>1758</v>
      </c>
    </row>
    <row r="1191" spans="1:44" x14ac:dyDescent="0.25">
      <c r="A1191" t="s">
        <v>3141</v>
      </c>
      <c r="D1191" t="s">
        <v>834</v>
      </c>
      <c r="E1191" t="s">
        <v>5340</v>
      </c>
      <c r="F1191" t="s">
        <v>1755</v>
      </c>
      <c r="G1191" t="str">
        <f>CONCATENATE(Master_Packing_Database[[#This Row],[Exp '#]],Master_Packing_Database[[#This Row],[Batch '#]])</f>
        <v>2176th-</v>
      </c>
      <c r="H1191" t="s">
        <v>5341</v>
      </c>
      <c r="I1191" t="s">
        <v>295</v>
      </c>
      <c r="J1191" t="s">
        <v>117</v>
      </c>
      <c r="K1191" t="s">
        <v>3227</v>
      </c>
      <c r="L1191" t="s">
        <v>835</v>
      </c>
      <c r="M1191" t="s">
        <v>835</v>
      </c>
      <c r="N1191" t="s">
        <v>5342</v>
      </c>
      <c r="O1191" t="s">
        <v>5343</v>
      </c>
      <c r="V1191" t="s">
        <v>32</v>
      </c>
      <c r="X1191" t="s">
        <v>3814</v>
      </c>
      <c r="AE1191" t="s">
        <v>1755</v>
      </c>
      <c r="AI1191" t="s">
        <v>29</v>
      </c>
      <c r="AK1191" t="s">
        <v>3802</v>
      </c>
      <c r="AL1191" t="s">
        <v>3152</v>
      </c>
      <c r="AN1191">
        <v>0</v>
      </c>
      <c r="AO1191" t="s">
        <v>1834</v>
      </c>
      <c r="AP1191" t="s">
        <v>1834</v>
      </c>
      <c r="AQ1191">
        <v>0</v>
      </c>
      <c r="AR1191" t="s">
        <v>1835</v>
      </c>
    </row>
    <row r="1192" spans="1:44" x14ac:dyDescent="0.25">
      <c r="A1192" t="s">
        <v>3141</v>
      </c>
      <c r="D1192" t="s">
        <v>834</v>
      </c>
      <c r="E1192" t="s">
        <v>5344</v>
      </c>
      <c r="F1192" t="s">
        <v>5345</v>
      </c>
      <c r="G1192" t="str">
        <f>CONCATENATE(Master_Packing_Database[[#This Row],[Exp '#]],Master_Packing_Database[[#This Row],[Batch '#]])</f>
        <v>IOL MEMO No. 208Part Load with 2176</v>
      </c>
      <c r="H1192" t="s">
        <v>5346</v>
      </c>
      <c r="I1192" t="s">
        <v>5347</v>
      </c>
      <c r="J1192" t="s">
        <v>366</v>
      </c>
      <c r="L1192" t="s">
        <v>599</v>
      </c>
      <c r="M1192" t="s">
        <v>599</v>
      </c>
      <c r="V1192" t="s">
        <v>32</v>
      </c>
      <c r="X1192" t="s">
        <v>5348</v>
      </c>
      <c r="AE1192" t="s">
        <v>1755</v>
      </c>
      <c r="AI1192" t="s">
        <v>29</v>
      </c>
      <c r="AK1192" t="s">
        <v>3802</v>
      </c>
      <c r="AL1192" t="s">
        <v>3152</v>
      </c>
      <c r="AN1192">
        <v>0</v>
      </c>
      <c r="AO1192" t="s">
        <v>1834</v>
      </c>
      <c r="AP1192" t="s">
        <v>1834</v>
      </c>
      <c r="AQ1192">
        <v>0</v>
      </c>
      <c r="AR1192" t="s">
        <v>1835</v>
      </c>
    </row>
    <row r="1193" spans="1:44" x14ac:dyDescent="0.25">
      <c r="A1193" t="s">
        <v>3141</v>
      </c>
      <c r="D1193" t="s">
        <v>38</v>
      </c>
      <c r="E1193" t="s">
        <v>5349</v>
      </c>
      <c r="F1193" t="s">
        <v>5350</v>
      </c>
      <c r="G1193" t="str">
        <f>CONCATENATE(Master_Packing_Database[[#This Row],[Exp '#]],Master_Packing_Database[[#This Row],[Batch '#]])</f>
        <v>2225thLC 1st</v>
      </c>
      <c r="H1193" t="s">
        <v>5351</v>
      </c>
      <c r="I1193" t="s">
        <v>111</v>
      </c>
      <c r="J1193" t="s">
        <v>117</v>
      </c>
      <c r="K1193" t="s">
        <v>1042</v>
      </c>
      <c r="L1193" t="s">
        <v>5352</v>
      </c>
      <c r="M1193" t="s">
        <v>376</v>
      </c>
      <c r="N1193" t="s">
        <v>5353</v>
      </c>
      <c r="O1193" t="s">
        <v>5354</v>
      </c>
      <c r="V1193" t="s">
        <v>32</v>
      </c>
      <c r="X1193" t="s">
        <v>5355</v>
      </c>
      <c r="AE1193" t="s">
        <v>1755</v>
      </c>
      <c r="AI1193" t="s">
        <v>29</v>
      </c>
      <c r="AK1193" t="s">
        <v>3802</v>
      </c>
      <c r="AL1193" t="s">
        <v>3152</v>
      </c>
      <c r="AN1193">
        <v>0</v>
      </c>
      <c r="AO1193" t="s">
        <v>1834</v>
      </c>
      <c r="AP1193" t="s">
        <v>1834</v>
      </c>
      <c r="AQ1193">
        <v>0</v>
      </c>
      <c r="AR1193" t="s">
        <v>1835</v>
      </c>
    </row>
    <row r="1194" spans="1:44" x14ac:dyDescent="0.25">
      <c r="A1194" t="s">
        <v>3141</v>
      </c>
      <c r="D1194" t="s">
        <v>4825</v>
      </c>
      <c r="E1194" t="s">
        <v>5194</v>
      </c>
      <c r="F1194" t="s">
        <v>1755</v>
      </c>
      <c r="G1194" t="str">
        <f>CONCATENATE(Master_Packing_Database[[#This Row],[Exp '#]],Master_Packing_Database[[#This Row],[Batch '#]])</f>
        <v>25-008-</v>
      </c>
      <c r="H1194" t="s">
        <v>5195</v>
      </c>
      <c r="I1194" t="s">
        <v>2971</v>
      </c>
      <c r="J1194" t="s">
        <v>5356</v>
      </c>
      <c r="K1194" t="s">
        <v>1147</v>
      </c>
      <c r="L1194" t="s">
        <v>3430</v>
      </c>
      <c r="M1194" t="s">
        <v>116</v>
      </c>
      <c r="N1194" t="s">
        <v>1054</v>
      </c>
      <c r="O1194" t="s">
        <v>1054</v>
      </c>
      <c r="V1194" t="s">
        <v>4887</v>
      </c>
      <c r="X1194" t="s">
        <v>5357</v>
      </c>
      <c r="Y1194" t="s">
        <v>5358</v>
      </c>
      <c r="AB1194" t="s">
        <v>3455</v>
      </c>
      <c r="AE1194" t="s">
        <v>1755</v>
      </c>
      <c r="AI1194" t="s">
        <v>29</v>
      </c>
      <c r="AK1194" t="s">
        <v>3802</v>
      </c>
      <c r="AL1194" t="s">
        <v>3152</v>
      </c>
      <c r="AN1194">
        <v>0</v>
      </c>
      <c r="AO1194" t="s">
        <v>1834</v>
      </c>
      <c r="AP1194" t="s">
        <v>1834</v>
      </c>
      <c r="AQ1194">
        <v>0</v>
      </c>
      <c r="AR1194" t="s">
        <v>1835</v>
      </c>
    </row>
    <row r="1195" spans="1:44" x14ac:dyDescent="0.25">
      <c r="A1195" t="s">
        <v>3141</v>
      </c>
      <c r="D1195" t="s">
        <v>2713</v>
      </c>
      <c r="E1195" t="s">
        <v>5359</v>
      </c>
      <c r="F1195" t="s">
        <v>1755</v>
      </c>
      <c r="G1195" t="str">
        <f>CONCATENATE(Master_Packing_Database[[#This Row],[Exp '#]],Master_Packing_Database[[#This Row],[Batch '#]])</f>
        <v>2181st-</v>
      </c>
      <c r="H1195" t="s">
        <v>5360</v>
      </c>
      <c r="I1195" t="s">
        <v>5361</v>
      </c>
      <c r="J1195" t="s">
        <v>117</v>
      </c>
      <c r="K1195" t="s">
        <v>3173</v>
      </c>
      <c r="L1195" t="s">
        <v>116</v>
      </c>
      <c r="M1195" t="s">
        <v>3392</v>
      </c>
      <c r="N1195" t="s">
        <v>5362</v>
      </c>
      <c r="O1195" t="s">
        <v>5363</v>
      </c>
      <c r="V1195" t="s">
        <v>32</v>
      </c>
      <c r="X1195" t="s">
        <v>5364</v>
      </c>
      <c r="Y1195" t="s">
        <v>5365</v>
      </c>
      <c r="Z1195" t="s">
        <v>5366</v>
      </c>
      <c r="AE1195" t="s">
        <v>5364</v>
      </c>
      <c r="AG1195" t="s">
        <v>1303</v>
      </c>
      <c r="AI1195" t="s">
        <v>29</v>
      </c>
      <c r="AK1195" t="s">
        <v>3809</v>
      </c>
      <c r="AL1195" t="s">
        <v>3152</v>
      </c>
      <c r="AN1195">
        <v>0</v>
      </c>
      <c r="AO1195" t="s">
        <v>1834</v>
      </c>
      <c r="AP1195" t="s">
        <v>1834</v>
      </c>
      <c r="AQ1195">
        <v>0</v>
      </c>
      <c r="AR1195" t="s">
        <v>1758</v>
      </c>
    </row>
    <row r="1196" spans="1:44" x14ac:dyDescent="0.25">
      <c r="A1196" t="s">
        <v>3141</v>
      </c>
      <c r="D1196" t="s">
        <v>1158</v>
      </c>
      <c r="E1196" t="s">
        <v>5367</v>
      </c>
      <c r="F1196" t="s">
        <v>1755</v>
      </c>
      <c r="G1196" t="str">
        <f>CONCATENATE(Master_Packing_Database[[#This Row],[Exp '#]],Master_Packing_Database[[#This Row],[Batch '#]])</f>
        <v>25-010-</v>
      </c>
      <c r="H1196" t="s">
        <v>5368</v>
      </c>
      <c r="I1196" t="s">
        <v>1227</v>
      </c>
      <c r="J1196" t="s">
        <v>366</v>
      </c>
      <c r="K1196" t="s">
        <v>1147</v>
      </c>
      <c r="L1196" t="s">
        <v>151</v>
      </c>
      <c r="M1196" t="s">
        <v>599</v>
      </c>
      <c r="N1196" t="s">
        <v>1063</v>
      </c>
      <c r="O1196" t="s">
        <v>5369</v>
      </c>
      <c r="V1196" t="s">
        <v>5316</v>
      </c>
      <c r="X1196" t="s">
        <v>5260</v>
      </c>
      <c r="Y1196" t="s">
        <v>5370</v>
      </c>
      <c r="Z1196" t="s">
        <v>5371</v>
      </c>
      <c r="AB1196" t="s">
        <v>5319</v>
      </c>
      <c r="AE1196" t="s">
        <v>5260</v>
      </c>
      <c r="AG1196" t="s">
        <v>1303</v>
      </c>
      <c r="AI1196" t="s">
        <v>29</v>
      </c>
      <c r="AK1196" t="s">
        <v>3809</v>
      </c>
      <c r="AL1196" t="s">
        <v>3152</v>
      </c>
      <c r="AN1196">
        <v>0</v>
      </c>
      <c r="AO1196" t="s">
        <v>1834</v>
      </c>
      <c r="AP1196" t="s">
        <v>1834</v>
      </c>
      <c r="AQ1196">
        <v>0</v>
      </c>
      <c r="AR1196" t="s">
        <v>1758</v>
      </c>
    </row>
    <row r="1197" spans="1:44" x14ac:dyDescent="0.25">
      <c r="A1197" t="s">
        <v>3141</v>
      </c>
      <c r="D1197" t="s">
        <v>1090</v>
      </c>
      <c r="E1197" t="s">
        <v>5372</v>
      </c>
      <c r="F1197" t="s">
        <v>1755</v>
      </c>
      <c r="G1197" t="str">
        <f>CONCATENATE(Master_Packing_Database[[#This Row],[Exp '#]],Master_Packing_Database[[#This Row],[Batch '#]])</f>
        <v>2251st-</v>
      </c>
      <c r="H1197" t="s">
        <v>5373</v>
      </c>
      <c r="I1197" t="s">
        <v>5374</v>
      </c>
      <c r="J1197" t="s">
        <v>366</v>
      </c>
      <c r="K1197" t="s">
        <v>3757</v>
      </c>
      <c r="L1197" t="s">
        <v>5375</v>
      </c>
      <c r="M1197" t="s">
        <v>116</v>
      </c>
      <c r="N1197" t="s">
        <v>255</v>
      </c>
      <c r="O1197" t="s">
        <v>328</v>
      </c>
      <c r="V1197" t="s">
        <v>32</v>
      </c>
      <c r="X1197" t="s">
        <v>5364</v>
      </c>
      <c r="Y1197" t="s">
        <v>5365</v>
      </c>
      <c r="Z1197" t="s">
        <v>5376</v>
      </c>
      <c r="AE1197" t="s">
        <v>5364</v>
      </c>
      <c r="AG1197" t="s">
        <v>1303</v>
      </c>
      <c r="AI1197" t="s">
        <v>29</v>
      </c>
      <c r="AK1197" t="s">
        <v>3841</v>
      </c>
      <c r="AL1197" t="s">
        <v>3152</v>
      </c>
      <c r="AN1197">
        <v>0</v>
      </c>
      <c r="AO1197" t="s">
        <v>1834</v>
      </c>
      <c r="AP1197" t="s">
        <v>1834</v>
      </c>
      <c r="AQ1197">
        <v>0</v>
      </c>
      <c r="AR1197" t="s">
        <v>1758</v>
      </c>
    </row>
    <row r="1198" spans="1:44" x14ac:dyDescent="0.25">
      <c r="A1198" t="s">
        <v>3141</v>
      </c>
      <c r="D1198" t="s">
        <v>487</v>
      </c>
      <c r="E1198" t="s">
        <v>5377</v>
      </c>
      <c r="F1198" t="s">
        <v>1755</v>
      </c>
      <c r="G1198" t="str">
        <f>CONCATENATE(Master_Packing_Database[[#This Row],[Exp '#]],Master_Packing_Database[[#This Row],[Batch '#]])</f>
        <v>2221st-</v>
      </c>
      <c r="H1198" t="s">
        <v>5378</v>
      </c>
      <c r="I1198" t="s">
        <v>319</v>
      </c>
      <c r="J1198" t="s">
        <v>366</v>
      </c>
      <c r="K1198" t="s">
        <v>3796</v>
      </c>
      <c r="L1198" t="s">
        <v>544</v>
      </c>
      <c r="M1198" t="s">
        <v>116</v>
      </c>
      <c r="N1198" t="s">
        <v>4183</v>
      </c>
      <c r="O1198" t="s">
        <v>5379</v>
      </c>
      <c r="V1198" t="s">
        <v>32</v>
      </c>
      <c r="X1198" t="s">
        <v>5380</v>
      </c>
      <c r="Z1198" t="s">
        <v>5381</v>
      </c>
      <c r="AE1198" t="s">
        <v>5380</v>
      </c>
      <c r="AG1198" t="s">
        <v>1303</v>
      </c>
      <c r="AI1198" t="s">
        <v>29</v>
      </c>
      <c r="AK1198" t="s">
        <v>3841</v>
      </c>
      <c r="AL1198" t="s">
        <v>3152</v>
      </c>
      <c r="AN1198">
        <v>0</v>
      </c>
      <c r="AO1198" t="s">
        <v>1834</v>
      </c>
      <c r="AP1198" t="s">
        <v>1834</v>
      </c>
      <c r="AQ1198">
        <v>0</v>
      </c>
      <c r="AR1198" t="s">
        <v>1758</v>
      </c>
    </row>
    <row r="1199" spans="1:44" x14ac:dyDescent="0.25">
      <c r="A1199" t="s">
        <v>3141</v>
      </c>
      <c r="D1199" t="s">
        <v>837</v>
      </c>
      <c r="E1199" t="s">
        <v>5328</v>
      </c>
      <c r="F1199" t="s">
        <v>5382</v>
      </c>
      <c r="G1199" t="str">
        <f>CONCATENATE(Master_Packing_Database[[#This Row],[Exp '#]],Master_Packing_Database[[#This Row],[Batch '#]])</f>
        <v>2226thLC  2nd</v>
      </c>
      <c r="H1199" t="s">
        <v>5383</v>
      </c>
      <c r="I1199" t="s">
        <v>5384</v>
      </c>
      <c r="J1199" t="s">
        <v>117</v>
      </c>
      <c r="K1199" t="s">
        <v>3399</v>
      </c>
      <c r="L1199" t="s">
        <v>599</v>
      </c>
      <c r="M1199" t="s">
        <v>599</v>
      </c>
      <c r="N1199" t="s">
        <v>5385</v>
      </c>
      <c r="O1199" t="s">
        <v>5386</v>
      </c>
      <c r="V1199" t="s">
        <v>32</v>
      </c>
      <c r="X1199" t="s">
        <v>3806</v>
      </c>
      <c r="AE1199" t="s">
        <v>1755</v>
      </c>
      <c r="AI1199" t="s">
        <v>29</v>
      </c>
      <c r="AK1199" t="s">
        <v>5334</v>
      </c>
      <c r="AL1199" t="s">
        <v>3152</v>
      </c>
      <c r="AN1199">
        <v>0</v>
      </c>
      <c r="AO1199" t="s">
        <v>1834</v>
      </c>
      <c r="AP1199" t="s">
        <v>1834</v>
      </c>
      <c r="AQ1199">
        <v>0</v>
      </c>
      <c r="AR1199" t="s">
        <v>1835</v>
      </c>
    </row>
    <row r="1200" spans="1:44" x14ac:dyDescent="0.25">
      <c r="A1200" t="s">
        <v>3141</v>
      </c>
      <c r="D1200" t="s">
        <v>837</v>
      </c>
      <c r="E1200" t="s">
        <v>5328</v>
      </c>
      <c r="F1200" t="s">
        <v>5387</v>
      </c>
      <c r="G1200" t="str">
        <f>CONCATENATE(Master_Packing_Database[[#This Row],[Exp '#]],Master_Packing_Database[[#This Row],[Batch '#]])</f>
        <v>2226thLC 2nd</v>
      </c>
      <c r="H1200" t="s">
        <v>5388</v>
      </c>
      <c r="I1200" t="s">
        <v>5389</v>
      </c>
      <c r="J1200" t="s">
        <v>117</v>
      </c>
      <c r="L1200" t="s">
        <v>4844</v>
      </c>
      <c r="M1200" t="s">
        <v>599</v>
      </c>
      <c r="V1200" t="s">
        <v>32</v>
      </c>
      <c r="X1200" t="s">
        <v>3846</v>
      </c>
      <c r="AE1200" t="s">
        <v>1755</v>
      </c>
      <c r="AI1200" t="s">
        <v>29</v>
      </c>
      <c r="AK1200" t="s">
        <v>3848</v>
      </c>
      <c r="AL1200" t="s">
        <v>3152</v>
      </c>
      <c r="AN1200">
        <v>0</v>
      </c>
      <c r="AO1200" t="s">
        <v>1834</v>
      </c>
      <c r="AP1200" t="s">
        <v>1834</v>
      </c>
      <c r="AQ1200">
        <v>0</v>
      </c>
      <c r="AR1200" t="s">
        <v>1835</v>
      </c>
    </row>
    <row r="1201" spans="1:44" x14ac:dyDescent="0.25">
      <c r="A1201" t="s">
        <v>3141</v>
      </c>
      <c r="D1201" t="s">
        <v>510</v>
      </c>
      <c r="E1201" t="s">
        <v>5390</v>
      </c>
      <c r="F1201" t="s">
        <v>1755</v>
      </c>
      <c r="G1201" t="str">
        <f>CONCATENATE(Master_Packing_Database[[#This Row],[Exp '#]],Master_Packing_Database[[#This Row],[Batch '#]])</f>
        <v>2301st-</v>
      </c>
      <c r="H1201" t="s">
        <v>5391</v>
      </c>
      <c r="I1201" t="s">
        <v>5392</v>
      </c>
      <c r="J1201" t="s">
        <v>366</v>
      </c>
      <c r="K1201" t="s">
        <v>1147</v>
      </c>
      <c r="L1201" t="s">
        <v>3882</v>
      </c>
      <c r="M1201" t="s">
        <v>116</v>
      </c>
      <c r="N1201" t="s">
        <v>599</v>
      </c>
      <c r="O1201" t="s">
        <v>599</v>
      </c>
      <c r="V1201" t="s">
        <v>32</v>
      </c>
      <c r="X1201" t="s">
        <v>3865</v>
      </c>
      <c r="AE1201" t="s">
        <v>1755</v>
      </c>
      <c r="AI1201" t="s">
        <v>29</v>
      </c>
      <c r="AK1201" t="s">
        <v>3871</v>
      </c>
      <c r="AL1201" t="s">
        <v>3152</v>
      </c>
      <c r="AN1201">
        <v>0</v>
      </c>
      <c r="AO1201" t="s">
        <v>1834</v>
      </c>
      <c r="AP1201" t="s">
        <v>1834</v>
      </c>
      <c r="AQ1201">
        <v>0</v>
      </c>
      <c r="AR1201" t="s">
        <v>1835</v>
      </c>
    </row>
    <row r="1202" spans="1:44" x14ac:dyDescent="0.25">
      <c r="A1202" t="s">
        <v>3141</v>
      </c>
      <c r="D1202" t="s">
        <v>1195</v>
      </c>
      <c r="E1202" t="s">
        <v>5393</v>
      </c>
      <c r="F1202" t="s">
        <v>1755</v>
      </c>
      <c r="G1202" t="str">
        <f>CONCATENATE(Master_Packing_Database[[#This Row],[Exp '#]],Master_Packing_Database[[#This Row],[Batch '#]])</f>
        <v>25-019-</v>
      </c>
      <c r="H1202" t="s">
        <v>5394</v>
      </c>
      <c r="I1202" t="s">
        <v>5395</v>
      </c>
      <c r="J1202" t="s">
        <v>5396</v>
      </c>
      <c r="K1202" t="s">
        <v>1147</v>
      </c>
      <c r="L1202" t="s">
        <v>5184</v>
      </c>
      <c r="M1202" t="s">
        <v>599</v>
      </c>
      <c r="N1202" t="s">
        <v>5397</v>
      </c>
      <c r="O1202" t="s">
        <v>5398</v>
      </c>
      <c r="V1202" t="s">
        <v>5399</v>
      </c>
      <c r="X1202" t="s">
        <v>5400</v>
      </c>
      <c r="Y1202" t="s">
        <v>3140</v>
      </c>
      <c r="Z1202" t="s">
        <v>714</v>
      </c>
      <c r="AB1202" t="s">
        <v>5401</v>
      </c>
      <c r="AE1202" t="s">
        <v>5400</v>
      </c>
      <c r="AG1202" t="s">
        <v>1303</v>
      </c>
      <c r="AI1202" t="s">
        <v>29</v>
      </c>
      <c r="AK1202" t="s">
        <v>5402</v>
      </c>
      <c r="AL1202" t="s">
        <v>3152</v>
      </c>
      <c r="AN1202">
        <v>0</v>
      </c>
      <c r="AO1202" t="s">
        <v>1834</v>
      </c>
      <c r="AP1202" t="s">
        <v>1834</v>
      </c>
      <c r="AQ1202">
        <v>0</v>
      </c>
      <c r="AR1202" t="s">
        <v>1758</v>
      </c>
    </row>
    <row r="1203" spans="1:44" x14ac:dyDescent="0.25">
      <c r="A1203" t="s">
        <v>3141</v>
      </c>
      <c r="D1203" t="s">
        <v>720</v>
      </c>
      <c r="E1203" t="s">
        <v>5403</v>
      </c>
      <c r="F1203" t="s">
        <v>1755</v>
      </c>
      <c r="G1203" t="str">
        <f>CONCATENATE(Master_Packing_Database[[#This Row],[Exp '#]],Master_Packing_Database[[#This Row],[Batch '#]])</f>
        <v>2237th-</v>
      </c>
      <c r="H1203" t="s">
        <v>5404</v>
      </c>
      <c r="I1203" t="s">
        <v>660</v>
      </c>
      <c r="J1203" t="s">
        <v>117</v>
      </c>
      <c r="K1203" t="s">
        <v>4698</v>
      </c>
      <c r="L1203" t="s">
        <v>599</v>
      </c>
      <c r="M1203" t="s">
        <v>116</v>
      </c>
      <c r="N1203" t="s">
        <v>403</v>
      </c>
      <c r="O1203" t="s">
        <v>1058</v>
      </c>
      <c r="V1203" t="s">
        <v>32</v>
      </c>
      <c r="X1203" t="s">
        <v>3877</v>
      </c>
      <c r="Z1203" t="s">
        <v>5405</v>
      </c>
      <c r="AE1203" t="s">
        <v>5355</v>
      </c>
      <c r="AG1203" t="s">
        <v>2654</v>
      </c>
      <c r="AI1203" t="s">
        <v>29</v>
      </c>
      <c r="AK1203" t="s">
        <v>3879</v>
      </c>
      <c r="AL1203" t="s">
        <v>3152</v>
      </c>
      <c r="AN1203">
        <v>0</v>
      </c>
      <c r="AO1203" t="s">
        <v>1834</v>
      </c>
      <c r="AP1203" t="s">
        <v>1834</v>
      </c>
      <c r="AQ1203">
        <v>0</v>
      </c>
      <c r="AR1203" t="s">
        <v>1758</v>
      </c>
    </row>
    <row r="1204" spans="1:44" x14ac:dyDescent="0.25">
      <c r="A1204" t="s">
        <v>3141</v>
      </c>
      <c r="D1204" t="s">
        <v>560</v>
      </c>
      <c r="E1204" t="s">
        <v>5406</v>
      </c>
      <c r="F1204" t="s">
        <v>1755</v>
      </c>
      <c r="G1204" t="str">
        <f>CONCATENATE(Master_Packing_Database[[#This Row],[Exp '#]],Master_Packing_Database[[#This Row],[Batch '#]])</f>
        <v>2231st-</v>
      </c>
      <c r="H1204" t="s">
        <v>5407</v>
      </c>
      <c r="I1204" t="s">
        <v>5408</v>
      </c>
      <c r="J1204" t="s">
        <v>117</v>
      </c>
      <c r="K1204" t="s">
        <v>3285</v>
      </c>
      <c r="L1204" t="s">
        <v>116</v>
      </c>
      <c r="M1204" t="s">
        <v>116</v>
      </c>
      <c r="N1204" t="s">
        <v>5409</v>
      </c>
      <c r="O1204" t="s">
        <v>5410</v>
      </c>
      <c r="V1204" t="s">
        <v>32</v>
      </c>
      <c r="X1204" t="s">
        <v>3877</v>
      </c>
      <c r="Z1204" t="s">
        <v>5405</v>
      </c>
      <c r="AE1204" t="s">
        <v>5355</v>
      </c>
      <c r="AG1204" t="s">
        <v>2654</v>
      </c>
      <c r="AI1204" t="s">
        <v>29</v>
      </c>
      <c r="AK1204" t="s">
        <v>3879</v>
      </c>
      <c r="AL1204" t="s">
        <v>3152</v>
      </c>
      <c r="AN1204">
        <v>0</v>
      </c>
      <c r="AO1204" t="s">
        <v>1834</v>
      </c>
      <c r="AP1204" t="s">
        <v>1834</v>
      </c>
      <c r="AQ1204">
        <v>0</v>
      </c>
      <c r="AR1204" t="s">
        <v>1758</v>
      </c>
    </row>
    <row r="1205" spans="1:44" x14ac:dyDescent="0.25">
      <c r="A1205" t="s">
        <v>3141</v>
      </c>
      <c r="D1205" t="s">
        <v>720</v>
      </c>
      <c r="E1205" t="s">
        <v>5411</v>
      </c>
      <c r="F1205" t="s">
        <v>1755</v>
      </c>
      <c r="G1205" t="str">
        <f>CONCATENATE(Master_Packing_Database[[#This Row],[Exp '#]],Master_Packing_Database[[#This Row],[Batch '#]])</f>
        <v>2220th-</v>
      </c>
      <c r="H1205" t="s">
        <v>5412</v>
      </c>
      <c r="I1205" t="s">
        <v>319</v>
      </c>
      <c r="J1205" t="s">
        <v>366</v>
      </c>
      <c r="K1205" t="s">
        <v>3399</v>
      </c>
      <c r="L1205" t="s">
        <v>849</v>
      </c>
      <c r="M1205" t="s">
        <v>835</v>
      </c>
      <c r="N1205" t="s">
        <v>5413</v>
      </c>
      <c r="O1205" t="s">
        <v>5414</v>
      </c>
      <c r="V1205" t="s">
        <v>32</v>
      </c>
      <c r="X1205" t="s">
        <v>3877</v>
      </c>
      <c r="Z1205" t="s">
        <v>3878</v>
      </c>
      <c r="AE1205" t="s">
        <v>3877</v>
      </c>
      <c r="AG1205" t="s">
        <v>1303</v>
      </c>
      <c r="AI1205" t="s">
        <v>29</v>
      </c>
      <c r="AK1205" t="s">
        <v>3879</v>
      </c>
      <c r="AL1205" t="s">
        <v>3152</v>
      </c>
      <c r="AN1205">
        <v>0</v>
      </c>
      <c r="AO1205" t="s">
        <v>1834</v>
      </c>
      <c r="AP1205" t="s">
        <v>1834</v>
      </c>
      <c r="AQ1205">
        <v>0</v>
      </c>
      <c r="AR1205" t="s">
        <v>1758</v>
      </c>
    </row>
    <row r="1206" spans="1:44" x14ac:dyDescent="0.25">
      <c r="A1206" t="s">
        <v>3141</v>
      </c>
      <c r="D1206" t="s">
        <v>1158</v>
      </c>
      <c r="E1206" t="s">
        <v>5415</v>
      </c>
      <c r="F1206" t="s">
        <v>1755</v>
      </c>
      <c r="G1206" t="str">
        <f>CONCATENATE(Master_Packing_Database[[#This Row],[Exp '#]],Master_Packing_Database[[#This Row],[Batch '#]])</f>
        <v>25-017-</v>
      </c>
      <c r="H1206" t="s">
        <v>5416</v>
      </c>
      <c r="I1206" t="s">
        <v>1227</v>
      </c>
      <c r="J1206" t="s">
        <v>366</v>
      </c>
      <c r="K1206" t="s">
        <v>1147</v>
      </c>
      <c r="L1206" t="s">
        <v>5417</v>
      </c>
      <c r="M1206" t="s">
        <v>116</v>
      </c>
      <c r="N1206" t="s">
        <v>4969</v>
      </c>
      <c r="O1206" t="s">
        <v>1246</v>
      </c>
      <c r="V1206" t="s">
        <v>5399</v>
      </c>
      <c r="X1206" t="s">
        <v>5418</v>
      </c>
      <c r="Y1206" t="s">
        <v>5419</v>
      </c>
      <c r="Z1206" t="s">
        <v>3123</v>
      </c>
      <c r="AB1206" t="s">
        <v>5401</v>
      </c>
      <c r="AE1206" t="s">
        <v>5418</v>
      </c>
      <c r="AG1206" t="s">
        <v>1303</v>
      </c>
      <c r="AI1206" t="s">
        <v>29</v>
      </c>
      <c r="AK1206" t="s">
        <v>5420</v>
      </c>
      <c r="AL1206" t="s">
        <v>3152</v>
      </c>
      <c r="AN1206">
        <v>0</v>
      </c>
      <c r="AO1206" t="s">
        <v>1834</v>
      </c>
      <c r="AP1206" t="s">
        <v>1834</v>
      </c>
      <c r="AQ1206">
        <v>0</v>
      </c>
      <c r="AR1206" t="s">
        <v>1758</v>
      </c>
    </row>
    <row r="1207" spans="1:44" x14ac:dyDescent="0.25">
      <c r="A1207" t="s">
        <v>3141</v>
      </c>
      <c r="D1207" t="s">
        <v>1195</v>
      </c>
      <c r="E1207" t="s">
        <v>5421</v>
      </c>
      <c r="F1207" t="s">
        <v>1755</v>
      </c>
      <c r="G1207" t="str">
        <f>CONCATENATE(Master_Packing_Database[[#This Row],[Exp '#]],Master_Packing_Database[[#This Row],[Batch '#]])</f>
        <v>25-023-</v>
      </c>
      <c r="H1207" t="s">
        <v>5422</v>
      </c>
      <c r="I1207" t="s">
        <v>5423</v>
      </c>
      <c r="J1207" t="s">
        <v>5396</v>
      </c>
      <c r="K1207" t="s">
        <v>1147</v>
      </c>
      <c r="L1207" t="s">
        <v>5424</v>
      </c>
      <c r="M1207" t="s">
        <v>599</v>
      </c>
      <c r="N1207" t="s">
        <v>5425</v>
      </c>
      <c r="O1207" t="s">
        <v>5426</v>
      </c>
      <c r="V1207" t="s">
        <v>5399</v>
      </c>
      <c r="X1207" t="s">
        <v>3846</v>
      </c>
      <c r="Y1207" t="s">
        <v>5427</v>
      </c>
      <c r="Z1207" t="s">
        <v>3847</v>
      </c>
      <c r="AB1207" t="s">
        <v>5401</v>
      </c>
      <c r="AE1207" t="s">
        <v>3846</v>
      </c>
      <c r="AG1207" t="s">
        <v>1303</v>
      </c>
      <c r="AI1207" t="s">
        <v>29</v>
      </c>
      <c r="AK1207" t="s">
        <v>5420</v>
      </c>
      <c r="AL1207" t="s">
        <v>3152</v>
      </c>
      <c r="AN1207">
        <v>0</v>
      </c>
      <c r="AO1207" t="s">
        <v>1834</v>
      </c>
      <c r="AP1207" t="s">
        <v>1834</v>
      </c>
      <c r="AQ1207">
        <v>0</v>
      </c>
      <c r="AR1207" t="s">
        <v>1758</v>
      </c>
    </row>
    <row r="1208" spans="1:44" x14ac:dyDescent="0.25">
      <c r="A1208" t="s">
        <v>3141</v>
      </c>
      <c r="D1208" t="s">
        <v>1195</v>
      </c>
      <c r="E1208" t="s">
        <v>5428</v>
      </c>
      <c r="F1208" t="s">
        <v>1755</v>
      </c>
      <c r="G1208" t="str">
        <f>CONCATENATE(Master_Packing_Database[[#This Row],[Exp '#]],Master_Packing_Database[[#This Row],[Batch '#]])</f>
        <v>25-024-</v>
      </c>
      <c r="H1208" t="s">
        <v>5429</v>
      </c>
      <c r="I1208" t="s">
        <v>5430</v>
      </c>
      <c r="J1208" t="s">
        <v>117</v>
      </c>
      <c r="K1208" t="s">
        <v>1147</v>
      </c>
      <c r="L1208" t="s">
        <v>5431</v>
      </c>
      <c r="M1208" t="s">
        <v>599</v>
      </c>
      <c r="N1208" t="s">
        <v>5432</v>
      </c>
      <c r="O1208" t="s">
        <v>5433</v>
      </c>
      <c r="V1208" t="s">
        <v>5399</v>
      </c>
      <c r="X1208" t="s">
        <v>5434</v>
      </c>
      <c r="Y1208" t="s">
        <v>5435</v>
      </c>
      <c r="Z1208" t="s">
        <v>5436</v>
      </c>
      <c r="AB1208" t="s">
        <v>5401</v>
      </c>
      <c r="AE1208" t="s">
        <v>5434</v>
      </c>
      <c r="AG1208" t="s">
        <v>1303</v>
      </c>
      <c r="AI1208" t="s">
        <v>29</v>
      </c>
      <c r="AK1208" t="s">
        <v>5420</v>
      </c>
      <c r="AL1208" t="s">
        <v>3152</v>
      </c>
      <c r="AN1208">
        <v>0</v>
      </c>
      <c r="AO1208" t="s">
        <v>1834</v>
      </c>
      <c r="AP1208" t="s">
        <v>1834</v>
      </c>
      <c r="AQ1208">
        <v>0</v>
      </c>
      <c r="AR1208" t="s">
        <v>1758</v>
      </c>
    </row>
    <row r="1209" spans="1:44" x14ac:dyDescent="0.25">
      <c r="A1209" t="s">
        <v>3141</v>
      </c>
      <c r="D1209" t="s">
        <v>27</v>
      </c>
      <c r="E1209" t="s">
        <v>5437</v>
      </c>
      <c r="F1209" t="s">
        <v>1755</v>
      </c>
      <c r="G1209" t="str">
        <f>CONCATENATE(Master_Packing_Database[[#This Row],[Exp '#]],Master_Packing_Database[[#This Row],[Batch '#]])</f>
        <v>25-013-</v>
      </c>
      <c r="H1209" t="s">
        <v>5438</v>
      </c>
      <c r="I1209" t="s">
        <v>846</v>
      </c>
      <c r="J1209" t="s">
        <v>1371</v>
      </c>
      <c r="K1209" t="s">
        <v>1147</v>
      </c>
      <c r="L1209" t="s">
        <v>521</v>
      </c>
      <c r="M1209" t="s">
        <v>359</v>
      </c>
      <c r="N1209" t="s">
        <v>5439</v>
      </c>
      <c r="O1209" t="s">
        <v>5440</v>
      </c>
      <c r="V1209" t="s">
        <v>5399</v>
      </c>
      <c r="X1209" t="s">
        <v>5441</v>
      </c>
      <c r="Y1209" t="s">
        <v>5442</v>
      </c>
      <c r="Z1209" t="s">
        <v>5443</v>
      </c>
      <c r="AB1209" t="s">
        <v>5401</v>
      </c>
      <c r="AE1209" t="s">
        <v>5441</v>
      </c>
      <c r="AG1209" t="s">
        <v>1303</v>
      </c>
      <c r="AI1209" t="s">
        <v>29</v>
      </c>
      <c r="AK1209" t="s">
        <v>5420</v>
      </c>
      <c r="AL1209" t="s">
        <v>3152</v>
      </c>
      <c r="AN1209">
        <v>0</v>
      </c>
      <c r="AO1209" t="s">
        <v>1834</v>
      </c>
      <c r="AP1209" t="s">
        <v>1834</v>
      </c>
      <c r="AQ1209">
        <v>0</v>
      </c>
      <c r="AR1209" t="s">
        <v>1758</v>
      </c>
    </row>
    <row r="1210" spans="1:44" x14ac:dyDescent="0.25">
      <c r="A1210" t="s">
        <v>3141</v>
      </c>
      <c r="D1210" t="s">
        <v>38</v>
      </c>
      <c r="E1210" t="s">
        <v>5349</v>
      </c>
      <c r="F1210" t="s">
        <v>5387</v>
      </c>
      <c r="G1210" t="str">
        <f>CONCATENATE(Master_Packing_Database[[#This Row],[Exp '#]],Master_Packing_Database[[#This Row],[Batch '#]])</f>
        <v>2225thLC 2nd</v>
      </c>
      <c r="H1210" t="s">
        <v>5444</v>
      </c>
      <c r="I1210" t="s">
        <v>156</v>
      </c>
      <c r="J1210" t="s">
        <v>117</v>
      </c>
      <c r="K1210" t="s">
        <v>3372</v>
      </c>
      <c r="L1210" t="s">
        <v>116</v>
      </c>
      <c r="M1210" t="s">
        <v>116</v>
      </c>
      <c r="N1210" t="s">
        <v>5445</v>
      </c>
      <c r="O1210" t="s">
        <v>5446</v>
      </c>
      <c r="V1210" t="s">
        <v>5447</v>
      </c>
      <c r="X1210" t="s">
        <v>5447</v>
      </c>
      <c r="Y1210" t="s">
        <v>1303</v>
      </c>
      <c r="Z1210" t="s">
        <v>1424</v>
      </c>
      <c r="AB1210" t="s">
        <v>5448</v>
      </c>
      <c r="AE1210" t="s">
        <v>5447</v>
      </c>
      <c r="AG1210" t="s">
        <v>1303</v>
      </c>
      <c r="AI1210" t="s">
        <v>29</v>
      </c>
      <c r="AK1210" t="s">
        <v>5420</v>
      </c>
      <c r="AL1210" t="s">
        <v>3152</v>
      </c>
      <c r="AN1210">
        <v>0</v>
      </c>
      <c r="AO1210" t="s">
        <v>1834</v>
      </c>
      <c r="AP1210" t="s">
        <v>1834</v>
      </c>
      <c r="AQ1210">
        <v>0</v>
      </c>
      <c r="AR1210" t="s">
        <v>1758</v>
      </c>
    </row>
    <row r="1211" spans="1:44" x14ac:dyDescent="0.25">
      <c r="A1211" t="s">
        <v>3141</v>
      </c>
      <c r="D1211" t="s">
        <v>834</v>
      </c>
      <c r="E1211" t="s">
        <v>5449</v>
      </c>
      <c r="F1211" t="s">
        <v>5450</v>
      </c>
      <c r="G1211" t="str">
        <f>CONCATENATE(Master_Packing_Database[[#This Row],[Exp '#]],Master_Packing_Database[[#This Row],[Batch '#]])</f>
        <v>2276thPart Load With 2215</v>
      </c>
      <c r="H1211" t="s">
        <v>5451</v>
      </c>
      <c r="I1211" t="s">
        <v>3339</v>
      </c>
      <c r="J1211" t="s">
        <v>366</v>
      </c>
      <c r="K1211" t="s">
        <v>3426</v>
      </c>
      <c r="L1211" t="s">
        <v>599</v>
      </c>
      <c r="M1211" t="s">
        <v>116</v>
      </c>
      <c r="N1211" t="s">
        <v>5452</v>
      </c>
      <c r="O1211" t="s">
        <v>1112</v>
      </c>
      <c r="V1211" t="s">
        <v>5447</v>
      </c>
      <c r="X1211" t="s">
        <v>3839</v>
      </c>
      <c r="Y1211" t="s">
        <v>4902</v>
      </c>
      <c r="Z1211" t="s">
        <v>5453</v>
      </c>
      <c r="AB1211" t="s">
        <v>5448</v>
      </c>
      <c r="AE1211" t="s">
        <v>3839</v>
      </c>
      <c r="AG1211" t="s">
        <v>1303</v>
      </c>
      <c r="AI1211" t="s">
        <v>29</v>
      </c>
      <c r="AK1211" t="s">
        <v>3892</v>
      </c>
      <c r="AL1211" t="s">
        <v>3152</v>
      </c>
      <c r="AN1211">
        <v>0</v>
      </c>
      <c r="AO1211" t="s">
        <v>1834</v>
      </c>
      <c r="AP1211" t="s">
        <v>1834</v>
      </c>
      <c r="AQ1211">
        <v>0</v>
      </c>
      <c r="AR1211" t="s">
        <v>1758</v>
      </c>
    </row>
    <row r="1212" spans="1:44" x14ac:dyDescent="0.25">
      <c r="A1212" t="s">
        <v>3141</v>
      </c>
      <c r="D1212" t="s">
        <v>834</v>
      </c>
      <c r="E1212" t="s">
        <v>5454</v>
      </c>
      <c r="F1212" t="s">
        <v>5455</v>
      </c>
      <c r="G1212" t="str">
        <f>CONCATENATE(Master_Packing_Database[[#This Row],[Exp '#]],Master_Packing_Database[[#This Row],[Batch '#]])</f>
        <v>2215thPart Load With 2276</v>
      </c>
      <c r="H1212" t="s">
        <v>5456</v>
      </c>
      <c r="I1212" t="s">
        <v>5457</v>
      </c>
      <c r="J1212" t="s">
        <v>117</v>
      </c>
      <c r="K1212" t="s">
        <v>5458</v>
      </c>
      <c r="L1212" t="s">
        <v>835</v>
      </c>
      <c r="M1212" t="s">
        <v>835</v>
      </c>
      <c r="N1212" t="s">
        <v>5459</v>
      </c>
      <c r="O1212" t="s">
        <v>5460</v>
      </c>
      <c r="V1212" t="s">
        <v>5447</v>
      </c>
      <c r="X1212" t="s">
        <v>3890</v>
      </c>
      <c r="Y1212" t="s">
        <v>544</v>
      </c>
      <c r="AB1212" t="s">
        <v>5448</v>
      </c>
      <c r="AE1212" t="s">
        <v>1755</v>
      </c>
      <c r="AI1212" t="s">
        <v>29</v>
      </c>
      <c r="AK1212" t="s">
        <v>3892</v>
      </c>
      <c r="AL1212" t="s">
        <v>3152</v>
      </c>
      <c r="AN1212">
        <v>0</v>
      </c>
      <c r="AO1212" t="s">
        <v>1834</v>
      </c>
      <c r="AP1212" t="s">
        <v>1834</v>
      </c>
      <c r="AQ1212">
        <v>0</v>
      </c>
      <c r="AR1212" t="s">
        <v>1835</v>
      </c>
    </row>
    <row r="1213" spans="1:44" x14ac:dyDescent="0.25">
      <c r="A1213" t="s">
        <v>3141</v>
      </c>
      <c r="D1213" t="s">
        <v>1050</v>
      </c>
      <c r="E1213" t="s">
        <v>5292</v>
      </c>
      <c r="F1213" t="s">
        <v>422</v>
      </c>
      <c r="G1213" t="str">
        <f>CONCATENATE(Master_Packing_Database[[#This Row],[Exp '#]],Master_Packing_Database[[#This Row],[Batch '#]])</f>
        <v>2202nd2nd</v>
      </c>
      <c r="H1213" t="s">
        <v>5461</v>
      </c>
      <c r="I1213" t="s">
        <v>5462</v>
      </c>
      <c r="J1213" t="s">
        <v>117</v>
      </c>
      <c r="K1213" t="s">
        <v>5463</v>
      </c>
      <c r="L1213" t="s">
        <v>835</v>
      </c>
      <c r="M1213" t="s">
        <v>835</v>
      </c>
      <c r="N1213" t="s">
        <v>5464</v>
      </c>
      <c r="O1213" t="s">
        <v>5465</v>
      </c>
      <c r="V1213" t="s">
        <v>5447</v>
      </c>
      <c r="X1213" t="s">
        <v>3890</v>
      </c>
      <c r="Y1213" t="s">
        <v>544</v>
      </c>
      <c r="AB1213" t="s">
        <v>5448</v>
      </c>
      <c r="AE1213" t="s">
        <v>1755</v>
      </c>
      <c r="AI1213" t="s">
        <v>29</v>
      </c>
      <c r="AK1213" t="s">
        <v>3892</v>
      </c>
      <c r="AL1213" t="s">
        <v>3152</v>
      </c>
      <c r="AN1213">
        <v>0</v>
      </c>
      <c r="AO1213" t="s">
        <v>1834</v>
      </c>
      <c r="AP1213" t="s">
        <v>1834</v>
      </c>
      <c r="AQ1213">
        <v>0</v>
      </c>
      <c r="AR1213" t="s">
        <v>1835</v>
      </c>
    </row>
    <row r="1214" spans="1:44" x14ac:dyDescent="0.25">
      <c r="A1214" t="s">
        <v>3141</v>
      </c>
      <c r="D1214" t="s">
        <v>1142</v>
      </c>
      <c r="E1214" t="s">
        <v>5466</v>
      </c>
      <c r="F1214" t="s">
        <v>1755</v>
      </c>
      <c r="G1214" t="str">
        <f>CONCATENATE(Master_Packing_Database[[#This Row],[Exp '#]],Master_Packing_Database[[#This Row],[Batch '#]])</f>
        <v>25-002-</v>
      </c>
      <c r="H1214" t="s">
        <v>5467</v>
      </c>
      <c r="I1214" t="s">
        <v>5468</v>
      </c>
      <c r="J1214" t="s">
        <v>1371</v>
      </c>
      <c r="K1214" t="s">
        <v>1147</v>
      </c>
      <c r="L1214" t="s">
        <v>4081</v>
      </c>
      <c r="M1214" t="s">
        <v>1072</v>
      </c>
      <c r="N1214" t="s">
        <v>5469</v>
      </c>
      <c r="O1214" t="s">
        <v>5470</v>
      </c>
      <c r="V1214" t="s">
        <v>4887</v>
      </c>
      <c r="X1214" t="s">
        <v>5471</v>
      </c>
      <c r="Y1214" t="s">
        <v>5472</v>
      </c>
      <c r="Z1214" t="s">
        <v>5473</v>
      </c>
      <c r="AB1214" t="s">
        <v>3455</v>
      </c>
      <c r="AE1214" t="s">
        <v>5471</v>
      </c>
      <c r="AG1214" t="s">
        <v>1303</v>
      </c>
      <c r="AI1214" t="s">
        <v>29</v>
      </c>
      <c r="AK1214" t="s">
        <v>3892</v>
      </c>
      <c r="AL1214" t="s">
        <v>3152</v>
      </c>
      <c r="AN1214">
        <v>0</v>
      </c>
      <c r="AO1214" t="s">
        <v>1834</v>
      </c>
      <c r="AP1214" t="s">
        <v>1834</v>
      </c>
      <c r="AQ1214">
        <v>0</v>
      </c>
      <c r="AR1214" t="s">
        <v>1758</v>
      </c>
    </row>
    <row r="1215" spans="1:44" x14ac:dyDescent="0.25">
      <c r="A1215" t="s">
        <v>3141</v>
      </c>
      <c r="D1215" t="s">
        <v>1142</v>
      </c>
      <c r="E1215" t="s">
        <v>5474</v>
      </c>
      <c r="F1215" t="s">
        <v>1755</v>
      </c>
      <c r="G1215" t="str">
        <f>CONCATENATE(Master_Packing_Database[[#This Row],[Exp '#]],Master_Packing_Database[[#This Row],[Batch '#]])</f>
        <v>25-004-</v>
      </c>
      <c r="H1215" t="s">
        <v>5475</v>
      </c>
      <c r="I1215" t="s">
        <v>3328</v>
      </c>
      <c r="J1215" t="s">
        <v>117</v>
      </c>
      <c r="K1215" t="s">
        <v>1147</v>
      </c>
      <c r="L1215" t="s">
        <v>529</v>
      </c>
      <c r="M1215" t="s">
        <v>599</v>
      </c>
      <c r="N1215" t="s">
        <v>5476</v>
      </c>
      <c r="O1215" t="s">
        <v>5477</v>
      </c>
      <c r="V1215" t="s">
        <v>5399</v>
      </c>
      <c r="X1215" t="s">
        <v>5478</v>
      </c>
      <c r="Y1215" t="s">
        <v>5479</v>
      </c>
      <c r="AB1215" t="s">
        <v>5401</v>
      </c>
      <c r="AE1215" t="s">
        <v>1755</v>
      </c>
      <c r="AI1215" t="s">
        <v>29</v>
      </c>
      <c r="AK1215" t="s">
        <v>3892</v>
      </c>
      <c r="AL1215" t="s">
        <v>3152</v>
      </c>
      <c r="AN1215">
        <v>0</v>
      </c>
      <c r="AO1215" t="s">
        <v>1834</v>
      </c>
      <c r="AP1215" t="s">
        <v>1834</v>
      </c>
      <c r="AQ1215">
        <v>0</v>
      </c>
      <c r="AR1215" t="s">
        <v>1835</v>
      </c>
    </row>
    <row r="1216" spans="1:44" x14ac:dyDescent="0.25">
      <c r="A1216" t="s">
        <v>3141</v>
      </c>
      <c r="D1216" t="s">
        <v>5480</v>
      </c>
      <c r="E1216" t="s">
        <v>5481</v>
      </c>
      <c r="F1216" t="s">
        <v>1755</v>
      </c>
      <c r="G1216" t="str">
        <f>CONCATENATE(Master_Packing_Database[[#This Row],[Exp '#]],Master_Packing_Database[[#This Row],[Batch '#]])</f>
        <v>2217th-</v>
      </c>
      <c r="H1216" t="s">
        <v>5482</v>
      </c>
      <c r="I1216" t="s">
        <v>5483</v>
      </c>
      <c r="J1216" t="s">
        <v>4159</v>
      </c>
      <c r="K1216" t="s">
        <v>1147</v>
      </c>
      <c r="L1216" t="s">
        <v>5484</v>
      </c>
      <c r="M1216" t="s">
        <v>194</v>
      </c>
      <c r="N1216" t="s">
        <v>5485</v>
      </c>
      <c r="O1216" t="s">
        <v>5353</v>
      </c>
      <c r="V1216" t="s">
        <v>5486</v>
      </c>
      <c r="X1216" t="s">
        <v>5486</v>
      </c>
      <c r="Y1216" t="s">
        <v>1303</v>
      </c>
      <c r="Z1216" t="s">
        <v>5487</v>
      </c>
      <c r="AB1216" t="s">
        <v>5488</v>
      </c>
      <c r="AE1216" t="s">
        <v>5486</v>
      </c>
      <c r="AG1216" t="s">
        <v>1303</v>
      </c>
      <c r="AI1216" t="s">
        <v>29</v>
      </c>
      <c r="AK1216" t="s">
        <v>3910</v>
      </c>
      <c r="AL1216" t="s">
        <v>3152</v>
      </c>
      <c r="AN1216">
        <v>0</v>
      </c>
      <c r="AO1216" t="s">
        <v>1834</v>
      </c>
      <c r="AP1216" t="s">
        <v>1834</v>
      </c>
      <c r="AQ1216">
        <v>0</v>
      </c>
      <c r="AR1216" t="s">
        <v>1758</v>
      </c>
    </row>
    <row r="1217" spans="1:44" x14ac:dyDescent="0.25">
      <c r="A1217" t="s">
        <v>3141</v>
      </c>
      <c r="D1217" t="s">
        <v>5489</v>
      </c>
      <c r="E1217" t="s">
        <v>5490</v>
      </c>
      <c r="F1217" t="s">
        <v>1755</v>
      </c>
      <c r="G1217" t="str">
        <f>CONCATENATE(Master_Packing_Database[[#This Row],[Exp '#]],Master_Packing_Database[[#This Row],[Batch '#]])</f>
        <v>25-028-</v>
      </c>
      <c r="H1217" t="s">
        <v>5491</v>
      </c>
      <c r="I1217" t="s">
        <v>1227</v>
      </c>
      <c r="J1217" t="s">
        <v>117</v>
      </c>
      <c r="K1217" t="s">
        <v>1147</v>
      </c>
      <c r="L1217" t="s">
        <v>1346</v>
      </c>
      <c r="M1217" t="s">
        <v>1016</v>
      </c>
      <c r="N1217" t="s">
        <v>5492</v>
      </c>
      <c r="O1217" t="s">
        <v>5493</v>
      </c>
      <c r="V1217" t="s">
        <v>5399</v>
      </c>
      <c r="X1217" t="s">
        <v>5494</v>
      </c>
      <c r="Y1217" t="s">
        <v>5495</v>
      </c>
      <c r="AB1217" t="s">
        <v>5401</v>
      </c>
      <c r="AE1217" t="s">
        <v>1755</v>
      </c>
      <c r="AI1217" t="s">
        <v>29</v>
      </c>
      <c r="AK1217" t="s">
        <v>3910</v>
      </c>
      <c r="AL1217" t="s">
        <v>3152</v>
      </c>
      <c r="AN1217">
        <v>0</v>
      </c>
      <c r="AO1217" t="s">
        <v>1834</v>
      </c>
      <c r="AP1217" t="s">
        <v>1834</v>
      </c>
      <c r="AQ1217">
        <v>0</v>
      </c>
      <c r="AR1217" t="s">
        <v>1835</v>
      </c>
    </row>
    <row r="1218" spans="1:44" x14ac:dyDescent="0.25">
      <c r="A1218" t="s">
        <v>3141</v>
      </c>
      <c r="D1218" t="s">
        <v>281</v>
      </c>
      <c r="E1218" t="s">
        <v>280</v>
      </c>
      <c r="F1218" t="s">
        <v>1755</v>
      </c>
      <c r="G1218" t="str">
        <f>CONCATENATE(Master_Packing_Database[[#This Row],[Exp '#]],Master_Packing_Database[[#This Row],[Batch '#]])</f>
        <v>2256th-</v>
      </c>
      <c r="H1218" t="s">
        <v>282</v>
      </c>
      <c r="I1218" t="s">
        <v>5496</v>
      </c>
      <c r="J1218" t="s">
        <v>366</v>
      </c>
      <c r="K1218" t="s">
        <v>3399</v>
      </c>
      <c r="L1218" t="s">
        <v>599</v>
      </c>
      <c r="M1218" t="s">
        <v>599</v>
      </c>
      <c r="N1218" t="s">
        <v>284</v>
      </c>
      <c r="O1218" t="s">
        <v>285</v>
      </c>
      <c r="V1218" t="s">
        <v>5497</v>
      </c>
      <c r="X1218" t="s">
        <v>5498</v>
      </c>
      <c r="Y1218" t="s">
        <v>5499</v>
      </c>
      <c r="Z1218" t="s">
        <v>5500</v>
      </c>
      <c r="AB1218" t="s">
        <v>3316</v>
      </c>
      <c r="AE1218" t="s">
        <v>5498</v>
      </c>
      <c r="AG1218" t="s">
        <v>1303</v>
      </c>
      <c r="AI1218" t="s">
        <v>29</v>
      </c>
      <c r="AK1218" t="s">
        <v>3917</v>
      </c>
      <c r="AL1218" t="s">
        <v>3152</v>
      </c>
      <c r="AN1218">
        <v>0</v>
      </c>
      <c r="AO1218" t="s">
        <v>1834</v>
      </c>
      <c r="AP1218" t="s">
        <v>1834</v>
      </c>
      <c r="AQ1218">
        <v>0</v>
      </c>
      <c r="AR1218" t="s">
        <v>1758</v>
      </c>
    </row>
    <row r="1219" spans="1:44" x14ac:dyDescent="0.25">
      <c r="A1219" t="s">
        <v>3141</v>
      </c>
      <c r="D1219" t="s">
        <v>1158</v>
      </c>
      <c r="E1219" t="s">
        <v>5501</v>
      </c>
      <c r="F1219" t="s">
        <v>1755</v>
      </c>
      <c r="G1219" t="str">
        <f>CONCATENATE(Master_Packing_Database[[#This Row],[Exp '#]],Master_Packing_Database[[#This Row],[Batch '#]])</f>
        <v>25-022-</v>
      </c>
      <c r="H1219" t="s">
        <v>5502</v>
      </c>
      <c r="I1219" t="s">
        <v>5503</v>
      </c>
      <c r="J1219" t="s">
        <v>1371</v>
      </c>
      <c r="K1219" t="s">
        <v>1147</v>
      </c>
      <c r="L1219" t="s">
        <v>5504</v>
      </c>
      <c r="M1219" t="s">
        <v>1425</v>
      </c>
      <c r="N1219" t="s">
        <v>5505</v>
      </c>
      <c r="O1219" t="s">
        <v>5506</v>
      </c>
      <c r="V1219" t="s">
        <v>5399</v>
      </c>
      <c r="X1219" t="s">
        <v>5507</v>
      </c>
      <c r="Y1219" t="s">
        <v>3341</v>
      </c>
      <c r="AB1219" t="s">
        <v>5401</v>
      </c>
      <c r="AE1219" t="s">
        <v>1755</v>
      </c>
      <c r="AI1219" t="s">
        <v>29</v>
      </c>
      <c r="AK1219" t="s">
        <v>5508</v>
      </c>
      <c r="AL1219" t="s">
        <v>3152</v>
      </c>
      <c r="AN1219">
        <v>0</v>
      </c>
      <c r="AO1219" t="s">
        <v>1834</v>
      </c>
      <c r="AP1219" t="s">
        <v>1834</v>
      </c>
      <c r="AQ1219">
        <v>0</v>
      </c>
      <c r="AR1219" t="s">
        <v>1835</v>
      </c>
    </row>
    <row r="1220" spans="1:44" x14ac:dyDescent="0.25">
      <c r="A1220" t="s">
        <v>3141</v>
      </c>
      <c r="D1220" t="s">
        <v>196</v>
      </c>
      <c r="E1220" t="s">
        <v>195</v>
      </c>
      <c r="F1220" t="s">
        <v>1755</v>
      </c>
      <c r="G1220" t="str">
        <f>CONCATENATE(Master_Packing_Database[[#This Row],[Exp '#]],Master_Packing_Database[[#This Row],[Batch '#]])</f>
        <v>2233rd-</v>
      </c>
      <c r="H1220" t="s">
        <v>197</v>
      </c>
      <c r="I1220" t="s">
        <v>198</v>
      </c>
      <c r="J1220" t="s">
        <v>117</v>
      </c>
      <c r="K1220" t="s">
        <v>4042</v>
      </c>
      <c r="L1220" t="s">
        <v>599</v>
      </c>
      <c r="M1220" t="s">
        <v>599</v>
      </c>
      <c r="N1220" t="s">
        <v>199</v>
      </c>
      <c r="O1220" t="s">
        <v>200</v>
      </c>
      <c r="V1220" t="s">
        <v>3279</v>
      </c>
      <c r="X1220" t="s">
        <v>3965</v>
      </c>
      <c r="Y1220" t="s">
        <v>5509</v>
      </c>
      <c r="Z1220" t="s">
        <v>3966</v>
      </c>
      <c r="AB1220" t="s">
        <v>3272</v>
      </c>
      <c r="AE1220" t="s">
        <v>3965</v>
      </c>
      <c r="AG1220" t="s">
        <v>1303</v>
      </c>
      <c r="AI1220" t="s">
        <v>29</v>
      </c>
      <c r="AK1220" t="s">
        <v>3967</v>
      </c>
      <c r="AL1220" t="s">
        <v>3152</v>
      </c>
      <c r="AN1220">
        <v>0</v>
      </c>
      <c r="AO1220" t="s">
        <v>1834</v>
      </c>
      <c r="AP1220" t="s">
        <v>1834</v>
      </c>
      <c r="AQ1220">
        <v>0</v>
      </c>
      <c r="AR1220" t="s">
        <v>1758</v>
      </c>
    </row>
    <row r="1221" spans="1:44" x14ac:dyDescent="0.25">
      <c r="A1221" t="s">
        <v>3141</v>
      </c>
      <c r="D1221" t="s">
        <v>998</v>
      </c>
      <c r="E1221" t="s">
        <v>5510</v>
      </c>
      <c r="F1221" t="s">
        <v>1755</v>
      </c>
      <c r="G1221" t="str">
        <f>CONCATENATE(Master_Packing_Database[[#This Row],[Exp '#]],Master_Packing_Database[[#This Row],[Batch '#]])</f>
        <v>2213rd-</v>
      </c>
      <c r="H1221" t="s">
        <v>5511</v>
      </c>
      <c r="I1221" t="s">
        <v>156</v>
      </c>
      <c r="J1221" t="s">
        <v>117</v>
      </c>
      <c r="K1221" t="s">
        <v>1059</v>
      </c>
      <c r="L1221" t="s">
        <v>599</v>
      </c>
      <c r="M1221" t="s">
        <v>599</v>
      </c>
      <c r="N1221" t="s">
        <v>5512</v>
      </c>
      <c r="O1221" t="s">
        <v>5513</v>
      </c>
      <c r="V1221" t="s">
        <v>5514</v>
      </c>
      <c r="X1221" t="s">
        <v>5515</v>
      </c>
      <c r="Y1221" t="s">
        <v>522</v>
      </c>
      <c r="Z1221" t="s">
        <v>5516</v>
      </c>
      <c r="AB1221" t="s">
        <v>5355</v>
      </c>
      <c r="AE1221" t="s">
        <v>5515</v>
      </c>
      <c r="AG1221" t="s">
        <v>1303</v>
      </c>
      <c r="AI1221" t="s">
        <v>29</v>
      </c>
      <c r="AK1221" t="s">
        <v>5517</v>
      </c>
      <c r="AL1221" t="s">
        <v>3152</v>
      </c>
      <c r="AN1221">
        <v>0</v>
      </c>
      <c r="AO1221" t="s">
        <v>1834</v>
      </c>
      <c r="AP1221" t="s">
        <v>1834</v>
      </c>
      <c r="AQ1221">
        <v>0</v>
      </c>
      <c r="AR1221" t="s">
        <v>1758</v>
      </c>
    </row>
    <row r="1222" spans="1:44" x14ac:dyDescent="0.25">
      <c r="A1222" t="s">
        <v>3141</v>
      </c>
      <c r="D1222" t="s">
        <v>2719</v>
      </c>
      <c r="E1222" t="s">
        <v>354</v>
      </c>
      <c r="F1222" t="s">
        <v>761</v>
      </c>
      <c r="G1222" t="str">
        <f>CONCATENATE(Master_Packing_Database[[#This Row],[Exp '#]],Master_Packing_Database[[#This Row],[Batch '#]])</f>
        <v>2278th1st</v>
      </c>
      <c r="H1222" t="s">
        <v>5518</v>
      </c>
      <c r="I1222" t="s">
        <v>660</v>
      </c>
      <c r="J1222" t="s">
        <v>117</v>
      </c>
      <c r="K1222" t="s">
        <v>1147</v>
      </c>
      <c r="L1222" t="s">
        <v>116</v>
      </c>
      <c r="M1222" t="s">
        <v>116</v>
      </c>
      <c r="N1222" t="s">
        <v>661</v>
      </c>
      <c r="O1222" t="s">
        <v>655</v>
      </c>
      <c r="V1222" t="s">
        <v>3070</v>
      </c>
      <c r="X1222" t="s">
        <v>3070</v>
      </c>
      <c r="Z1222" t="s">
        <v>5519</v>
      </c>
      <c r="AB1222" t="s">
        <v>5520</v>
      </c>
      <c r="AE1222" t="s">
        <v>3070</v>
      </c>
      <c r="AG1222" t="s">
        <v>1303</v>
      </c>
      <c r="AI1222" t="s">
        <v>29</v>
      </c>
      <c r="AK1222" t="s">
        <v>5521</v>
      </c>
      <c r="AL1222" t="s">
        <v>3152</v>
      </c>
      <c r="AN1222">
        <v>0</v>
      </c>
      <c r="AO1222" t="s">
        <v>1834</v>
      </c>
      <c r="AP1222" t="s">
        <v>1834</v>
      </c>
      <c r="AQ1222">
        <v>0</v>
      </c>
      <c r="AR1222" t="s">
        <v>1758</v>
      </c>
    </row>
    <row r="1223" spans="1:44" x14ac:dyDescent="0.25">
      <c r="A1223" t="s">
        <v>3141</v>
      </c>
      <c r="D1223" t="s">
        <v>5522</v>
      </c>
      <c r="E1223" t="s">
        <v>164</v>
      </c>
      <c r="F1223" t="s">
        <v>1755</v>
      </c>
      <c r="G1223" t="str">
        <f>CONCATENATE(Master_Packing_Database[[#This Row],[Exp '#]],Master_Packing_Database[[#This Row],[Batch '#]])</f>
        <v>2224th-</v>
      </c>
      <c r="H1223" t="s">
        <v>5523</v>
      </c>
      <c r="I1223" t="s">
        <v>5524</v>
      </c>
      <c r="J1223" t="s">
        <v>117</v>
      </c>
      <c r="K1223" t="s">
        <v>3701</v>
      </c>
      <c r="L1223" t="s">
        <v>5525</v>
      </c>
      <c r="M1223" t="s">
        <v>1016</v>
      </c>
      <c r="N1223" t="s">
        <v>5526</v>
      </c>
      <c r="O1223" t="s">
        <v>5527</v>
      </c>
      <c r="V1223" t="s">
        <v>5494</v>
      </c>
      <c r="X1223" t="s">
        <v>5528</v>
      </c>
      <c r="Y1223" t="s">
        <v>2640</v>
      </c>
      <c r="Z1223" t="s">
        <v>5529</v>
      </c>
      <c r="AB1223" t="s">
        <v>3896</v>
      </c>
      <c r="AE1223" t="s">
        <v>5528</v>
      </c>
      <c r="AG1223" t="s">
        <v>1303</v>
      </c>
      <c r="AI1223" t="s">
        <v>29</v>
      </c>
      <c r="AK1223" t="s">
        <v>5530</v>
      </c>
      <c r="AL1223" t="s">
        <v>3152</v>
      </c>
      <c r="AN1223">
        <v>0</v>
      </c>
      <c r="AO1223" t="s">
        <v>1834</v>
      </c>
      <c r="AP1223" t="s">
        <v>1834</v>
      </c>
      <c r="AQ1223">
        <v>0</v>
      </c>
      <c r="AR1223" t="s">
        <v>1758</v>
      </c>
    </row>
    <row r="1224" spans="1:44" x14ac:dyDescent="0.25">
      <c r="A1224" t="s">
        <v>3141</v>
      </c>
      <c r="D1224" t="s">
        <v>5531</v>
      </c>
      <c r="E1224" t="s">
        <v>5532</v>
      </c>
      <c r="F1224" t="s">
        <v>1755</v>
      </c>
      <c r="G1224" t="str">
        <f>CONCATENATE(Master_Packing_Database[[#This Row],[Exp '#]],Master_Packing_Database[[#This Row],[Batch '#]])</f>
        <v>2205th-</v>
      </c>
      <c r="H1224" t="s">
        <v>5533</v>
      </c>
      <c r="I1224" t="s">
        <v>5534</v>
      </c>
      <c r="J1224" t="s">
        <v>117</v>
      </c>
      <c r="K1224" t="s">
        <v>1059</v>
      </c>
      <c r="L1224" t="s">
        <v>116</v>
      </c>
      <c r="M1224" t="s">
        <v>116</v>
      </c>
      <c r="N1224" t="s">
        <v>5535</v>
      </c>
      <c r="O1224" t="s">
        <v>5536</v>
      </c>
      <c r="V1224" t="s">
        <v>5494</v>
      </c>
      <c r="X1224" t="s">
        <v>5528</v>
      </c>
      <c r="Y1224" t="s">
        <v>2640</v>
      </c>
      <c r="Z1224" t="s">
        <v>5529</v>
      </c>
      <c r="AB1224" t="s">
        <v>3896</v>
      </c>
      <c r="AE1224" t="s">
        <v>5528</v>
      </c>
      <c r="AG1224" t="s">
        <v>1303</v>
      </c>
      <c r="AI1224" t="s">
        <v>29</v>
      </c>
      <c r="AK1224" t="s">
        <v>5530</v>
      </c>
      <c r="AL1224" t="s">
        <v>3152</v>
      </c>
      <c r="AN1224">
        <v>0</v>
      </c>
      <c r="AO1224" t="s">
        <v>1834</v>
      </c>
      <c r="AP1224" t="s">
        <v>1834</v>
      </c>
      <c r="AQ1224">
        <v>0</v>
      </c>
      <c r="AR1224" t="s">
        <v>1758</v>
      </c>
    </row>
    <row r="1225" spans="1:44" x14ac:dyDescent="0.25">
      <c r="A1225" t="s">
        <v>3141</v>
      </c>
      <c r="D1225" t="s">
        <v>518</v>
      </c>
      <c r="E1225" t="s">
        <v>5537</v>
      </c>
      <c r="F1225" t="s">
        <v>1755</v>
      </c>
      <c r="G1225" t="str">
        <f>CONCATENATE(Master_Packing_Database[[#This Row],[Exp '#]],Master_Packing_Database[[#This Row],[Batch '#]])</f>
        <v>2236th-</v>
      </c>
      <c r="H1225" t="s">
        <v>5538</v>
      </c>
      <c r="I1225" t="s">
        <v>5539</v>
      </c>
      <c r="J1225" t="s">
        <v>117</v>
      </c>
      <c r="K1225" t="s">
        <v>3345</v>
      </c>
      <c r="L1225" t="s">
        <v>5540</v>
      </c>
      <c r="M1225" t="s">
        <v>116</v>
      </c>
      <c r="N1225" t="s">
        <v>4798</v>
      </c>
      <c r="O1225" t="s">
        <v>5541</v>
      </c>
      <c r="V1225" t="s">
        <v>5542</v>
      </c>
      <c r="X1225" t="s">
        <v>3890</v>
      </c>
      <c r="Y1225" t="s">
        <v>2654</v>
      </c>
      <c r="Z1225" t="s">
        <v>5543</v>
      </c>
      <c r="AB1225" t="s">
        <v>5514</v>
      </c>
      <c r="AE1225" t="s">
        <v>5478</v>
      </c>
      <c r="AG1225" t="s">
        <v>3385</v>
      </c>
      <c r="AI1225" t="s">
        <v>29</v>
      </c>
      <c r="AK1225" t="s">
        <v>5544</v>
      </c>
      <c r="AL1225" t="s">
        <v>3152</v>
      </c>
      <c r="AN1225">
        <v>0</v>
      </c>
      <c r="AO1225" t="s">
        <v>1834</v>
      </c>
      <c r="AP1225" t="s">
        <v>1834</v>
      </c>
      <c r="AQ1225">
        <v>0</v>
      </c>
      <c r="AR1225" t="s">
        <v>1758</v>
      </c>
    </row>
    <row r="1226" spans="1:44" x14ac:dyDescent="0.25">
      <c r="A1226" t="s">
        <v>3141</v>
      </c>
      <c r="D1226" t="s">
        <v>5545</v>
      </c>
      <c r="E1226" t="s">
        <v>5546</v>
      </c>
      <c r="F1226" t="s">
        <v>1755</v>
      </c>
      <c r="G1226" t="str">
        <f>CONCATENATE(Master_Packing_Database[[#This Row],[Exp '#]],Master_Packing_Database[[#This Row],[Batch '#]])</f>
        <v>2268th-</v>
      </c>
      <c r="H1226" t="s">
        <v>5547</v>
      </c>
      <c r="I1226" t="s">
        <v>5457</v>
      </c>
      <c r="J1226" t="s">
        <v>117</v>
      </c>
      <c r="K1226" t="s">
        <v>5548</v>
      </c>
      <c r="L1226" t="s">
        <v>116</v>
      </c>
      <c r="M1226" t="s">
        <v>116</v>
      </c>
      <c r="N1226" t="s">
        <v>5549</v>
      </c>
      <c r="O1226" t="s">
        <v>5550</v>
      </c>
      <c r="V1226" t="s">
        <v>5498</v>
      </c>
      <c r="X1226" t="s">
        <v>5498</v>
      </c>
      <c r="Y1226" t="s">
        <v>1303</v>
      </c>
      <c r="Z1226" t="s">
        <v>3069</v>
      </c>
      <c r="AB1226" t="s">
        <v>5551</v>
      </c>
      <c r="AE1226" t="s">
        <v>5498</v>
      </c>
      <c r="AG1226" t="s">
        <v>4083</v>
      </c>
      <c r="AI1226" t="s">
        <v>29</v>
      </c>
      <c r="AK1226" t="s">
        <v>5544</v>
      </c>
      <c r="AL1226" t="s">
        <v>3152</v>
      </c>
      <c r="AN1226">
        <v>0</v>
      </c>
      <c r="AO1226" t="s">
        <v>1834</v>
      </c>
      <c r="AP1226" t="s">
        <v>1834</v>
      </c>
      <c r="AQ1226">
        <v>0</v>
      </c>
      <c r="AR1226" t="s">
        <v>1758</v>
      </c>
    </row>
    <row r="1227" spans="1:44" x14ac:dyDescent="0.25">
      <c r="A1227" t="s">
        <v>3141</v>
      </c>
      <c r="D1227" t="s">
        <v>311</v>
      </c>
      <c r="E1227" t="s">
        <v>5552</v>
      </c>
      <c r="F1227" t="s">
        <v>1755</v>
      </c>
      <c r="G1227" t="str">
        <f>CONCATENATE(Master_Packing_Database[[#This Row],[Exp '#]],Master_Packing_Database[[#This Row],[Batch '#]])</f>
        <v>2218th-</v>
      </c>
      <c r="H1227" t="s">
        <v>5553</v>
      </c>
      <c r="I1227" t="s">
        <v>156</v>
      </c>
      <c r="J1227" t="s">
        <v>117</v>
      </c>
      <c r="K1227" t="s">
        <v>3173</v>
      </c>
      <c r="L1227" t="s">
        <v>1016</v>
      </c>
      <c r="M1227" t="s">
        <v>1016</v>
      </c>
      <c r="N1227" t="s">
        <v>5554</v>
      </c>
      <c r="O1227" t="s">
        <v>5555</v>
      </c>
      <c r="V1227" t="s">
        <v>5542</v>
      </c>
      <c r="X1227" t="s">
        <v>5542</v>
      </c>
      <c r="Y1227" t="s">
        <v>1303</v>
      </c>
      <c r="Z1227" t="s">
        <v>5556</v>
      </c>
      <c r="AB1227" t="s">
        <v>5514</v>
      </c>
      <c r="AE1227" t="s">
        <v>5557</v>
      </c>
      <c r="AG1227" t="s">
        <v>5558</v>
      </c>
      <c r="AI1227" t="s">
        <v>29</v>
      </c>
      <c r="AK1227" t="s">
        <v>5544</v>
      </c>
      <c r="AL1227" t="s">
        <v>3152</v>
      </c>
      <c r="AN1227">
        <v>0</v>
      </c>
      <c r="AO1227" t="s">
        <v>1834</v>
      </c>
      <c r="AP1227" t="s">
        <v>1834</v>
      </c>
      <c r="AQ1227">
        <v>0</v>
      </c>
      <c r="AR1227" t="s">
        <v>1758</v>
      </c>
    </row>
    <row r="1228" spans="1:44" x14ac:dyDescent="0.25">
      <c r="A1228" t="s">
        <v>3141</v>
      </c>
      <c r="D1228" t="s">
        <v>394</v>
      </c>
      <c r="E1228" t="s">
        <v>400</v>
      </c>
      <c r="F1228" t="s">
        <v>1755</v>
      </c>
      <c r="G1228" t="str">
        <f>CONCATENATE(Master_Packing_Database[[#This Row],[Exp '#]],Master_Packing_Database[[#This Row],[Batch '#]])</f>
        <v>2286th-</v>
      </c>
      <c r="H1228" t="s">
        <v>401</v>
      </c>
      <c r="I1228" t="s">
        <v>402</v>
      </c>
      <c r="J1228" t="s">
        <v>117</v>
      </c>
      <c r="K1228" t="s">
        <v>5559</v>
      </c>
      <c r="L1228" t="s">
        <v>599</v>
      </c>
      <c r="M1228" t="s">
        <v>116</v>
      </c>
      <c r="N1228" t="s">
        <v>403</v>
      </c>
      <c r="O1228" t="s">
        <v>404</v>
      </c>
      <c r="V1228" t="s">
        <v>5542</v>
      </c>
      <c r="X1228" t="s">
        <v>5542</v>
      </c>
      <c r="Y1228" t="s">
        <v>1303</v>
      </c>
      <c r="Z1228" t="s">
        <v>5556</v>
      </c>
      <c r="AB1228" t="s">
        <v>5514</v>
      </c>
      <c r="AE1228" t="s">
        <v>5557</v>
      </c>
      <c r="AG1228" t="s">
        <v>5558</v>
      </c>
      <c r="AI1228" t="s">
        <v>29</v>
      </c>
      <c r="AK1228" t="s">
        <v>5544</v>
      </c>
      <c r="AL1228" t="s">
        <v>3152</v>
      </c>
      <c r="AN1228">
        <v>0</v>
      </c>
      <c r="AO1228" t="s">
        <v>1834</v>
      </c>
      <c r="AP1228" t="s">
        <v>1834</v>
      </c>
      <c r="AQ1228">
        <v>0</v>
      </c>
      <c r="AR1228" t="s">
        <v>1758</v>
      </c>
    </row>
    <row r="1229" spans="1:44" x14ac:dyDescent="0.25">
      <c r="A1229" t="s">
        <v>3141</v>
      </c>
      <c r="D1229" t="s">
        <v>1195</v>
      </c>
      <c r="E1229" t="s">
        <v>5560</v>
      </c>
      <c r="F1229" t="s">
        <v>1755</v>
      </c>
      <c r="G1229" t="str">
        <f>CONCATENATE(Master_Packing_Database[[#This Row],[Exp '#]],Master_Packing_Database[[#This Row],[Batch '#]])</f>
        <v>25-032-</v>
      </c>
      <c r="H1229" t="s">
        <v>5561</v>
      </c>
      <c r="I1229" t="s">
        <v>5562</v>
      </c>
      <c r="J1229" t="s">
        <v>5396</v>
      </c>
      <c r="K1229" t="s">
        <v>1147</v>
      </c>
      <c r="L1229" t="s">
        <v>5563</v>
      </c>
      <c r="M1229" t="s">
        <v>599</v>
      </c>
      <c r="N1229" t="s">
        <v>588</v>
      </c>
      <c r="O1229" t="s">
        <v>5564</v>
      </c>
      <c r="V1229" t="s">
        <v>5399</v>
      </c>
      <c r="X1229" t="s">
        <v>5565</v>
      </c>
      <c r="Y1229" t="s">
        <v>966</v>
      </c>
      <c r="Z1229" t="s">
        <v>5566</v>
      </c>
      <c r="AB1229" t="s">
        <v>5401</v>
      </c>
      <c r="AE1229" t="s">
        <v>5565</v>
      </c>
      <c r="AG1229" t="s">
        <v>4083</v>
      </c>
      <c r="AI1229" t="s">
        <v>29</v>
      </c>
      <c r="AK1229" t="s">
        <v>5544</v>
      </c>
      <c r="AL1229" t="s">
        <v>3152</v>
      </c>
      <c r="AN1229">
        <v>0</v>
      </c>
      <c r="AO1229" t="s">
        <v>1834</v>
      </c>
      <c r="AP1229" t="s">
        <v>1834</v>
      </c>
      <c r="AQ1229">
        <v>0</v>
      </c>
      <c r="AR1229" t="s">
        <v>1758</v>
      </c>
    </row>
    <row r="1230" spans="1:44" x14ac:dyDescent="0.25">
      <c r="A1230" t="s">
        <v>3141</v>
      </c>
      <c r="D1230" t="s">
        <v>3075</v>
      </c>
      <c r="E1230" t="s">
        <v>5567</v>
      </c>
      <c r="F1230" t="s">
        <v>1755</v>
      </c>
      <c r="G1230" t="str">
        <f>CONCATENATE(Master_Packing_Database[[#This Row],[Exp '#]],Master_Packing_Database[[#This Row],[Batch '#]])</f>
        <v>25-021-</v>
      </c>
      <c r="H1230" t="s">
        <v>5568</v>
      </c>
      <c r="I1230" t="s">
        <v>5569</v>
      </c>
      <c r="J1230" t="s">
        <v>366</v>
      </c>
      <c r="K1230" t="s">
        <v>1147</v>
      </c>
      <c r="L1230" t="s">
        <v>264</v>
      </c>
      <c r="M1230" t="s">
        <v>116</v>
      </c>
      <c r="N1230" t="s">
        <v>1113</v>
      </c>
      <c r="O1230" t="s">
        <v>3349</v>
      </c>
      <c r="V1230" t="s">
        <v>5399</v>
      </c>
      <c r="X1230" t="s">
        <v>5514</v>
      </c>
      <c r="Y1230" t="s">
        <v>5140</v>
      </c>
      <c r="Z1230" t="s">
        <v>5570</v>
      </c>
      <c r="AB1230" t="s">
        <v>5401</v>
      </c>
      <c r="AE1230" t="s">
        <v>5514</v>
      </c>
      <c r="AG1230" t="s">
        <v>1303</v>
      </c>
      <c r="AI1230" t="s">
        <v>29</v>
      </c>
      <c r="AK1230" t="s">
        <v>5571</v>
      </c>
      <c r="AL1230" t="s">
        <v>3152</v>
      </c>
      <c r="AN1230">
        <v>0</v>
      </c>
      <c r="AO1230" t="s">
        <v>1834</v>
      </c>
      <c r="AP1230" t="s">
        <v>1834</v>
      </c>
      <c r="AQ1230">
        <v>0</v>
      </c>
      <c r="AR1230" t="s">
        <v>1758</v>
      </c>
    </row>
    <row r="1231" spans="1:44" x14ac:dyDescent="0.25">
      <c r="A1231" t="s">
        <v>3141</v>
      </c>
      <c r="D1231" t="s">
        <v>720</v>
      </c>
      <c r="E1231" t="s">
        <v>5572</v>
      </c>
      <c r="F1231" t="s">
        <v>631</v>
      </c>
      <c r="G1231" t="str">
        <f>CONCATENATE(Master_Packing_Database[[#This Row],[Exp '#]],Master_Packing_Database[[#This Row],[Batch '#]])</f>
        <v>2239thBy Air</v>
      </c>
      <c r="H1231" t="s">
        <v>5573</v>
      </c>
      <c r="I1231" t="s">
        <v>1066</v>
      </c>
      <c r="J1231" t="s">
        <v>117</v>
      </c>
      <c r="K1231" t="s">
        <v>4319</v>
      </c>
      <c r="L1231" t="s">
        <v>975</v>
      </c>
      <c r="M1231" t="s">
        <v>599</v>
      </c>
      <c r="N1231" t="s">
        <v>5574</v>
      </c>
      <c r="O1231" t="s">
        <v>5369</v>
      </c>
      <c r="V1231" t="s">
        <v>5515</v>
      </c>
      <c r="X1231" t="s">
        <v>5515</v>
      </c>
      <c r="Y1231" t="s">
        <v>1303</v>
      </c>
      <c r="Z1231" t="s">
        <v>5575</v>
      </c>
      <c r="AB1231" t="s">
        <v>5576</v>
      </c>
      <c r="AE1231" t="s">
        <v>5515</v>
      </c>
      <c r="AG1231" t="s">
        <v>1303</v>
      </c>
      <c r="AI1231" t="s">
        <v>29</v>
      </c>
      <c r="AK1231" t="s">
        <v>5571</v>
      </c>
      <c r="AL1231" t="s">
        <v>3152</v>
      </c>
      <c r="AN1231">
        <v>0</v>
      </c>
      <c r="AO1231" t="s">
        <v>1834</v>
      </c>
      <c r="AP1231" t="s">
        <v>1834</v>
      </c>
      <c r="AQ1231">
        <v>0</v>
      </c>
      <c r="AR1231" t="s">
        <v>1758</v>
      </c>
    </row>
    <row r="1232" spans="1:44" x14ac:dyDescent="0.25">
      <c r="A1232" t="s">
        <v>3141</v>
      </c>
      <c r="D1232" t="s">
        <v>1328</v>
      </c>
      <c r="E1232" t="s">
        <v>5577</v>
      </c>
      <c r="F1232" t="s">
        <v>1755</v>
      </c>
      <c r="G1232" t="str">
        <f>CONCATENATE(Master_Packing_Database[[#This Row],[Exp '#]],Master_Packing_Database[[#This Row],[Batch '#]])</f>
        <v>2263rd-</v>
      </c>
      <c r="H1232" t="s">
        <v>5578</v>
      </c>
      <c r="I1232" t="s">
        <v>5579</v>
      </c>
      <c r="J1232" t="s">
        <v>366</v>
      </c>
      <c r="K1232" t="s">
        <v>5580</v>
      </c>
      <c r="L1232" t="s">
        <v>5581</v>
      </c>
      <c r="M1232" t="s">
        <v>116</v>
      </c>
      <c r="N1232" t="s">
        <v>588</v>
      </c>
      <c r="O1232" t="s">
        <v>5582</v>
      </c>
      <c r="V1232" t="s">
        <v>5557</v>
      </c>
      <c r="X1232" t="s">
        <v>5583</v>
      </c>
      <c r="Y1232" t="s">
        <v>1016</v>
      </c>
      <c r="Z1232" t="s">
        <v>5584</v>
      </c>
      <c r="AB1232" t="s">
        <v>5585</v>
      </c>
      <c r="AE1232" t="s">
        <v>5583</v>
      </c>
      <c r="AG1232" t="s">
        <v>1303</v>
      </c>
      <c r="AI1232" t="s">
        <v>29</v>
      </c>
      <c r="AK1232" t="s">
        <v>3975</v>
      </c>
      <c r="AL1232" t="s">
        <v>3152</v>
      </c>
      <c r="AN1232">
        <v>0</v>
      </c>
      <c r="AO1232" t="s">
        <v>1834</v>
      </c>
      <c r="AP1232" t="s">
        <v>1834</v>
      </c>
      <c r="AQ1232">
        <v>0</v>
      </c>
      <c r="AR1232" t="s">
        <v>1758</v>
      </c>
    </row>
    <row r="1233" spans="1:44" x14ac:dyDescent="0.25">
      <c r="A1233" t="s">
        <v>3141</v>
      </c>
      <c r="D1233" t="s">
        <v>2719</v>
      </c>
      <c r="E1233" t="s">
        <v>5586</v>
      </c>
      <c r="F1233" t="s">
        <v>5587</v>
      </c>
      <c r="G1233" t="str">
        <f>CONCATENATE(Master_Packing_Database[[#This Row],[Exp '#]],Master_Packing_Database[[#This Row],[Batch '#]])</f>
        <v>2081 (IOL MEMO NO. 207)Ship with Export # 2278</v>
      </c>
      <c r="H1233" t="s">
        <v>5588</v>
      </c>
      <c r="I1233" t="s">
        <v>5589</v>
      </c>
      <c r="J1233" t="s">
        <v>117</v>
      </c>
      <c r="K1233" t="s">
        <v>3285</v>
      </c>
      <c r="L1233" t="s">
        <v>4844</v>
      </c>
      <c r="M1233" t="s">
        <v>599</v>
      </c>
      <c r="N1233" t="s">
        <v>5590</v>
      </c>
      <c r="O1233" t="s">
        <v>5591</v>
      </c>
      <c r="V1233" t="s">
        <v>5557</v>
      </c>
      <c r="X1233" t="s">
        <v>5583</v>
      </c>
      <c r="Y1233" t="s">
        <v>1016</v>
      </c>
      <c r="Z1233" t="s">
        <v>5584</v>
      </c>
      <c r="AB1233" t="s">
        <v>5585</v>
      </c>
      <c r="AE1233" t="s">
        <v>5583</v>
      </c>
      <c r="AG1233" t="s">
        <v>1303</v>
      </c>
      <c r="AI1233" t="s">
        <v>29</v>
      </c>
      <c r="AK1233" t="s">
        <v>3975</v>
      </c>
      <c r="AL1233" t="s">
        <v>3152</v>
      </c>
      <c r="AN1233">
        <v>0</v>
      </c>
      <c r="AO1233" t="s">
        <v>1834</v>
      </c>
      <c r="AP1233" t="s">
        <v>1834</v>
      </c>
      <c r="AQ1233">
        <v>0</v>
      </c>
      <c r="AR1233" t="s">
        <v>1758</v>
      </c>
    </row>
    <row r="1234" spans="1:44" x14ac:dyDescent="0.25">
      <c r="A1234" t="s">
        <v>3141</v>
      </c>
      <c r="D1234" t="s">
        <v>2719</v>
      </c>
      <c r="E1234" t="s">
        <v>354</v>
      </c>
      <c r="F1234" t="s">
        <v>422</v>
      </c>
      <c r="G1234" t="str">
        <f>CONCATENATE(Master_Packing_Database[[#This Row],[Exp '#]],Master_Packing_Database[[#This Row],[Batch '#]])</f>
        <v>2278th2nd</v>
      </c>
      <c r="H1234" t="s">
        <v>5592</v>
      </c>
      <c r="I1234" t="s">
        <v>319</v>
      </c>
      <c r="J1234" t="s">
        <v>366</v>
      </c>
      <c r="K1234" t="s">
        <v>5593</v>
      </c>
      <c r="L1234" t="s">
        <v>4207</v>
      </c>
      <c r="M1234" t="s">
        <v>599</v>
      </c>
      <c r="N1234" t="s">
        <v>5594</v>
      </c>
      <c r="O1234" t="s">
        <v>5595</v>
      </c>
      <c r="V1234" t="s">
        <v>5557</v>
      </c>
      <c r="X1234" t="s">
        <v>3973</v>
      </c>
      <c r="Y1234" t="s">
        <v>1072</v>
      </c>
      <c r="Z1234" t="s">
        <v>5596</v>
      </c>
      <c r="AB1234" t="s">
        <v>5585</v>
      </c>
      <c r="AE1234" t="s">
        <v>3973</v>
      </c>
      <c r="AG1234" t="s">
        <v>1303</v>
      </c>
      <c r="AI1234" t="s">
        <v>29</v>
      </c>
      <c r="AK1234" t="s">
        <v>3975</v>
      </c>
      <c r="AL1234" t="s">
        <v>3152</v>
      </c>
      <c r="AN1234">
        <v>0</v>
      </c>
      <c r="AO1234" t="s">
        <v>1834</v>
      </c>
      <c r="AP1234" t="s">
        <v>1834</v>
      </c>
      <c r="AQ1234">
        <v>0</v>
      </c>
      <c r="AR1234" t="s">
        <v>1758</v>
      </c>
    </row>
    <row r="1235" spans="1:44" x14ac:dyDescent="0.25">
      <c r="A1235" t="s">
        <v>3141</v>
      </c>
      <c r="D1235" t="s">
        <v>1158</v>
      </c>
      <c r="E1235" t="s">
        <v>1157</v>
      </c>
      <c r="F1235" t="s">
        <v>1755</v>
      </c>
      <c r="G1235" t="str">
        <f>CONCATENATE(Master_Packing_Database[[#This Row],[Exp '#]],Master_Packing_Database[[#This Row],[Batch '#]])</f>
        <v>25-025-</v>
      </c>
      <c r="H1235" t="s">
        <v>5597</v>
      </c>
      <c r="I1235" t="s">
        <v>1227</v>
      </c>
      <c r="J1235" t="s">
        <v>366</v>
      </c>
      <c r="K1235" t="s">
        <v>1147</v>
      </c>
      <c r="L1235" t="s">
        <v>5598</v>
      </c>
      <c r="M1235" t="s">
        <v>544</v>
      </c>
      <c r="N1235" t="s">
        <v>5599</v>
      </c>
      <c r="O1235" t="s">
        <v>5600</v>
      </c>
      <c r="V1235" t="s">
        <v>5399</v>
      </c>
      <c r="X1235" t="s">
        <v>5601</v>
      </c>
      <c r="Y1235" t="s">
        <v>3669</v>
      </c>
      <c r="Z1235" t="s">
        <v>5602</v>
      </c>
      <c r="AB1235" t="s">
        <v>5401</v>
      </c>
      <c r="AE1235" t="s">
        <v>5601</v>
      </c>
      <c r="AG1235" t="s">
        <v>1303</v>
      </c>
      <c r="AI1235" t="s">
        <v>29</v>
      </c>
      <c r="AK1235" t="s">
        <v>3975</v>
      </c>
      <c r="AL1235" t="s">
        <v>3152</v>
      </c>
      <c r="AN1235">
        <v>0</v>
      </c>
      <c r="AO1235" t="s">
        <v>1834</v>
      </c>
      <c r="AP1235" t="s">
        <v>1834</v>
      </c>
      <c r="AQ1235">
        <v>0</v>
      </c>
      <c r="AR1235" t="s">
        <v>1758</v>
      </c>
    </row>
    <row r="1236" spans="1:44" x14ac:dyDescent="0.25">
      <c r="A1236" t="s">
        <v>3141</v>
      </c>
      <c r="D1236" t="s">
        <v>35</v>
      </c>
      <c r="E1236" t="s">
        <v>5603</v>
      </c>
      <c r="F1236" t="s">
        <v>631</v>
      </c>
      <c r="G1236" t="str">
        <f>CONCATENATE(Master_Packing_Database[[#This Row],[Exp '#]],Master_Packing_Database[[#This Row],[Batch '#]])</f>
        <v>2249thBy Air</v>
      </c>
      <c r="H1236" t="s">
        <v>5604</v>
      </c>
      <c r="I1236" t="s">
        <v>846</v>
      </c>
      <c r="J1236" t="s">
        <v>117</v>
      </c>
      <c r="K1236" t="s">
        <v>1147</v>
      </c>
      <c r="L1236" t="s">
        <v>376</v>
      </c>
      <c r="M1236" t="s">
        <v>599</v>
      </c>
      <c r="N1236" t="s">
        <v>381</v>
      </c>
      <c r="O1236" t="s">
        <v>976</v>
      </c>
      <c r="V1236" t="s">
        <v>3983</v>
      </c>
      <c r="X1236" t="s">
        <v>3973</v>
      </c>
      <c r="Y1236" t="s">
        <v>5605</v>
      </c>
      <c r="Z1236" t="s">
        <v>5596</v>
      </c>
      <c r="AB1236" t="s">
        <v>3231</v>
      </c>
      <c r="AE1236" t="s">
        <v>3973</v>
      </c>
      <c r="AG1236" t="s">
        <v>1303</v>
      </c>
      <c r="AI1236" t="s">
        <v>29</v>
      </c>
      <c r="AK1236" t="s">
        <v>5606</v>
      </c>
      <c r="AL1236" t="s">
        <v>3152</v>
      </c>
      <c r="AN1236">
        <v>0</v>
      </c>
      <c r="AO1236" t="s">
        <v>1834</v>
      </c>
      <c r="AP1236" t="s">
        <v>1834</v>
      </c>
      <c r="AQ1236">
        <v>0</v>
      </c>
      <c r="AR1236" t="s">
        <v>1758</v>
      </c>
    </row>
    <row r="1237" spans="1:44" x14ac:dyDescent="0.25">
      <c r="A1237" t="s">
        <v>3141</v>
      </c>
      <c r="D1237" t="s">
        <v>834</v>
      </c>
      <c r="E1237" t="s">
        <v>5607</v>
      </c>
      <c r="F1237" t="s">
        <v>1755</v>
      </c>
      <c r="G1237" t="str">
        <f>CONCATENATE(Master_Packing_Database[[#This Row],[Exp '#]],Master_Packing_Database[[#This Row],[Batch '#]])</f>
        <v>2269th-</v>
      </c>
      <c r="H1237" t="s">
        <v>5608</v>
      </c>
      <c r="I1237" t="s">
        <v>156</v>
      </c>
      <c r="J1237" t="s">
        <v>117</v>
      </c>
      <c r="K1237" t="s">
        <v>5609</v>
      </c>
      <c r="L1237" t="s">
        <v>116</v>
      </c>
      <c r="M1237" t="s">
        <v>116</v>
      </c>
      <c r="N1237" t="s">
        <v>5610</v>
      </c>
      <c r="O1237" t="s">
        <v>5611</v>
      </c>
      <c r="V1237" t="s">
        <v>3983</v>
      </c>
      <c r="X1237" t="s">
        <v>5612</v>
      </c>
      <c r="Y1237" t="s">
        <v>1112</v>
      </c>
      <c r="Z1237" t="s">
        <v>5613</v>
      </c>
      <c r="AB1237" t="s">
        <v>3231</v>
      </c>
      <c r="AE1237" t="s">
        <v>5612</v>
      </c>
      <c r="AG1237" t="s">
        <v>1303</v>
      </c>
      <c r="AI1237" t="s">
        <v>29</v>
      </c>
      <c r="AK1237" t="s">
        <v>3985</v>
      </c>
      <c r="AL1237" t="s">
        <v>3152</v>
      </c>
      <c r="AN1237">
        <v>0</v>
      </c>
      <c r="AO1237" t="s">
        <v>1834</v>
      </c>
      <c r="AP1237" t="s">
        <v>1834</v>
      </c>
      <c r="AQ1237">
        <v>0</v>
      </c>
      <c r="AR1237" t="s">
        <v>1758</v>
      </c>
    </row>
    <row r="1238" spans="1:44" x14ac:dyDescent="0.25">
      <c r="A1238" t="s">
        <v>3141</v>
      </c>
      <c r="D1238" t="s">
        <v>1142</v>
      </c>
      <c r="E1238" t="s">
        <v>5614</v>
      </c>
      <c r="F1238" t="s">
        <v>1755</v>
      </c>
      <c r="G1238" t="str">
        <f>CONCATENATE(Master_Packing_Database[[#This Row],[Exp '#]],Master_Packing_Database[[#This Row],[Batch '#]])</f>
        <v>25-009-</v>
      </c>
      <c r="H1238" t="s">
        <v>5615</v>
      </c>
      <c r="I1238" t="s">
        <v>798</v>
      </c>
      <c r="J1238" t="s">
        <v>117</v>
      </c>
      <c r="K1238" t="s">
        <v>1147</v>
      </c>
      <c r="L1238" t="s">
        <v>521</v>
      </c>
      <c r="M1238" t="s">
        <v>116</v>
      </c>
      <c r="N1238" t="s">
        <v>1461</v>
      </c>
      <c r="O1238" t="s">
        <v>5080</v>
      </c>
      <c r="V1238" t="s">
        <v>5399</v>
      </c>
      <c r="X1238" t="s">
        <v>3093</v>
      </c>
      <c r="Y1238" t="s">
        <v>5616</v>
      </c>
      <c r="Z1238" t="s">
        <v>5617</v>
      </c>
      <c r="AB1238" t="s">
        <v>5401</v>
      </c>
      <c r="AE1238" t="s">
        <v>3093</v>
      </c>
      <c r="AG1238" t="s">
        <v>1303</v>
      </c>
      <c r="AI1238" t="s">
        <v>29</v>
      </c>
      <c r="AK1238" t="s">
        <v>3985</v>
      </c>
      <c r="AL1238" t="s">
        <v>3152</v>
      </c>
      <c r="AN1238">
        <v>0</v>
      </c>
      <c r="AO1238" t="s">
        <v>1834</v>
      </c>
      <c r="AP1238" t="s">
        <v>1834</v>
      </c>
      <c r="AQ1238">
        <v>0</v>
      </c>
      <c r="AR1238" t="s">
        <v>1758</v>
      </c>
    </row>
    <row r="1239" spans="1:44" x14ac:dyDescent="0.25">
      <c r="A1239" t="s">
        <v>3141</v>
      </c>
      <c r="D1239" t="s">
        <v>38</v>
      </c>
      <c r="E1239" t="s">
        <v>5618</v>
      </c>
      <c r="F1239" t="s">
        <v>5619</v>
      </c>
      <c r="G1239" t="str">
        <f>CONCATENATE(Master_Packing_Database[[#This Row],[Exp '#]],Master_Packing_Database[[#This Row],[Batch '#]])</f>
        <v>2257th1st LC</v>
      </c>
      <c r="H1239" t="s">
        <v>5620</v>
      </c>
      <c r="I1239" t="s">
        <v>5621</v>
      </c>
      <c r="J1239" t="s">
        <v>117</v>
      </c>
      <c r="K1239" t="s">
        <v>3426</v>
      </c>
      <c r="L1239" t="s">
        <v>3430</v>
      </c>
      <c r="M1239" t="s">
        <v>3430</v>
      </c>
      <c r="N1239" t="s">
        <v>5622</v>
      </c>
      <c r="O1239" t="s">
        <v>5623</v>
      </c>
      <c r="V1239" t="s">
        <v>5624</v>
      </c>
      <c r="X1239" t="s">
        <v>5625</v>
      </c>
      <c r="Y1239" t="s">
        <v>5626</v>
      </c>
      <c r="Z1239" t="s">
        <v>5627</v>
      </c>
      <c r="AB1239" t="s">
        <v>3979</v>
      </c>
      <c r="AE1239" t="s">
        <v>5625</v>
      </c>
      <c r="AG1239" t="s">
        <v>1303</v>
      </c>
      <c r="AI1239" t="s">
        <v>29</v>
      </c>
      <c r="AK1239" t="s">
        <v>5628</v>
      </c>
      <c r="AL1239" t="s">
        <v>3152</v>
      </c>
      <c r="AN1239">
        <v>0</v>
      </c>
      <c r="AO1239" t="s">
        <v>1834</v>
      </c>
      <c r="AP1239" t="s">
        <v>1834</v>
      </c>
      <c r="AQ1239">
        <v>0</v>
      </c>
      <c r="AR1239" t="s">
        <v>1758</v>
      </c>
    </row>
    <row r="1240" spans="1:44" x14ac:dyDescent="0.25">
      <c r="A1240" t="s">
        <v>3141</v>
      </c>
      <c r="D1240" t="s">
        <v>834</v>
      </c>
      <c r="E1240" t="s">
        <v>5629</v>
      </c>
      <c r="F1240" t="s">
        <v>1755</v>
      </c>
      <c r="G1240" t="str">
        <f>CONCATENATE(Master_Packing_Database[[#This Row],[Exp '#]],Master_Packing_Database[[#This Row],[Batch '#]])</f>
        <v>2223rd-</v>
      </c>
      <c r="H1240" t="s">
        <v>5630</v>
      </c>
      <c r="I1240" t="s">
        <v>156</v>
      </c>
      <c r="J1240" t="s">
        <v>117</v>
      </c>
      <c r="K1240" t="s">
        <v>4793</v>
      </c>
      <c r="L1240" t="s">
        <v>116</v>
      </c>
      <c r="M1240" t="s">
        <v>116</v>
      </c>
      <c r="N1240" t="s">
        <v>5631</v>
      </c>
      <c r="O1240" t="s">
        <v>5632</v>
      </c>
      <c r="V1240" t="s">
        <v>5557</v>
      </c>
      <c r="X1240" t="s">
        <v>5625</v>
      </c>
      <c r="Y1240" t="s">
        <v>3263</v>
      </c>
      <c r="Z1240" t="s">
        <v>5627</v>
      </c>
      <c r="AB1240" t="s">
        <v>5585</v>
      </c>
      <c r="AE1240" t="s">
        <v>5625</v>
      </c>
      <c r="AG1240" t="s">
        <v>1303</v>
      </c>
      <c r="AI1240" t="s">
        <v>29</v>
      </c>
      <c r="AK1240" t="s">
        <v>5628</v>
      </c>
      <c r="AL1240" t="s">
        <v>3152</v>
      </c>
      <c r="AN1240">
        <v>0</v>
      </c>
      <c r="AO1240" t="s">
        <v>1834</v>
      </c>
      <c r="AP1240" t="s">
        <v>1834</v>
      </c>
      <c r="AQ1240">
        <v>0</v>
      </c>
      <c r="AR1240" t="s">
        <v>1758</v>
      </c>
    </row>
    <row r="1241" spans="1:44" x14ac:dyDescent="0.25">
      <c r="A1241" t="s">
        <v>3141</v>
      </c>
      <c r="D1241" t="s">
        <v>38</v>
      </c>
      <c r="E1241" t="s">
        <v>5633</v>
      </c>
      <c r="F1241" t="s">
        <v>5634</v>
      </c>
      <c r="G1241" t="str">
        <f>CONCATENATE(Master_Packing_Database[[#This Row],[Exp '#]],Master_Packing_Database[[#This Row],[Batch '#]])</f>
        <v>2298thLC</v>
      </c>
      <c r="H1241" t="s">
        <v>5635</v>
      </c>
      <c r="I1241" t="s">
        <v>111</v>
      </c>
      <c r="J1241" t="s">
        <v>117</v>
      </c>
      <c r="K1241" t="s">
        <v>3578</v>
      </c>
      <c r="L1241" t="s">
        <v>1338</v>
      </c>
      <c r="M1241" t="s">
        <v>835</v>
      </c>
      <c r="N1241" t="s">
        <v>5636</v>
      </c>
      <c r="O1241" t="s">
        <v>5637</v>
      </c>
      <c r="V1241" t="s">
        <v>5557</v>
      </c>
      <c r="X1241" t="s">
        <v>5638</v>
      </c>
      <c r="Y1241" t="s">
        <v>264</v>
      </c>
      <c r="Z1241" t="s">
        <v>5639</v>
      </c>
      <c r="AB1241" t="s">
        <v>5585</v>
      </c>
      <c r="AE1241" t="s">
        <v>5638</v>
      </c>
      <c r="AG1241" t="s">
        <v>1303</v>
      </c>
      <c r="AI1241" t="s">
        <v>29</v>
      </c>
      <c r="AK1241" t="s">
        <v>5640</v>
      </c>
      <c r="AL1241" t="s">
        <v>3152</v>
      </c>
      <c r="AN1241">
        <v>0</v>
      </c>
      <c r="AO1241" t="s">
        <v>1834</v>
      </c>
      <c r="AP1241" t="s">
        <v>1834</v>
      </c>
      <c r="AQ1241">
        <v>0</v>
      </c>
      <c r="AR1241" t="s">
        <v>1758</v>
      </c>
    </row>
    <row r="1242" spans="1:44" x14ac:dyDescent="0.25">
      <c r="A1242" t="s">
        <v>3141</v>
      </c>
      <c r="D1242" t="s">
        <v>394</v>
      </c>
      <c r="E1242" t="s">
        <v>573</v>
      </c>
      <c r="F1242" t="s">
        <v>631</v>
      </c>
      <c r="G1242" t="str">
        <f>CONCATENATE(Master_Packing_Database[[#This Row],[Exp '#]],Master_Packing_Database[[#This Row],[Batch '#]])</f>
        <v>2322ndBy Air</v>
      </c>
      <c r="H1242" t="s">
        <v>5641</v>
      </c>
      <c r="I1242" t="s">
        <v>575</v>
      </c>
      <c r="J1242" t="s">
        <v>117</v>
      </c>
      <c r="K1242" t="s">
        <v>1147</v>
      </c>
      <c r="L1242" t="s">
        <v>116</v>
      </c>
      <c r="M1242" t="s">
        <v>116</v>
      </c>
      <c r="N1242" t="s">
        <v>5516</v>
      </c>
      <c r="O1242" t="s">
        <v>5642</v>
      </c>
      <c r="V1242" t="s">
        <v>5557</v>
      </c>
      <c r="X1242" t="s">
        <v>3984</v>
      </c>
      <c r="Y1242" t="s">
        <v>849</v>
      </c>
      <c r="Z1242" t="s">
        <v>5643</v>
      </c>
      <c r="AB1242" t="s">
        <v>5585</v>
      </c>
      <c r="AE1242" t="s">
        <v>3984</v>
      </c>
      <c r="AG1242" t="s">
        <v>1303</v>
      </c>
      <c r="AI1242" t="s">
        <v>29</v>
      </c>
      <c r="AK1242" t="s">
        <v>5644</v>
      </c>
      <c r="AL1242" t="s">
        <v>3152</v>
      </c>
      <c r="AN1242">
        <v>0</v>
      </c>
      <c r="AO1242" t="s">
        <v>1834</v>
      </c>
      <c r="AP1242" t="s">
        <v>1834</v>
      </c>
      <c r="AQ1242">
        <v>0</v>
      </c>
      <c r="AR1242" t="s">
        <v>1758</v>
      </c>
    </row>
    <row r="1243" spans="1:44" x14ac:dyDescent="0.25">
      <c r="A1243" t="s">
        <v>3141</v>
      </c>
      <c r="D1243" t="s">
        <v>1195</v>
      </c>
      <c r="E1243" t="s">
        <v>1217</v>
      </c>
      <c r="F1243" t="s">
        <v>1755</v>
      </c>
      <c r="G1243" t="str">
        <f>CONCATENATE(Master_Packing_Database[[#This Row],[Exp '#]],Master_Packing_Database[[#This Row],[Batch '#]])</f>
        <v>25-037-</v>
      </c>
      <c r="H1243" t="s">
        <v>1218</v>
      </c>
      <c r="I1243" t="s">
        <v>1219</v>
      </c>
      <c r="J1243" t="s">
        <v>117</v>
      </c>
      <c r="K1243" t="s">
        <v>1147</v>
      </c>
      <c r="L1243" t="s">
        <v>5184</v>
      </c>
      <c r="M1243" t="s">
        <v>599</v>
      </c>
      <c r="N1243" t="s">
        <v>1220</v>
      </c>
      <c r="O1243" t="s">
        <v>1221</v>
      </c>
      <c r="V1243" t="s">
        <v>5399</v>
      </c>
      <c r="X1243" t="s">
        <v>5638</v>
      </c>
      <c r="Y1243" t="s">
        <v>765</v>
      </c>
      <c r="Z1243" t="s">
        <v>5639</v>
      </c>
      <c r="AB1243" t="s">
        <v>5401</v>
      </c>
      <c r="AE1243" t="s">
        <v>5638</v>
      </c>
      <c r="AG1243" t="s">
        <v>1303</v>
      </c>
      <c r="AI1243" t="s">
        <v>29</v>
      </c>
      <c r="AK1243" t="s">
        <v>4024</v>
      </c>
      <c r="AL1243" t="s">
        <v>3152</v>
      </c>
      <c r="AN1243">
        <v>0</v>
      </c>
      <c r="AO1243" t="s">
        <v>1834</v>
      </c>
      <c r="AP1243" t="s">
        <v>1834</v>
      </c>
      <c r="AQ1243">
        <v>0</v>
      </c>
      <c r="AR1243" t="s">
        <v>1758</v>
      </c>
    </row>
    <row r="1244" spans="1:44" x14ac:dyDescent="0.25">
      <c r="A1244" t="s">
        <v>3141</v>
      </c>
      <c r="D1244" t="s">
        <v>1195</v>
      </c>
      <c r="E1244" t="s">
        <v>1194</v>
      </c>
      <c r="F1244" t="s">
        <v>1755</v>
      </c>
      <c r="G1244" t="str">
        <f>CONCATENATE(Master_Packing_Database[[#This Row],[Exp '#]],Master_Packing_Database[[#This Row],[Batch '#]])</f>
        <v>25-033-</v>
      </c>
      <c r="H1244" t="s">
        <v>1196</v>
      </c>
      <c r="I1244" t="s">
        <v>1197</v>
      </c>
      <c r="J1244" t="s">
        <v>1371</v>
      </c>
      <c r="K1244" t="s">
        <v>1147</v>
      </c>
      <c r="L1244" t="s">
        <v>116</v>
      </c>
      <c r="M1244" t="s">
        <v>116</v>
      </c>
      <c r="N1244" t="s">
        <v>1198</v>
      </c>
      <c r="O1244" t="s">
        <v>1199</v>
      </c>
      <c r="V1244" t="s">
        <v>5399</v>
      </c>
      <c r="X1244" t="s">
        <v>4023</v>
      </c>
      <c r="Y1244" t="s">
        <v>5645</v>
      </c>
      <c r="Z1244" t="s">
        <v>576</v>
      </c>
      <c r="AB1244" t="s">
        <v>5401</v>
      </c>
      <c r="AE1244" t="s">
        <v>4023</v>
      </c>
      <c r="AG1244" t="s">
        <v>1303</v>
      </c>
      <c r="AI1244" t="s">
        <v>29</v>
      </c>
      <c r="AK1244" t="s">
        <v>4024</v>
      </c>
      <c r="AL1244" t="s">
        <v>3152</v>
      </c>
      <c r="AN1244">
        <v>0</v>
      </c>
      <c r="AO1244" t="s">
        <v>1834</v>
      </c>
      <c r="AP1244" t="s">
        <v>1834</v>
      </c>
      <c r="AQ1244">
        <v>0</v>
      </c>
      <c r="AR1244" t="s">
        <v>1758</v>
      </c>
    </row>
    <row r="1245" spans="1:44" x14ac:dyDescent="0.25">
      <c r="A1245" t="s">
        <v>3141</v>
      </c>
      <c r="D1245" t="s">
        <v>196</v>
      </c>
      <c r="E1245" t="s">
        <v>545</v>
      </c>
      <c r="F1245" t="s">
        <v>1755</v>
      </c>
      <c r="G1245" t="str">
        <f>CONCATENATE(Master_Packing_Database[[#This Row],[Exp '#]],Master_Packing_Database[[#This Row],[Batch '#]])</f>
        <v>2317th-</v>
      </c>
      <c r="H1245" t="s">
        <v>546</v>
      </c>
      <c r="I1245" t="s">
        <v>547</v>
      </c>
      <c r="J1245" t="s">
        <v>366</v>
      </c>
      <c r="K1245" t="s">
        <v>1147</v>
      </c>
      <c r="L1245" t="s">
        <v>5646</v>
      </c>
      <c r="M1245" t="s">
        <v>116</v>
      </c>
      <c r="N1245" t="s">
        <v>548</v>
      </c>
      <c r="O1245" t="s">
        <v>549</v>
      </c>
      <c r="V1245" t="s">
        <v>5399</v>
      </c>
      <c r="X1245" t="s">
        <v>4038</v>
      </c>
      <c r="Y1245" t="s">
        <v>5647</v>
      </c>
      <c r="Z1245" t="s">
        <v>661</v>
      </c>
      <c r="AB1245" t="s">
        <v>5401</v>
      </c>
      <c r="AE1245" t="s">
        <v>4038</v>
      </c>
      <c r="AG1245" t="s">
        <v>1303</v>
      </c>
      <c r="AI1245" t="s">
        <v>29</v>
      </c>
      <c r="AK1245" t="s">
        <v>4033</v>
      </c>
      <c r="AL1245" t="s">
        <v>3152</v>
      </c>
      <c r="AN1245">
        <v>0</v>
      </c>
      <c r="AO1245" t="s">
        <v>1834</v>
      </c>
      <c r="AP1245" t="s">
        <v>1834</v>
      </c>
      <c r="AQ1245">
        <v>0</v>
      </c>
      <c r="AR1245" t="s">
        <v>1758</v>
      </c>
    </row>
    <row r="1246" spans="1:44" x14ac:dyDescent="0.25">
      <c r="A1246" t="s">
        <v>3141</v>
      </c>
      <c r="D1246" t="s">
        <v>2719</v>
      </c>
      <c r="E1246" t="s">
        <v>141</v>
      </c>
      <c r="F1246" t="s">
        <v>761</v>
      </c>
      <c r="G1246" t="str">
        <f>CONCATENATE(Master_Packing_Database[[#This Row],[Exp '#]],Master_Packing_Database[[#This Row],[Batch '#]])</f>
        <v>2211st1st</v>
      </c>
      <c r="H1246" t="s">
        <v>5648</v>
      </c>
      <c r="I1246" t="s">
        <v>145</v>
      </c>
      <c r="J1246" t="s">
        <v>117</v>
      </c>
      <c r="K1246" t="s">
        <v>3361</v>
      </c>
      <c r="L1246" t="s">
        <v>116</v>
      </c>
      <c r="M1246" t="s">
        <v>871</v>
      </c>
      <c r="N1246" t="s">
        <v>5649</v>
      </c>
      <c r="O1246" t="s">
        <v>5650</v>
      </c>
      <c r="V1246" t="s">
        <v>4664</v>
      </c>
      <c r="X1246" t="s">
        <v>5651</v>
      </c>
      <c r="Y1246" t="s">
        <v>5499</v>
      </c>
      <c r="Z1246" t="s">
        <v>5652</v>
      </c>
      <c r="AB1246" t="s">
        <v>4665</v>
      </c>
      <c r="AE1246" t="s">
        <v>5651</v>
      </c>
      <c r="AG1246" t="s">
        <v>1303</v>
      </c>
      <c r="AI1246" t="s">
        <v>29</v>
      </c>
      <c r="AK1246" t="s">
        <v>4033</v>
      </c>
      <c r="AL1246" t="s">
        <v>3152</v>
      </c>
      <c r="AN1246">
        <v>0</v>
      </c>
      <c r="AO1246" t="s">
        <v>1834</v>
      </c>
      <c r="AP1246" t="s">
        <v>1834</v>
      </c>
      <c r="AQ1246">
        <v>0</v>
      </c>
      <c r="AR1246" t="s">
        <v>1758</v>
      </c>
    </row>
    <row r="1247" spans="1:44" x14ac:dyDescent="0.25">
      <c r="A1247" t="s">
        <v>3141</v>
      </c>
      <c r="D1247" t="s">
        <v>311</v>
      </c>
      <c r="E1247" t="s">
        <v>310</v>
      </c>
      <c r="F1247" t="s">
        <v>1755</v>
      </c>
      <c r="G1247" t="str">
        <f>CONCATENATE(Master_Packing_Database[[#This Row],[Exp '#]],Master_Packing_Database[[#This Row],[Batch '#]])</f>
        <v>2266th-</v>
      </c>
      <c r="H1247" t="s">
        <v>312</v>
      </c>
      <c r="I1247" t="s">
        <v>168</v>
      </c>
      <c r="J1247" t="s">
        <v>117</v>
      </c>
      <c r="K1247" t="s">
        <v>1059</v>
      </c>
      <c r="L1247" t="s">
        <v>975</v>
      </c>
      <c r="M1247" t="s">
        <v>975</v>
      </c>
      <c r="N1247" t="s">
        <v>5653</v>
      </c>
      <c r="O1247" t="s">
        <v>5654</v>
      </c>
      <c r="V1247" t="s">
        <v>4717</v>
      </c>
      <c r="X1247" t="s">
        <v>5655</v>
      </c>
      <c r="Y1247" t="s">
        <v>5656</v>
      </c>
      <c r="Z1247" t="s">
        <v>1403</v>
      </c>
      <c r="AB1247" t="s">
        <v>4788</v>
      </c>
      <c r="AE1247" t="s">
        <v>5655</v>
      </c>
      <c r="AG1247" t="s">
        <v>1303</v>
      </c>
      <c r="AI1247" t="s">
        <v>29</v>
      </c>
      <c r="AK1247" t="s">
        <v>4062</v>
      </c>
      <c r="AL1247" t="s">
        <v>3152</v>
      </c>
      <c r="AN1247">
        <v>0</v>
      </c>
      <c r="AO1247" t="s">
        <v>1834</v>
      </c>
      <c r="AP1247" t="s">
        <v>1834</v>
      </c>
      <c r="AQ1247">
        <v>0</v>
      </c>
      <c r="AR1247" t="s">
        <v>1758</v>
      </c>
    </row>
    <row r="1248" spans="1:44" x14ac:dyDescent="0.25">
      <c r="A1248" t="s">
        <v>3141</v>
      </c>
      <c r="D1248" t="s">
        <v>1142</v>
      </c>
      <c r="E1248" t="s">
        <v>5657</v>
      </c>
      <c r="F1248" t="s">
        <v>761</v>
      </c>
      <c r="G1248" t="str">
        <f>CONCATENATE(Master_Packing_Database[[#This Row],[Exp '#]],Master_Packing_Database[[#This Row],[Batch '#]])</f>
        <v>25-0271st</v>
      </c>
      <c r="H1248" t="s">
        <v>5658</v>
      </c>
      <c r="I1248" t="s">
        <v>5659</v>
      </c>
      <c r="J1248" t="s">
        <v>117</v>
      </c>
      <c r="K1248" t="s">
        <v>1147</v>
      </c>
      <c r="L1248" t="s">
        <v>835</v>
      </c>
      <c r="M1248" t="s">
        <v>116</v>
      </c>
      <c r="N1248" t="s">
        <v>2680</v>
      </c>
      <c r="O1248" t="s">
        <v>4645</v>
      </c>
      <c r="V1248" t="s">
        <v>5399</v>
      </c>
      <c r="X1248" t="s">
        <v>4067</v>
      </c>
      <c r="Y1248" t="s">
        <v>5660</v>
      </c>
      <c r="Z1248" t="s">
        <v>5661</v>
      </c>
      <c r="AB1248" t="s">
        <v>5401</v>
      </c>
      <c r="AE1248" t="s">
        <v>5655</v>
      </c>
      <c r="AG1248" t="s">
        <v>3544</v>
      </c>
      <c r="AI1248" t="s">
        <v>29</v>
      </c>
      <c r="AK1248" t="s">
        <v>4062</v>
      </c>
      <c r="AL1248" t="s">
        <v>3152</v>
      </c>
      <c r="AN1248">
        <v>0</v>
      </c>
      <c r="AO1248" t="s">
        <v>1834</v>
      </c>
      <c r="AP1248" t="s">
        <v>1834</v>
      </c>
      <c r="AQ1248">
        <v>0</v>
      </c>
      <c r="AR1248" t="s">
        <v>1758</v>
      </c>
    </row>
    <row r="1249" spans="1:44" x14ac:dyDescent="0.25">
      <c r="A1249" t="s">
        <v>3141</v>
      </c>
      <c r="D1249" t="s">
        <v>4473</v>
      </c>
      <c r="E1249" t="s">
        <v>5662</v>
      </c>
      <c r="F1249" t="s">
        <v>1755</v>
      </c>
      <c r="G1249" t="str">
        <f>CONCATENATE(Master_Packing_Database[[#This Row],[Exp '#]],Master_Packing_Database[[#This Row],[Batch '#]])</f>
        <v>2294th-</v>
      </c>
      <c r="H1249" t="s">
        <v>5663</v>
      </c>
      <c r="I1249" t="s">
        <v>5664</v>
      </c>
      <c r="J1249" t="s">
        <v>366</v>
      </c>
      <c r="K1249" t="s">
        <v>1147</v>
      </c>
      <c r="L1249" t="s">
        <v>827</v>
      </c>
      <c r="M1249" t="s">
        <v>116</v>
      </c>
      <c r="N1249" t="s">
        <v>4217</v>
      </c>
      <c r="O1249" t="s">
        <v>5665</v>
      </c>
      <c r="V1249" t="s">
        <v>5585</v>
      </c>
      <c r="X1249" t="s">
        <v>5585</v>
      </c>
      <c r="Y1249" t="s">
        <v>5666</v>
      </c>
      <c r="Z1249" t="s">
        <v>5667</v>
      </c>
      <c r="AB1249" t="s">
        <v>3933</v>
      </c>
      <c r="AE1249" t="s">
        <v>5585</v>
      </c>
      <c r="AG1249" t="s">
        <v>1303</v>
      </c>
      <c r="AI1249" t="s">
        <v>29</v>
      </c>
      <c r="AK1249" t="s">
        <v>4062</v>
      </c>
      <c r="AL1249" t="s">
        <v>3152</v>
      </c>
      <c r="AN1249">
        <v>0</v>
      </c>
      <c r="AO1249" t="s">
        <v>1834</v>
      </c>
      <c r="AP1249" t="s">
        <v>1834</v>
      </c>
      <c r="AQ1249">
        <v>0</v>
      </c>
      <c r="AR1249" t="s">
        <v>1758</v>
      </c>
    </row>
    <row r="1250" spans="1:44" x14ac:dyDescent="0.25">
      <c r="A1250" t="s">
        <v>3141</v>
      </c>
      <c r="D1250" t="s">
        <v>1142</v>
      </c>
      <c r="E1250" t="s">
        <v>1148</v>
      </c>
      <c r="F1250" t="s">
        <v>1755</v>
      </c>
      <c r="G1250" t="str">
        <f>CONCATENATE(Master_Packing_Database[[#This Row],[Exp '#]],Master_Packing_Database[[#This Row],[Batch '#]])</f>
        <v>25-018-</v>
      </c>
      <c r="H1250" t="s">
        <v>1149</v>
      </c>
      <c r="I1250" t="s">
        <v>5668</v>
      </c>
      <c r="J1250" t="s">
        <v>117</v>
      </c>
      <c r="K1250" t="s">
        <v>1147</v>
      </c>
      <c r="L1250" t="s">
        <v>116</v>
      </c>
      <c r="M1250" t="s">
        <v>116</v>
      </c>
      <c r="N1250" t="s">
        <v>1151</v>
      </c>
      <c r="O1250" t="s">
        <v>1152</v>
      </c>
      <c r="V1250" t="s">
        <v>4797</v>
      </c>
      <c r="X1250" t="s">
        <v>4797</v>
      </c>
      <c r="Y1250" t="s">
        <v>5669</v>
      </c>
      <c r="Z1250" t="s">
        <v>5670</v>
      </c>
      <c r="AB1250" t="s">
        <v>3354</v>
      </c>
      <c r="AE1250" t="s">
        <v>3071</v>
      </c>
      <c r="AG1250" t="s">
        <v>4289</v>
      </c>
      <c r="AI1250" t="s">
        <v>29</v>
      </c>
      <c r="AK1250" t="s">
        <v>4062</v>
      </c>
      <c r="AL1250" t="s">
        <v>3152</v>
      </c>
      <c r="AN1250">
        <v>0</v>
      </c>
      <c r="AO1250" t="s">
        <v>1834</v>
      </c>
      <c r="AP1250" t="s">
        <v>1834</v>
      </c>
      <c r="AQ1250">
        <v>0</v>
      </c>
      <c r="AR1250" t="s">
        <v>1758</v>
      </c>
    </row>
    <row r="1251" spans="1:44" x14ac:dyDescent="0.25">
      <c r="A1251" t="s">
        <v>3141</v>
      </c>
      <c r="D1251" t="s">
        <v>2719</v>
      </c>
      <c r="E1251" t="s">
        <v>141</v>
      </c>
      <c r="F1251" t="s">
        <v>422</v>
      </c>
      <c r="G1251" t="str">
        <f>CONCATENATE(Master_Packing_Database[[#This Row],[Exp '#]],Master_Packing_Database[[#This Row],[Batch '#]])</f>
        <v>2211st2nd</v>
      </c>
      <c r="H1251" t="s">
        <v>5671</v>
      </c>
      <c r="I1251" t="s">
        <v>145</v>
      </c>
      <c r="J1251" t="s">
        <v>117</v>
      </c>
      <c r="K1251" t="s">
        <v>3399</v>
      </c>
      <c r="L1251" t="s">
        <v>116</v>
      </c>
      <c r="M1251" t="s">
        <v>5672</v>
      </c>
      <c r="N1251" t="s">
        <v>5673</v>
      </c>
      <c r="O1251" t="s">
        <v>5674</v>
      </c>
      <c r="V1251" t="s">
        <v>4011</v>
      </c>
      <c r="X1251" t="s">
        <v>4067</v>
      </c>
      <c r="Y1251" t="s">
        <v>5669</v>
      </c>
      <c r="Z1251" t="s">
        <v>5675</v>
      </c>
      <c r="AB1251" t="s">
        <v>4061</v>
      </c>
      <c r="AE1251" t="s">
        <v>4067</v>
      </c>
      <c r="AI1251" t="s">
        <v>29</v>
      </c>
      <c r="AK1251" t="s">
        <v>4069</v>
      </c>
      <c r="AL1251" t="s">
        <v>3152</v>
      </c>
      <c r="AN1251">
        <v>0</v>
      </c>
      <c r="AO1251" t="s">
        <v>1834</v>
      </c>
      <c r="AP1251" t="s">
        <v>1834</v>
      </c>
      <c r="AQ1251">
        <v>0</v>
      </c>
      <c r="AR1251" t="s">
        <v>1758</v>
      </c>
    </row>
    <row r="1252" spans="1:44" x14ac:dyDescent="0.25">
      <c r="A1252" t="s">
        <v>3141</v>
      </c>
      <c r="D1252" t="s">
        <v>2719</v>
      </c>
      <c r="E1252" t="s">
        <v>5676</v>
      </c>
      <c r="F1252" t="s">
        <v>1755</v>
      </c>
      <c r="G1252" t="str">
        <f>CONCATENATE(Master_Packing_Database[[#This Row],[Exp '#]],Master_Packing_Database[[#This Row],[Batch '#]])</f>
        <v>2369th-</v>
      </c>
      <c r="H1252" t="s">
        <v>5677</v>
      </c>
      <c r="I1252" t="s">
        <v>5678</v>
      </c>
      <c r="J1252" t="s">
        <v>117</v>
      </c>
      <c r="K1252" t="s">
        <v>1147</v>
      </c>
      <c r="L1252" t="s">
        <v>521</v>
      </c>
      <c r="M1252" t="s">
        <v>599</v>
      </c>
      <c r="N1252" t="s">
        <v>3090</v>
      </c>
      <c r="O1252" t="s">
        <v>4249</v>
      </c>
      <c r="V1252" t="s">
        <v>4067</v>
      </c>
      <c r="X1252" t="s">
        <v>4067</v>
      </c>
      <c r="Y1252" t="s">
        <v>4069</v>
      </c>
      <c r="Z1252" t="s">
        <v>4068</v>
      </c>
      <c r="AB1252" t="s">
        <v>3071</v>
      </c>
      <c r="AE1252" t="s">
        <v>4067</v>
      </c>
      <c r="AG1252" t="s">
        <v>1303</v>
      </c>
      <c r="AI1252" t="s">
        <v>29</v>
      </c>
      <c r="AK1252" t="s">
        <v>4069</v>
      </c>
      <c r="AL1252" t="s">
        <v>3152</v>
      </c>
      <c r="AN1252">
        <v>0</v>
      </c>
      <c r="AO1252" t="s">
        <v>1834</v>
      </c>
      <c r="AP1252" t="s">
        <v>1834</v>
      </c>
      <c r="AQ1252">
        <v>0</v>
      </c>
      <c r="AR1252" t="s">
        <v>1758</v>
      </c>
    </row>
    <row r="1253" spans="1:44" x14ac:dyDescent="0.25">
      <c r="A1253" t="s">
        <v>3141</v>
      </c>
      <c r="D1253" t="s">
        <v>834</v>
      </c>
      <c r="E1253" t="s">
        <v>185</v>
      </c>
      <c r="F1253" t="s">
        <v>1755</v>
      </c>
      <c r="G1253" t="str">
        <f>CONCATENATE(Master_Packing_Database[[#This Row],[Exp '#]],Master_Packing_Database[[#This Row],[Batch '#]])</f>
        <v>2232nd-</v>
      </c>
      <c r="H1253" t="s">
        <v>187</v>
      </c>
      <c r="I1253" t="s">
        <v>188</v>
      </c>
      <c r="J1253" t="s">
        <v>366</v>
      </c>
      <c r="K1253" t="s">
        <v>1042</v>
      </c>
      <c r="L1253" t="s">
        <v>5679</v>
      </c>
      <c r="M1253" t="s">
        <v>975</v>
      </c>
      <c r="N1253" t="s">
        <v>4418</v>
      </c>
      <c r="O1253" t="s">
        <v>5680</v>
      </c>
      <c r="V1253" t="s">
        <v>4073</v>
      </c>
      <c r="X1253" t="s">
        <v>4073</v>
      </c>
      <c r="Y1253" t="s">
        <v>1303</v>
      </c>
      <c r="Z1253" t="s">
        <v>4074</v>
      </c>
      <c r="AB1253" t="s">
        <v>4016</v>
      </c>
      <c r="AE1253" t="s">
        <v>4073</v>
      </c>
      <c r="AG1253" t="s">
        <v>1303</v>
      </c>
      <c r="AI1253" t="s">
        <v>29</v>
      </c>
      <c r="AK1253" t="s">
        <v>5681</v>
      </c>
      <c r="AL1253" t="s">
        <v>3152</v>
      </c>
      <c r="AN1253">
        <v>0</v>
      </c>
      <c r="AO1253" t="s">
        <v>1834</v>
      </c>
      <c r="AP1253" t="s">
        <v>1834</v>
      </c>
      <c r="AQ1253">
        <v>0</v>
      </c>
      <c r="AR1253" t="s">
        <v>1758</v>
      </c>
    </row>
    <row r="1254" spans="1:44" x14ac:dyDescent="0.25">
      <c r="A1254" t="s">
        <v>3141</v>
      </c>
      <c r="D1254" t="s">
        <v>394</v>
      </c>
      <c r="E1254" t="s">
        <v>573</v>
      </c>
      <c r="F1254" t="s">
        <v>5682</v>
      </c>
      <c r="G1254" t="str">
        <f>CONCATENATE(Master_Packing_Database[[#This Row],[Exp '#]],Master_Packing_Database[[#This Row],[Batch '#]])</f>
        <v>2322ndShip with Export # 2285</v>
      </c>
      <c r="H1254" t="s">
        <v>574</v>
      </c>
      <c r="I1254" t="s">
        <v>575</v>
      </c>
      <c r="J1254" t="s">
        <v>117</v>
      </c>
      <c r="K1254" t="s">
        <v>830</v>
      </c>
      <c r="L1254" t="s">
        <v>116</v>
      </c>
      <c r="M1254" t="s">
        <v>116</v>
      </c>
      <c r="N1254" t="s">
        <v>4764</v>
      </c>
      <c r="O1254" t="s">
        <v>5452</v>
      </c>
      <c r="V1254" t="s">
        <v>5683</v>
      </c>
      <c r="X1254" t="s">
        <v>5683</v>
      </c>
      <c r="Y1254" t="s">
        <v>4083</v>
      </c>
      <c r="Z1254" t="s">
        <v>5684</v>
      </c>
      <c r="AB1254" t="s">
        <v>3070</v>
      </c>
      <c r="AE1254" t="s">
        <v>5683</v>
      </c>
      <c r="AG1254" t="s">
        <v>1303</v>
      </c>
      <c r="AI1254" t="s">
        <v>29</v>
      </c>
      <c r="AK1254" t="s">
        <v>4076</v>
      </c>
      <c r="AL1254" t="s">
        <v>3152</v>
      </c>
      <c r="AN1254">
        <v>0</v>
      </c>
      <c r="AO1254" t="s">
        <v>1834</v>
      </c>
      <c r="AP1254" t="s">
        <v>1834</v>
      </c>
      <c r="AQ1254">
        <v>0</v>
      </c>
      <c r="AR1254" t="s">
        <v>1758</v>
      </c>
    </row>
    <row r="1255" spans="1:44" x14ac:dyDescent="0.25">
      <c r="A1255" t="s">
        <v>3141</v>
      </c>
      <c r="D1255" t="s">
        <v>394</v>
      </c>
      <c r="E1255" t="s">
        <v>393</v>
      </c>
      <c r="F1255" t="s">
        <v>5685</v>
      </c>
      <c r="G1255" t="str">
        <f>CONCATENATE(Master_Packing_Database[[#This Row],[Exp '#]],Master_Packing_Database[[#This Row],[Batch '#]])</f>
        <v>2285thShip with Export # 2322</v>
      </c>
      <c r="H1255" t="s">
        <v>395</v>
      </c>
      <c r="I1255" t="s">
        <v>396</v>
      </c>
      <c r="J1255" t="s">
        <v>117</v>
      </c>
      <c r="K1255" t="s">
        <v>961</v>
      </c>
      <c r="L1255" t="s">
        <v>116</v>
      </c>
      <c r="M1255" t="s">
        <v>116</v>
      </c>
      <c r="N1255" t="s">
        <v>397</v>
      </c>
      <c r="O1255" t="s">
        <v>398</v>
      </c>
      <c r="V1255" t="s">
        <v>5683</v>
      </c>
      <c r="X1255" t="s">
        <v>5683</v>
      </c>
      <c r="Z1255" t="s">
        <v>5684</v>
      </c>
      <c r="AB1255" t="s">
        <v>3071</v>
      </c>
      <c r="AE1255" t="s">
        <v>5683</v>
      </c>
      <c r="AI1255" t="s">
        <v>29</v>
      </c>
      <c r="AK1255" t="s">
        <v>4076</v>
      </c>
      <c r="AL1255" t="s">
        <v>3152</v>
      </c>
      <c r="AN1255">
        <v>0</v>
      </c>
      <c r="AO1255" t="s">
        <v>1834</v>
      </c>
      <c r="AP1255" t="s">
        <v>1834</v>
      </c>
      <c r="AQ1255">
        <v>0</v>
      </c>
      <c r="AR1255" t="s">
        <v>1758</v>
      </c>
    </row>
    <row r="1256" spans="1:44" x14ac:dyDescent="0.25">
      <c r="A1256" t="s">
        <v>3141</v>
      </c>
      <c r="D1256" t="s">
        <v>1142</v>
      </c>
      <c r="E1256" t="s">
        <v>5657</v>
      </c>
      <c r="F1256" t="s">
        <v>422</v>
      </c>
      <c r="G1256" t="str">
        <f>CONCATENATE(Master_Packing_Database[[#This Row],[Exp '#]],Master_Packing_Database[[#This Row],[Batch '#]])</f>
        <v>25-0272nd</v>
      </c>
      <c r="H1256" t="s">
        <v>5658</v>
      </c>
      <c r="I1256" t="s">
        <v>5659</v>
      </c>
      <c r="J1256" t="s">
        <v>117</v>
      </c>
      <c r="K1256" t="s">
        <v>32</v>
      </c>
      <c r="L1256" t="s">
        <v>835</v>
      </c>
      <c r="M1256" t="s">
        <v>116</v>
      </c>
      <c r="N1256" t="s">
        <v>2680</v>
      </c>
      <c r="O1256" t="s">
        <v>960</v>
      </c>
      <c r="V1256" t="s">
        <v>5399</v>
      </c>
      <c r="X1256" t="s">
        <v>5686</v>
      </c>
      <c r="Y1256" t="s">
        <v>5029</v>
      </c>
      <c r="Z1256" t="s">
        <v>5687</v>
      </c>
      <c r="AB1256" t="s">
        <v>5655</v>
      </c>
      <c r="AE1256" t="s">
        <v>5688</v>
      </c>
      <c r="AG1256" t="s">
        <v>544</v>
      </c>
      <c r="AI1256" t="s">
        <v>29</v>
      </c>
      <c r="AK1256" t="s">
        <v>5689</v>
      </c>
      <c r="AL1256" t="s">
        <v>3152</v>
      </c>
      <c r="AN1256">
        <v>0</v>
      </c>
      <c r="AO1256" t="s">
        <v>1834</v>
      </c>
      <c r="AP1256" t="s">
        <v>1834</v>
      </c>
      <c r="AQ1256">
        <v>0</v>
      </c>
      <c r="AR1256" t="s">
        <v>1758</v>
      </c>
    </row>
    <row r="1257" spans="1:44" x14ac:dyDescent="0.25">
      <c r="A1257" t="s">
        <v>3141</v>
      </c>
      <c r="D1257" t="s">
        <v>109</v>
      </c>
      <c r="E1257" t="s">
        <v>228</v>
      </c>
      <c r="F1257" t="s">
        <v>1755</v>
      </c>
      <c r="G1257" t="str">
        <f>CONCATENATE(Master_Packing_Database[[#This Row],[Exp '#]],Master_Packing_Database[[#This Row],[Batch '#]])</f>
        <v>2247th-</v>
      </c>
      <c r="H1257" t="s">
        <v>230</v>
      </c>
      <c r="I1257" t="s">
        <v>231</v>
      </c>
      <c r="J1257" t="s">
        <v>117</v>
      </c>
      <c r="K1257" t="s">
        <v>3578</v>
      </c>
      <c r="L1257" t="s">
        <v>970</v>
      </c>
      <c r="M1257" t="s">
        <v>970</v>
      </c>
      <c r="N1257" t="s">
        <v>5690</v>
      </c>
      <c r="O1257" t="s">
        <v>5691</v>
      </c>
      <c r="V1257" t="s">
        <v>5688</v>
      </c>
      <c r="X1257" t="s">
        <v>4087</v>
      </c>
      <c r="Y1257" t="s">
        <v>970</v>
      </c>
      <c r="Z1257" t="s">
        <v>4088</v>
      </c>
      <c r="AB1257" t="s">
        <v>4089</v>
      </c>
      <c r="AE1257" t="s">
        <v>4087</v>
      </c>
      <c r="AG1257" t="s">
        <v>1303</v>
      </c>
      <c r="AI1257" t="s">
        <v>29</v>
      </c>
      <c r="AK1257" t="s">
        <v>5689</v>
      </c>
      <c r="AL1257" t="s">
        <v>3152</v>
      </c>
      <c r="AN1257">
        <v>0</v>
      </c>
      <c r="AO1257" t="s">
        <v>1834</v>
      </c>
      <c r="AP1257" t="s">
        <v>1834</v>
      </c>
      <c r="AQ1257">
        <v>0</v>
      </c>
      <c r="AR1257" t="s">
        <v>1758</v>
      </c>
    </row>
    <row r="1258" spans="1:44" x14ac:dyDescent="0.25">
      <c r="A1258" t="s">
        <v>3141</v>
      </c>
      <c r="D1258" t="s">
        <v>109</v>
      </c>
      <c r="E1258" t="s">
        <v>317</v>
      </c>
      <c r="F1258" t="s">
        <v>5692</v>
      </c>
      <c r="G1258" t="str">
        <f>CONCATENATE(Master_Packing_Database[[#This Row],[Exp '#]],Master_Packing_Database[[#This Row],[Batch '#]])</f>
        <v>2270thShip with Export # 2247</v>
      </c>
      <c r="H1258" t="s">
        <v>318</v>
      </c>
      <c r="I1258" t="s">
        <v>319</v>
      </c>
      <c r="J1258" t="s">
        <v>366</v>
      </c>
      <c r="K1258" t="s">
        <v>945</v>
      </c>
      <c r="L1258" t="s">
        <v>1072</v>
      </c>
      <c r="M1258" t="s">
        <v>116</v>
      </c>
      <c r="N1258" t="s">
        <v>5693</v>
      </c>
      <c r="O1258" t="s">
        <v>5694</v>
      </c>
      <c r="V1258" t="s">
        <v>5688</v>
      </c>
      <c r="X1258" t="s">
        <v>4087</v>
      </c>
      <c r="Y1258" t="s">
        <v>970</v>
      </c>
      <c r="Z1258" t="s">
        <v>4088</v>
      </c>
      <c r="AB1258" t="s">
        <v>4089</v>
      </c>
      <c r="AE1258" t="s">
        <v>4087</v>
      </c>
      <c r="AG1258" t="s">
        <v>1303</v>
      </c>
      <c r="AI1258" t="s">
        <v>29</v>
      </c>
      <c r="AK1258" t="s">
        <v>5689</v>
      </c>
      <c r="AL1258" t="s">
        <v>3152</v>
      </c>
      <c r="AN1258">
        <v>0</v>
      </c>
      <c r="AO1258" t="s">
        <v>1834</v>
      </c>
      <c r="AP1258" t="s">
        <v>1834</v>
      </c>
      <c r="AQ1258">
        <v>0</v>
      </c>
      <c r="AR1258" t="s">
        <v>1758</v>
      </c>
    </row>
    <row r="1259" spans="1:44" x14ac:dyDescent="0.25">
      <c r="A1259" t="s">
        <v>3141</v>
      </c>
      <c r="D1259" t="s">
        <v>109</v>
      </c>
      <c r="E1259" t="s">
        <v>108</v>
      </c>
      <c r="F1259" t="s">
        <v>5692</v>
      </c>
      <c r="G1259" t="str">
        <f>CONCATENATE(Master_Packing_Database[[#This Row],[Exp '#]],Master_Packing_Database[[#This Row],[Batch '#]])</f>
        <v>1995 (IOL MEMO NO 210)Ship with Export # 2247</v>
      </c>
      <c r="H1259" t="s">
        <v>110</v>
      </c>
      <c r="I1259" t="s">
        <v>111</v>
      </c>
      <c r="J1259" t="s">
        <v>117</v>
      </c>
      <c r="K1259" t="s">
        <v>5695</v>
      </c>
      <c r="L1259" t="s">
        <v>116</v>
      </c>
      <c r="M1259" t="s">
        <v>116</v>
      </c>
      <c r="N1259" t="s">
        <v>5696</v>
      </c>
      <c r="O1259" t="s">
        <v>112</v>
      </c>
      <c r="V1259" t="s">
        <v>5688</v>
      </c>
      <c r="X1259" t="s">
        <v>4087</v>
      </c>
      <c r="Y1259" t="s">
        <v>970</v>
      </c>
      <c r="Z1259" t="s">
        <v>4088</v>
      </c>
      <c r="AB1259" t="s">
        <v>4089</v>
      </c>
      <c r="AE1259" t="s">
        <v>4087</v>
      </c>
      <c r="AG1259" t="s">
        <v>1303</v>
      </c>
      <c r="AI1259" t="s">
        <v>29</v>
      </c>
      <c r="AK1259" t="s">
        <v>5689</v>
      </c>
      <c r="AL1259" t="s">
        <v>3152</v>
      </c>
      <c r="AN1259">
        <v>0</v>
      </c>
      <c r="AO1259" t="s">
        <v>1834</v>
      </c>
      <c r="AP1259" t="s">
        <v>1834</v>
      </c>
      <c r="AQ1259">
        <v>0</v>
      </c>
      <c r="AR1259" t="s">
        <v>1758</v>
      </c>
    </row>
    <row r="1260" spans="1:44" x14ac:dyDescent="0.25">
      <c r="A1260" t="s">
        <v>3141</v>
      </c>
      <c r="D1260" t="s">
        <v>2719</v>
      </c>
      <c r="E1260" t="s">
        <v>354</v>
      </c>
      <c r="F1260" t="s">
        <v>142</v>
      </c>
      <c r="G1260" t="str">
        <f>CONCATENATE(Master_Packing_Database[[#This Row],[Exp '#]],Master_Packing_Database[[#This Row],[Batch '#]])</f>
        <v>2278th3rd</v>
      </c>
      <c r="H1260" t="s">
        <v>5697</v>
      </c>
      <c r="I1260" t="s">
        <v>5698</v>
      </c>
      <c r="J1260" t="s">
        <v>366</v>
      </c>
      <c r="K1260" t="s">
        <v>3673</v>
      </c>
      <c r="L1260" t="s">
        <v>835</v>
      </c>
      <c r="M1260" t="s">
        <v>835</v>
      </c>
      <c r="N1260" t="s">
        <v>799</v>
      </c>
      <c r="O1260" t="s">
        <v>5699</v>
      </c>
      <c r="V1260" t="s">
        <v>5688</v>
      </c>
      <c r="X1260" t="s">
        <v>4087</v>
      </c>
      <c r="Y1260" t="s">
        <v>970</v>
      </c>
      <c r="Z1260" t="s">
        <v>4088</v>
      </c>
      <c r="AB1260" t="s">
        <v>4089</v>
      </c>
      <c r="AE1260" t="s">
        <v>4087</v>
      </c>
      <c r="AG1260" t="s">
        <v>1303</v>
      </c>
      <c r="AI1260" t="s">
        <v>29</v>
      </c>
      <c r="AK1260" t="s">
        <v>5689</v>
      </c>
      <c r="AL1260" t="s">
        <v>3152</v>
      </c>
      <c r="AN1260">
        <v>0</v>
      </c>
      <c r="AO1260" t="s">
        <v>1834</v>
      </c>
      <c r="AP1260" t="s">
        <v>1834</v>
      </c>
      <c r="AQ1260">
        <v>0</v>
      </c>
      <c r="AR1260" t="s">
        <v>1758</v>
      </c>
    </row>
    <row r="1261" spans="1:44" x14ac:dyDescent="0.25">
      <c r="A1261" t="s">
        <v>3141</v>
      </c>
      <c r="D1261" t="s">
        <v>2719</v>
      </c>
      <c r="E1261" t="s">
        <v>141</v>
      </c>
      <c r="F1261" t="s">
        <v>142</v>
      </c>
      <c r="G1261" t="str">
        <f>CONCATENATE(Master_Packing_Database[[#This Row],[Exp '#]],Master_Packing_Database[[#This Row],[Batch '#]])</f>
        <v>2211st3rd</v>
      </c>
      <c r="H1261" t="s">
        <v>5700</v>
      </c>
      <c r="I1261" t="s">
        <v>145</v>
      </c>
      <c r="J1261" t="s">
        <v>366</v>
      </c>
      <c r="K1261" t="s">
        <v>3372</v>
      </c>
      <c r="L1261" t="s">
        <v>116</v>
      </c>
      <c r="M1261" t="s">
        <v>871</v>
      </c>
      <c r="N1261" t="s">
        <v>5701</v>
      </c>
      <c r="O1261" t="s">
        <v>5702</v>
      </c>
      <c r="V1261" t="s">
        <v>5688</v>
      </c>
      <c r="X1261" t="s">
        <v>4087</v>
      </c>
      <c r="Y1261" t="s">
        <v>970</v>
      </c>
      <c r="Z1261" t="s">
        <v>4088</v>
      </c>
      <c r="AB1261" t="s">
        <v>4089</v>
      </c>
      <c r="AE1261" t="s">
        <v>4087</v>
      </c>
      <c r="AG1261" t="s">
        <v>1303</v>
      </c>
      <c r="AI1261" t="s">
        <v>29</v>
      </c>
      <c r="AK1261" t="s">
        <v>5689</v>
      </c>
      <c r="AL1261" t="s">
        <v>3152</v>
      </c>
      <c r="AN1261">
        <v>0</v>
      </c>
      <c r="AO1261" t="s">
        <v>1834</v>
      </c>
      <c r="AP1261" t="s">
        <v>1834</v>
      </c>
      <c r="AQ1261">
        <v>0</v>
      </c>
      <c r="AR1261" t="s">
        <v>1758</v>
      </c>
    </row>
    <row r="1262" spans="1:44" x14ac:dyDescent="0.25">
      <c r="A1262" t="s">
        <v>3141</v>
      </c>
      <c r="D1262" t="s">
        <v>5703</v>
      </c>
      <c r="E1262" t="s">
        <v>118</v>
      </c>
      <c r="F1262" t="s">
        <v>1755</v>
      </c>
      <c r="G1262" t="str">
        <f>CONCATENATE(Master_Packing_Database[[#This Row],[Exp '#]],Master_Packing_Database[[#This Row],[Batch '#]])</f>
        <v>FOCR-</v>
      </c>
      <c r="H1262" t="s">
        <v>118</v>
      </c>
      <c r="I1262" t="s">
        <v>5704</v>
      </c>
      <c r="J1262" t="s">
        <v>366</v>
      </c>
      <c r="K1262" t="s">
        <v>1147</v>
      </c>
      <c r="L1262" t="s">
        <v>116</v>
      </c>
      <c r="M1262" t="s">
        <v>116</v>
      </c>
      <c r="N1262" t="s">
        <v>912</v>
      </c>
      <c r="O1262" t="s">
        <v>912</v>
      </c>
      <c r="V1262" t="s">
        <v>5688</v>
      </c>
      <c r="X1262" t="s">
        <v>4087</v>
      </c>
      <c r="Y1262" t="s">
        <v>970</v>
      </c>
      <c r="Z1262" t="s">
        <v>4088</v>
      </c>
      <c r="AB1262" t="s">
        <v>4089</v>
      </c>
      <c r="AE1262" t="s">
        <v>4087</v>
      </c>
      <c r="AG1262" t="s">
        <v>1303</v>
      </c>
      <c r="AI1262" t="s">
        <v>29</v>
      </c>
      <c r="AK1262" t="s">
        <v>5689</v>
      </c>
      <c r="AL1262" t="s">
        <v>3152</v>
      </c>
      <c r="AN1262">
        <v>0</v>
      </c>
      <c r="AO1262" t="s">
        <v>1834</v>
      </c>
      <c r="AP1262" t="s">
        <v>1834</v>
      </c>
      <c r="AQ1262">
        <v>0</v>
      </c>
      <c r="AR1262" t="s">
        <v>1758</v>
      </c>
    </row>
    <row r="1263" spans="1:44" x14ac:dyDescent="0.25">
      <c r="A1263" t="s">
        <v>3141</v>
      </c>
      <c r="D1263" t="s">
        <v>44</v>
      </c>
      <c r="E1263" t="s">
        <v>301</v>
      </c>
      <c r="F1263" t="s">
        <v>422</v>
      </c>
      <c r="G1263" t="str">
        <f>CONCATENATE(Master_Packing_Database[[#This Row],[Exp '#]],Master_Packing_Database[[#This Row],[Batch '#]])</f>
        <v>2265th2nd</v>
      </c>
      <c r="H1263" t="s">
        <v>5705</v>
      </c>
      <c r="I1263" t="s">
        <v>5706</v>
      </c>
      <c r="J1263" t="s">
        <v>366</v>
      </c>
      <c r="K1263" t="s">
        <v>5707</v>
      </c>
      <c r="L1263" t="s">
        <v>1072</v>
      </c>
      <c r="M1263" t="s">
        <v>912</v>
      </c>
      <c r="N1263" t="s">
        <v>5708</v>
      </c>
      <c r="O1263" t="s">
        <v>5709</v>
      </c>
      <c r="V1263" t="s">
        <v>4067</v>
      </c>
      <c r="X1263" t="s">
        <v>4087</v>
      </c>
      <c r="Y1263" t="s">
        <v>376</v>
      </c>
      <c r="Z1263" t="s">
        <v>4927</v>
      </c>
      <c r="AB1263" t="s">
        <v>4089</v>
      </c>
      <c r="AE1263" t="s">
        <v>4087</v>
      </c>
      <c r="AG1263" t="s">
        <v>1303</v>
      </c>
      <c r="AI1263" t="s">
        <v>29</v>
      </c>
      <c r="AK1263" t="s">
        <v>5710</v>
      </c>
      <c r="AL1263" t="s">
        <v>3152</v>
      </c>
      <c r="AN1263">
        <v>0</v>
      </c>
      <c r="AO1263" t="s">
        <v>1834</v>
      </c>
      <c r="AP1263" t="s">
        <v>1834</v>
      </c>
      <c r="AQ1263">
        <v>0</v>
      </c>
      <c r="AR1263" t="s">
        <v>1758</v>
      </c>
    </row>
    <row r="1264" spans="1:44" x14ac:dyDescent="0.25">
      <c r="A1264" t="s">
        <v>3141</v>
      </c>
      <c r="D1264" t="s">
        <v>27</v>
      </c>
      <c r="E1264" t="s">
        <v>1171</v>
      </c>
      <c r="F1264" t="s">
        <v>1755</v>
      </c>
      <c r="G1264" t="str">
        <f>CONCATENATE(Master_Packing_Database[[#This Row],[Exp '#]],Master_Packing_Database[[#This Row],[Batch '#]])</f>
        <v>25-026-</v>
      </c>
      <c r="H1264" t="s">
        <v>1172</v>
      </c>
      <c r="I1264" t="s">
        <v>1173</v>
      </c>
      <c r="J1264" t="s">
        <v>117</v>
      </c>
      <c r="K1264" t="s">
        <v>1147</v>
      </c>
      <c r="L1264" t="s">
        <v>544</v>
      </c>
      <c r="M1264" t="s">
        <v>544</v>
      </c>
      <c r="N1264" t="s">
        <v>1174</v>
      </c>
      <c r="O1264" t="s">
        <v>1175</v>
      </c>
      <c r="V1264" t="s">
        <v>5399</v>
      </c>
      <c r="X1264" t="s">
        <v>4087</v>
      </c>
      <c r="Y1264" t="s">
        <v>3220</v>
      </c>
      <c r="Z1264" t="s">
        <v>4088</v>
      </c>
      <c r="AB1264" t="s">
        <v>4089</v>
      </c>
      <c r="AE1264" t="s">
        <v>4087</v>
      </c>
      <c r="AG1264" t="s">
        <v>1303</v>
      </c>
      <c r="AI1264" t="s">
        <v>29</v>
      </c>
      <c r="AK1264" t="s">
        <v>5711</v>
      </c>
      <c r="AL1264" t="s">
        <v>3152</v>
      </c>
      <c r="AN1264">
        <v>0</v>
      </c>
      <c r="AO1264" t="s">
        <v>1834</v>
      </c>
      <c r="AP1264" t="s">
        <v>1834</v>
      </c>
      <c r="AQ1264">
        <v>0</v>
      </c>
      <c r="AR1264" t="s">
        <v>1758</v>
      </c>
    </row>
    <row r="1265" spans="1:44" x14ac:dyDescent="0.25">
      <c r="A1265" t="s">
        <v>3141</v>
      </c>
      <c r="D1265" t="s">
        <v>38</v>
      </c>
      <c r="E1265" t="s">
        <v>438</v>
      </c>
      <c r="F1265" t="s">
        <v>5634</v>
      </c>
      <c r="G1265" t="str">
        <f>CONCATENATE(Master_Packing_Database[[#This Row],[Exp '#]],Master_Packing_Database[[#This Row],[Batch '#]])</f>
        <v>2295thLC</v>
      </c>
      <c r="H1265" t="s">
        <v>439</v>
      </c>
      <c r="I1265" t="s">
        <v>115</v>
      </c>
      <c r="J1265" t="s">
        <v>117</v>
      </c>
      <c r="K1265" t="s">
        <v>3361</v>
      </c>
      <c r="L1265" t="s">
        <v>835</v>
      </c>
      <c r="M1265" t="s">
        <v>835</v>
      </c>
      <c r="N1265" t="s">
        <v>5712</v>
      </c>
      <c r="O1265" t="s">
        <v>5713</v>
      </c>
      <c r="V1265" t="s">
        <v>4093</v>
      </c>
      <c r="X1265" t="s">
        <v>4093</v>
      </c>
      <c r="Y1265" t="s">
        <v>1303</v>
      </c>
      <c r="Z1265" t="s">
        <v>5714</v>
      </c>
      <c r="AB1265" t="s">
        <v>5715</v>
      </c>
      <c r="AE1265" t="s">
        <v>4093</v>
      </c>
      <c r="AG1265" t="s">
        <v>1303</v>
      </c>
      <c r="AI1265" t="s">
        <v>29</v>
      </c>
      <c r="AK1265" t="s">
        <v>5711</v>
      </c>
      <c r="AL1265" t="s">
        <v>3152</v>
      </c>
      <c r="AN1265">
        <v>0</v>
      </c>
      <c r="AO1265" t="s">
        <v>1834</v>
      </c>
      <c r="AP1265" t="s">
        <v>1834</v>
      </c>
      <c r="AQ1265">
        <v>0</v>
      </c>
      <c r="AR1265" t="s">
        <v>1758</v>
      </c>
    </row>
    <row r="1266" spans="1:44" x14ac:dyDescent="0.25">
      <c r="A1266" t="s">
        <v>3141</v>
      </c>
      <c r="D1266" t="s">
        <v>1090</v>
      </c>
      <c r="E1266" t="s">
        <v>768</v>
      </c>
      <c r="F1266" t="s">
        <v>1755</v>
      </c>
      <c r="G1266" t="str">
        <f>CONCATENATE(Master_Packing_Database[[#This Row],[Exp '#]],Master_Packing_Database[[#This Row],[Batch '#]])</f>
        <v>2360th-</v>
      </c>
      <c r="H1266" t="s">
        <v>770</v>
      </c>
      <c r="I1266" t="s">
        <v>769</v>
      </c>
      <c r="J1266" t="s">
        <v>366</v>
      </c>
      <c r="K1266" t="s">
        <v>5716</v>
      </c>
      <c r="L1266" t="s">
        <v>970</v>
      </c>
      <c r="M1266" t="s">
        <v>116</v>
      </c>
      <c r="N1266" t="s">
        <v>771</v>
      </c>
      <c r="O1266" t="s">
        <v>772</v>
      </c>
      <c r="V1266" t="s">
        <v>4093</v>
      </c>
      <c r="X1266" t="s">
        <v>4102</v>
      </c>
      <c r="Y1266" t="s">
        <v>975</v>
      </c>
      <c r="Z1266" t="s">
        <v>5717</v>
      </c>
      <c r="AB1266" t="s">
        <v>5718</v>
      </c>
      <c r="AE1266" t="s">
        <v>4096</v>
      </c>
      <c r="AG1266" t="s">
        <v>2654</v>
      </c>
      <c r="AI1266" t="s">
        <v>29</v>
      </c>
      <c r="AK1266" t="s">
        <v>5719</v>
      </c>
      <c r="AL1266" t="s">
        <v>3152</v>
      </c>
      <c r="AN1266">
        <v>0</v>
      </c>
      <c r="AO1266" t="s">
        <v>1834</v>
      </c>
      <c r="AP1266" t="s">
        <v>1834</v>
      </c>
      <c r="AQ1266">
        <v>0</v>
      </c>
      <c r="AR1266" t="s">
        <v>1758</v>
      </c>
    </row>
    <row r="1267" spans="1:44" x14ac:dyDescent="0.25">
      <c r="A1267" t="s">
        <v>3141</v>
      </c>
      <c r="D1267" t="s">
        <v>1090</v>
      </c>
      <c r="E1267" t="s">
        <v>579</v>
      </c>
      <c r="F1267" t="s">
        <v>1755</v>
      </c>
      <c r="G1267" t="str">
        <f>CONCATENATE(Master_Packing_Database[[#This Row],[Exp '#]],Master_Packing_Database[[#This Row],[Batch '#]])</f>
        <v>2323rd-</v>
      </c>
      <c r="H1267" t="s">
        <v>581</v>
      </c>
      <c r="I1267" t="s">
        <v>580</v>
      </c>
      <c r="J1267" t="s">
        <v>366</v>
      </c>
      <c r="K1267" t="s">
        <v>3796</v>
      </c>
      <c r="L1267" t="s">
        <v>1016</v>
      </c>
      <c r="M1267" t="s">
        <v>116</v>
      </c>
      <c r="N1267" t="s">
        <v>582</v>
      </c>
      <c r="O1267" t="s">
        <v>583</v>
      </c>
      <c r="V1267" t="s">
        <v>4093</v>
      </c>
      <c r="X1267" t="s">
        <v>4102</v>
      </c>
      <c r="Y1267" t="s">
        <v>975</v>
      </c>
      <c r="Z1267" t="s">
        <v>5717</v>
      </c>
      <c r="AB1267" t="s">
        <v>5718</v>
      </c>
      <c r="AE1267" t="s">
        <v>4096</v>
      </c>
      <c r="AG1267" t="s">
        <v>2654</v>
      </c>
      <c r="AI1267" t="s">
        <v>29</v>
      </c>
      <c r="AK1267" t="s">
        <v>5719</v>
      </c>
      <c r="AL1267" t="s">
        <v>3152</v>
      </c>
      <c r="AN1267">
        <v>0</v>
      </c>
      <c r="AO1267" t="s">
        <v>1834</v>
      </c>
      <c r="AP1267" t="s">
        <v>1834</v>
      </c>
      <c r="AQ1267">
        <v>0</v>
      </c>
      <c r="AR1267" t="s">
        <v>1758</v>
      </c>
    </row>
    <row r="1268" spans="1:44" x14ac:dyDescent="0.25">
      <c r="A1268" t="s">
        <v>3141</v>
      </c>
      <c r="D1268" t="s">
        <v>154</v>
      </c>
      <c r="E1268" t="s">
        <v>217</v>
      </c>
      <c r="F1268" t="s">
        <v>1755</v>
      </c>
      <c r="G1268" t="str">
        <f>CONCATENATE(Master_Packing_Database[[#This Row],[Exp '#]],Master_Packing_Database[[#This Row],[Batch '#]])</f>
        <v>2246th-</v>
      </c>
      <c r="H1268" t="s">
        <v>219</v>
      </c>
      <c r="I1268" t="s">
        <v>156</v>
      </c>
      <c r="J1268" t="s">
        <v>117</v>
      </c>
      <c r="K1268" t="s">
        <v>3399</v>
      </c>
      <c r="L1268" t="s">
        <v>1016</v>
      </c>
      <c r="M1268" t="s">
        <v>1016</v>
      </c>
      <c r="N1268" t="s">
        <v>220</v>
      </c>
      <c r="O1268" t="s">
        <v>221</v>
      </c>
      <c r="V1268" t="s">
        <v>5720</v>
      </c>
      <c r="X1268" t="s">
        <v>5721</v>
      </c>
      <c r="Y1268" t="s">
        <v>2564</v>
      </c>
      <c r="Z1268" t="s">
        <v>5722</v>
      </c>
      <c r="AB1268" t="s">
        <v>5721</v>
      </c>
      <c r="AE1268" t="s">
        <v>4102</v>
      </c>
      <c r="AG1268" t="s">
        <v>3385</v>
      </c>
      <c r="AI1268" t="s">
        <v>29</v>
      </c>
      <c r="AK1268" t="s">
        <v>5723</v>
      </c>
      <c r="AL1268" t="s">
        <v>3152</v>
      </c>
      <c r="AN1268">
        <v>0</v>
      </c>
      <c r="AO1268" t="s">
        <v>1834</v>
      </c>
      <c r="AP1268" t="s">
        <v>1834</v>
      </c>
      <c r="AQ1268">
        <v>0</v>
      </c>
      <c r="AR1268" t="s">
        <v>1758</v>
      </c>
    </row>
    <row r="1269" spans="1:44" x14ac:dyDescent="0.25">
      <c r="A1269" t="s">
        <v>3141</v>
      </c>
      <c r="D1269" t="s">
        <v>1195</v>
      </c>
      <c r="E1269" t="s">
        <v>5724</v>
      </c>
      <c r="F1269" t="s">
        <v>1755</v>
      </c>
      <c r="G1269" t="str">
        <f>CONCATENATE(Master_Packing_Database[[#This Row],[Exp '#]],Master_Packing_Database[[#This Row],[Batch '#]])</f>
        <v>25-038-</v>
      </c>
      <c r="H1269" t="s">
        <v>5725</v>
      </c>
      <c r="I1269" t="s">
        <v>5726</v>
      </c>
      <c r="J1269" t="s">
        <v>1371</v>
      </c>
      <c r="K1269" t="s">
        <v>1147</v>
      </c>
      <c r="L1269" t="s">
        <v>5727</v>
      </c>
      <c r="M1269" t="s">
        <v>599</v>
      </c>
      <c r="N1269" t="s">
        <v>5728</v>
      </c>
      <c r="O1269" t="s">
        <v>5729</v>
      </c>
      <c r="V1269" t="s">
        <v>5399</v>
      </c>
      <c r="X1269" t="s">
        <v>4073</v>
      </c>
      <c r="Y1269" t="s">
        <v>5730</v>
      </c>
      <c r="Z1269" t="s">
        <v>4074</v>
      </c>
      <c r="AB1269" t="s">
        <v>5731</v>
      </c>
      <c r="AE1269" t="s">
        <v>4073</v>
      </c>
      <c r="AG1269" t="s">
        <v>1303</v>
      </c>
      <c r="AI1269" t="s">
        <v>29</v>
      </c>
      <c r="AK1269" t="s">
        <v>5723</v>
      </c>
      <c r="AL1269" t="s">
        <v>3152</v>
      </c>
      <c r="AN1269">
        <v>0</v>
      </c>
      <c r="AO1269" t="s">
        <v>1834</v>
      </c>
      <c r="AP1269" t="s">
        <v>1834</v>
      </c>
      <c r="AQ1269">
        <v>0</v>
      </c>
      <c r="AR1269" t="s">
        <v>1758</v>
      </c>
    </row>
    <row r="1270" spans="1:44" x14ac:dyDescent="0.25">
      <c r="A1270" t="s">
        <v>3141</v>
      </c>
      <c r="D1270" t="s">
        <v>1213</v>
      </c>
      <c r="E1270" t="s">
        <v>1204</v>
      </c>
      <c r="F1270" t="s">
        <v>1755</v>
      </c>
      <c r="G1270" t="str">
        <f>CONCATENATE(Master_Packing_Database[[#This Row],[Exp '#]],Master_Packing_Database[[#This Row],[Batch '#]])</f>
        <v>25-034-</v>
      </c>
      <c r="H1270" t="s">
        <v>5732</v>
      </c>
      <c r="I1270" t="s">
        <v>1241</v>
      </c>
      <c r="J1270" t="s">
        <v>117</v>
      </c>
      <c r="K1270" t="s">
        <v>1147</v>
      </c>
      <c r="L1270" t="s">
        <v>835</v>
      </c>
      <c r="M1270" t="s">
        <v>835</v>
      </c>
      <c r="N1270" t="s">
        <v>5733</v>
      </c>
      <c r="O1270" t="s">
        <v>4195</v>
      </c>
      <c r="V1270" t="s">
        <v>3071</v>
      </c>
      <c r="X1270" t="s">
        <v>4101</v>
      </c>
      <c r="Y1270" t="s">
        <v>359</v>
      </c>
      <c r="Z1270" t="s">
        <v>3586</v>
      </c>
      <c r="AB1270" t="s">
        <v>3074</v>
      </c>
      <c r="AE1270" t="s">
        <v>4101</v>
      </c>
      <c r="AG1270" t="s">
        <v>1303</v>
      </c>
      <c r="AI1270" t="s">
        <v>29</v>
      </c>
      <c r="AK1270" t="s">
        <v>5734</v>
      </c>
      <c r="AL1270" t="s">
        <v>3152</v>
      </c>
      <c r="AN1270">
        <v>0</v>
      </c>
      <c r="AO1270" t="s">
        <v>1834</v>
      </c>
      <c r="AP1270" t="s">
        <v>1834</v>
      </c>
      <c r="AQ1270">
        <v>0</v>
      </c>
      <c r="AR1270" t="s">
        <v>1758</v>
      </c>
    </row>
    <row r="1271" spans="1:44" x14ac:dyDescent="0.25">
      <c r="A1271" t="s">
        <v>3141</v>
      </c>
      <c r="D1271" t="s">
        <v>1213</v>
      </c>
      <c r="E1271" t="s">
        <v>1212</v>
      </c>
      <c r="F1271" t="s">
        <v>761</v>
      </c>
      <c r="G1271" t="str">
        <f>CONCATENATE(Master_Packing_Database[[#This Row],[Exp '#]],Master_Packing_Database[[#This Row],[Batch '#]])</f>
        <v>25-0361st</v>
      </c>
      <c r="H1271" t="s">
        <v>1214</v>
      </c>
      <c r="I1271" t="s">
        <v>1215</v>
      </c>
      <c r="J1271" t="s">
        <v>117</v>
      </c>
      <c r="K1271" t="s">
        <v>1147</v>
      </c>
      <c r="L1271" t="s">
        <v>599</v>
      </c>
      <c r="M1271" t="s">
        <v>116</v>
      </c>
      <c r="N1271" t="s">
        <v>415</v>
      </c>
      <c r="O1271" t="s">
        <v>764</v>
      </c>
      <c r="V1271" t="s">
        <v>3071</v>
      </c>
      <c r="X1271" t="s">
        <v>4101</v>
      </c>
      <c r="Y1271" t="s">
        <v>359</v>
      </c>
      <c r="Z1271" t="s">
        <v>3586</v>
      </c>
      <c r="AB1271" t="s">
        <v>3074</v>
      </c>
      <c r="AE1271" t="s">
        <v>4101</v>
      </c>
      <c r="AG1271" t="s">
        <v>1303</v>
      </c>
      <c r="AI1271" t="s">
        <v>29</v>
      </c>
      <c r="AK1271" t="s">
        <v>5734</v>
      </c>
      <c r="AL1271" t="s">
        <v>3152</v>
      </c>
      <c r="AN1271">
        <v>0</v>
      </c>
      <c r="AO1271" t="s">
        <v>1834</v>
      </c>
      <c r="AP1271" t="s">
        <v>1834</v>
      </c>
      <c r="AQ1271">
        <v>0</v>
      </c>
      <c r="AR1271" t="s">
        <v>1758</v>
      </c>
    </row>
    <row r="1272" spans="1:44" x14ac:dyDescent="0.25">
      <c r="A1272" t="s">
        <v>3141</v>
      </c>
      <c r="D1272" t="s">
        <v>5735</v>
      </c>
      <c r="E1272" t="s">
        <v>5736</v>
      </c>
      <c r="F1272" t="s">
        <v>1755</v>
      </c>
      <c r="G1272" t="str">
        <f>CONCATENATE(Master_Packing_Database[[#This Row],[Exp '#]],Master_Packing_Database[[#This Row],[Batch '#]])</f>
        <v>MO-0002-</v>
      </c>
      <c r="H1272" t="s">
        <v>5737</v>
      </c>
      <c r="I1272" t="s">
        <v>5738</v>
      </c>
      <c r="J1272" t="s">
        <v>117</v>
      </c>
      <c r="K1272" t="s">
        <v>961</v>
      </c>
      <c r="L1272" t="s">
        <v>116</v>
      </c>
      <c r="M1272" t="s">
        <v>116</v>
      </c>
      <c r="N1272" t="s">
        <v>5739</v>
      </c>
      <c r="O1272" t="s">
        <v>5740</v>
      </c>
      <c r="V1272" t="s">
        <v>3071</v>
      </c>
      <c r="X1272" t="s">
        <v>4101</v>
      </c>
      <c r="Y1272" t="s">
        <v>359</v>
      </c>
      <c r="Z1272" t="s">
        <v>3586</v>
      </c>
      <c r="AB1272" t="s">
        <v>3074</v>
      </c>
      <c r="AE1272" t="s">
        <v>4101</v>
      </c>
      <c r="AG1272" t="s">
        <v>1303</v>
      </c>
      <c r="AI1272" t="s">
        <v>29</v>
      </c>
      <c r="AK1272" t="s">
        <v>5734</v>
      </c>
      <c r="AL1272" t="s">
        <v>3152</v>
      </c>
      <c r="AN1272">
        <v>0</v>
      </c>
      <c r="AO1272" t="s">
        <v>1834</v>
      </c>
      <c r="AP1272" t="s">
        <v>1834</v>
      </c>
      <c r="AQ1272">
        <v>0</v>
      </c>
      <c r="AR1272" t="s">
        <v>1758</v>
      </c>
    </row>
    <row r="1273" spans="1:44" x14ac:dyDescent="0.25">
      <c r="A1273" t="s">
        <v>3141</v>
      </c>
      <c r="D1273" t="s">
        <v>1132</v>
      </c>
      <c r="E1273" t="s">
        <v>248</v>
      </c>
      <c r="F1273" t="s">
        <v>1755</v>
      </c>
      <c r="G1273" t="str">
        <f>CONCATENATE(Master_Packing_Database[[#This Row],[Exp '#]],Master_Packing_Database[[#This Row],[Batch '#]])</f>
        <v>2252nd-</v>
      </c>
      <c r="H1273" t="s">
        <v>5741</v>
      </c>
      <c r="I1273" t="s">
        <v>156</v>
      </c>
      <c r="J1273" t="s">
        <v>117</v>
      </c>
      <c r="K1273" t="s">
        <v>3227</v>
      </c>
      <c r="L1273" t="s">
        <v>1016</v>
      </c>
      <c r="M1273" t="s">
        <v>1016</v>
      </c>
      <c r="N1273" t="s">
        <v>251</v>
      </c>
      <c r="O1273" t="s">
        <v>252</v>
      </c>
      <c r="V1273" t="s">
        <v>3071</v>
      </c>
      <c r="X1273" t="s">
        <v>4101</v>
      </c>
      <c r="Y1273" t="s">
        <v>359</v>
      </c>
      <c r="Z1273" t="s">
        <v>3586</v>
      </c>
      <c r="AB1273" t="s">
        <v>4102</v>
      </c>
      <c r="AE1273" t="s">
        <v>4101</v>
      </c>
      <c r="AG1273" t="s">
        <v>1303</v>
      </c>
      <c r="AI1273" t="s">
        <v>29</v>
      </c>
      <c r="AK1273" t="s">
        <v>5734</v>
      </c>
      <c r="AL1273" t="s">
        <v>3152</v>
      </c>
      <c r="AN1273">
        <v>0</v>
      </c>
      <c r="AO1273" t="s">
        <v>1834</v>
      </c>
      <c r="AP1273" t="s">
        <v>1834</v>
      </c>
      <c r="AQ1273">
        <v>0</v>
      </c>
      <c r="AR1273" t="s">
        <v>1758</v>
      </c>
    </row>
    <row r="1274" spans="1:44" x14ac:dyDescent="0.25">
      <c r="A1274" t="s">
        <v>3141</v>
      </c>
      <c r="D1274" t="s">
        <v>394</v>
      </c>
      <c r="E1274" t="s">
        <v>5742</v>
      </c>
      <c r="F1274" t="s">
        <v>1755</v>
      </c>
      <c r="G1274" t="str">
        <f>CONCATENATE(Master_Packing_Database[[#This Row],[Exp '#]],Master_Packing_Database[[#This Row],[Batch '#]])</f>
        <v>2345th-</v>
      </c>
      <c r="H1274" t="s">
        <v>5743</v>
      </c>
      <c r="I1274" t="s">
        <v>3708</v>
      </c>
      <c r="J1274" t="s">
        <v>366</v>
      </c>
      <c r="K1274" t="s">
        <v>1147</v>
      </c>
      <c r="L1274" t="s">
        <v>975</v>
      </c>
      <c r="M1274" t="s">
        <v>116</v>
      </c>
      <c r="N1274" t="s">
        <v>975</v>
      </c>
      <c r="O1274" t="s">
        <v>975</v>
      </c>
      <c r="V1274" t="s">
        <v>4104</v>
      </c>
      <c r="X1274" t="s">
        <v>4104</v>
      </c>
      <c r="Y1274" t="s">
        <v>1303</v>
      </c>
      <c r="Z1274" t="s">
        <v>5744</v>
      </c>
      <c r="AB1274" t="s">
        <v>4106</v>
      </c>
      <c r="AE1274" t="s">
        <v>4104</v>
      </c>
      <c r="AG1274" t="s">
        <v>1303</v>
      </c>
      <c r="AI1274" t="s">
        <v>29</v>
      </c>
      <c r="AK1274" t="s">
        <v>5745</v>
      </c>
      <c r="AL1274" t="s">
        <v>3152</v>
      </c>
      <c r="AN1274">
        <v>0</v>
      </c>
      <c r="AO1274" t="s">
        <v>1834</v>
      </c>
      <c r="AP1274" t="s">
        <v>1834</v>
      </c>
      <c r="AQ1274">
        <v>0</v>
      </c>
      <c r="AR1274" t="s">
        <v>1758</v>
      </c>
    </row>
    <row r="1275" spans="1:44" x14ac:dyDescent="0.25">
      <c r="A1275" t="s">
        <v>3141</v>
      </c>
      <c r="D1275" t="s">
        <v>35</v>
      </c>
      <c r="E1275" t="s">
        <v>629</v>
      </c>
      <c r="F1275" t="s">
        <v>631</v>
      </c>
      <c r="G1275" t="str">
        <f>CONCATENATE(Master_Packing_Database[[#This Row],[Exp '#]],Master_Packing_Database[[#This Row],[Batch '#]])</f>
        <v>2331stBy Air</v>
      </c>
      <c r="H1275" t="s">
        <v>5746</v>
      </c>
      <c r="I1275" t="s">
        <v>5747</v>
      </c>
      <c r="J1275" t="s">
        <v>366</v>
      </c>
      <c r="K1275" t="s">
        <v>1147</v>
      </c>
      <c r="L1275" t="s">
        <v>599</v>
      </c>
      <c r="M1275" t="s">
        <v>116</v>
      </c>
      <c r="N1275" t="s">
        <v>1054</v>
      </c>
      <c r="O1275" t="s">
        <v>522</v>
      </c>
      <c r="V1275" t="s">
        <v>4093</v>
      </c>
      <c r="X1275" t="s">
        <v>4093</v>
      </c>
      <c r="Y1275" t="s">
        <v>1303</v>
      </c>
      <c r="Z1275" t="s">
        <v>5714</v>
      </c>
      <c r="AB1275" t="s">
        <v>5715</v>
      </c>
      <c r="AE1275" t="s">
        <v>4093</v>
      </c>
      <c r="AG1275" t="s">
        <v>1303</v>
      </c>
      <c r="AI1275" t="s">
        <v>29</v>
      </c>
      <c r="AK1275" t="s">
        <v>5745</v>
      </c>
      <c r="AL1275" t="s">
        <v>3152</v>
      </c>
      <c r="AN1275">
        <v>0</v>
      </c>
      <c r="AO1275" t="s">
        <v>1834</v>
      </c>
      <c r="AP1275" t="s">
        <v>1834</v>
      </c>
      <c r="AQ1275">
        <v>0</v>
      </c>
      <c r="AR1275" t="s">
        <v>1758</v>
      </c>
    </row>
    <row r="1276" spans="1:44" x14ac:dyDescent="0.25">
      <c r="A1276" t="s">
        <v>3141</v>
      </c>
      <c r="D1276" t="s">
        <v>1142</v>
      </c>
      <c r="E1276" t="s">
        <v>1193</v>
      </c>
      <c r="F1276" t="s">
        <v>1755</v>
      </c>
      <c r="G1276" t="str">
        <f>CONCATENATE(Master_Packing_Database[[#This Row],[Exp '#]],Master_Packing_Database[[#This Row],[Batch '#]])</f>
        <v>25-031-</v>
      </c>
      <c r="H1276" t="s">
        <v>5748</v>
      </c>
      <c r="I1276" t="s">
        <v>5749</v>
      </c>
      <c r="J1276" t="s">
        <v>366</v>
      </c>
      <c r="K1276" t="s">
        <v>1147</v>
      </c>
      <c r="L1276" t="s">
        <v>4844</v>
      </c>
      <c r="M1276" t="s">
        <v>116</v>
      </c>
      <c r="N1276" t="s">
        <v>5174</v>
      </c>
      <c r="O1276" t="s">
        <v>5750</v>
      </c>
      <c r="V1276" t="s">
        <v>3071</v>
      </c>
      <c r="X1276" t="s">
        <v>4096</v>
      </c>
      <c r="Y1276" t="s">
        <v>606</v>
      </c>
      <c r="Z1276" t="s">
        <v>5717</v>
      </c>
      <c r="AB1276" t="s">
        <v>5751</v>
      </c>
      <c r="AE1276" t="s">
        <v>4096</v>
      </c>
      <c r="AG1276" t="s">
        <v>1303</v>
      </c>
      <c r="AI1276" t="s">
        <v>29</v>
      </c>
      <c r="AK1276" t="s">
        <v>5745</v>
      </c>
      <c r="AL1276" t="s">
        <v>3152</v>
      </c>
      <c r="AN1276">
        <v>0</v>
      </c>
      <c r="AO1276" t="s">
        <v>1834</v>
      </c>
      <c r="AP1276" t="s">
        <v>1834</v>
      </c>
      <c r="AQ1276">
        <v>0</v>
      </c>
      <c r="AR1276" t="s">
        <v>1758</v>
      </c>
    </row>
    <row r="1277" spans="1:44" x14ac:dyDescent="0.25">
      <c r="A1277" t="s">
        <v>3141</v>
      </c>
      <c r="D1277" t="s">
        <v>1142</v>
      </c>
      <c r="E1277" t="s">
        <v>5752</v>
      </c>
      <c r="F1277" t="s">
        <v>1755</v>
      </c>
      <c r="G1277" t="str">
        <f>CONCATENATE(Master_Packing_Database[[#This Row],[Exp '#]],Master_Packing_Database[[#This Row],[Batch '#]])</f>
        <v>25-035-</v>
      </c>
      <c r="H1277" t="s">
        <v>5753</v>
      </c>
      <c r="I1277" t="s">
        <v>5754</v>
      </c>
      <c r="J1277" t="s">
        <v>366</v>
      </c>
      <c r="K1277" t="s">
        <v>1147</v>
      </c>
      <c r="L1277" t="s">
        <v>116</v>
      </c>
      <c r="M1277" t="s">
        <v>116</v>
      </c>
      <c r="N1277" t="s">
        <v>4081</v>
      </c>
      <c r="O1277" t="s">
        <v>290</v>
      </c>
      <c r="V1277" t="s">
        <v>3071</v>
      </c>
      <c r="X1277" t="s">
        <v>4096</v>
      </c>
      <c r="Y1277" t="s">
        <v>606</v>
      </c>
      <c r="Z1277" t="s">
        <v>5717</v>
      </c>
      <c r="AB1277" t="s">
        <v>5751</v>
      </c>
      <c r="AE1277" t="s">
        <v>4096</v>
      </c>
      <c r="AG1277" t="s">
        <v>1303</v>
      </c>
      <c r="AI1277" t="s">
        <v>29</v>
      </c>
      <c r="AK1277" t="s">
        <v>5745</v>
      </c>
      <c r="AL1277" t="s">
        <v>3152</v>
      </c>
      <c r="AN1277">
        <v>0</v>
      </c>
      <c r="AO1277" t="s">
        <v>1834</v>
      </c>
      <c r="AP1277" t="s">
        <v>1834</v>
      </c>
      <c r="AQ1277">
        <v>0</v>
      </c>
      <c r="AR1277" t="s">
        <v>1758</v>
      </c>
    </row>
    <row r="1278" spans="1:44" x14ac:dyDescent="0.25">
      <c r="A1278" t="s">
        <v>3141</v>
      </c>
      <c r="D1278" t="s">
        <v>5088</v>
      </c>
      <c r="E1278" t="s">
        <v>5755</v>
      </c>
      <c r="F1278" t="s">
        <v>631</v>
      </c>
      <c r="G1278" t="str">
        <f>CONCATENATE(Master_Packing_Database[[#This Row],[Exp '#]],Master_Packing_Database[[#This Row],[Batch '#]])</f>
        <v>25-020By Air</v>
      </c>
      <c r="H1278" t="s">
        <v>5756</v>
      </c>
      <c r="I1278" t="s">
        <v>5757</v>
      </c>
      <c r="J1278" t="s">
        <v>366</v>
      </c>
      <c r="K1278" t="s">
        <v>1147</v>
      </c>
      <c r="L1278" t="s">
        <v>5758</v>
      </c>
      <c r="M1278" t="s">
        <v>116</v>
      </c>
      <c r="N1278" t="s">
        <v>5759</v>
      </c>
      <c r="O1278" t="s">
        <v>5760</v>
      </c>
      <c r="V1278" t="s">
        <v>3071</v>
      </c>
      <c r="X1278" t="s">
        <v>3074</v>
      </c>
      <c r="Y1278" t="s">
        <v>2591</v>
      </c>
      <c r="Z1278" t="s">
        <v>5761</v>
      </c>
      <c r="AB1278" t="s">
        <v>4045</v>
      </c>
      <c r="AE1278" t="s">
        <v>3074</v>
      </c>
      <c r="AG1278" t="s">
        <v>1303</v>
      </c>
      <c r="AI1278" t="s">
        <v>29</v>
      </c>
      <c r="AK1278" t="s">
        <v>5745</v>
      </c>
      <c r="AL1278" t="s">
        <v>3152</v>
      </c>
      <c r="AN1278">
        <v>0</v>
      </c>
      <c r="AO1278" t="s">
        <v>1834</v>
      </c>
      <c r="AP1278" t="s">
        <v>1834</v>
      </c>
      <c r="AQ1278">
        <v>0</v>
      </c>
      <c r="AR1278" t="s">
        <v>1758</v>
      </c>
    </row>
    <row r="1279" spans="1:44" x14ac:dyDescent="0.25">
      <c r="A1279" t="s">
        <v>3141</v>
      </c>
      <c r="D1279" t="s">
        <v>5762</v>
      </c>
      <c r="E1279" t="s">
        <v>640</v>
      </c>
      <c r="F1279" t="s">
        <v>1755</v>
      </c>
      <c r="G1279" t="str">
        <f>CONCATENATE(Master_Packing_Database[[#This Row],[Exp '#]],Master_Packing_Database[[#This Row],[Batch '#]])</f>
        <v>2334th-</v>
      </c>
      <c r="H1279" t="s">
        <v>642</v>
      </c>
      <c r="I1279" t="s">
        <v>156</v>
      </c>
      <c r="J1279" t="s">
        <v>117</v>
      </c>
      <c r="K1279" t="s">
        <v>5763</v>
      </c>
      <c r="L1279" t="s">
        <v>116</v>
      </c>
      <c r="M1279" t="s">
        <v>116</v>
      </c>
      <c r="N1279" t="s">
        <v>5764</v>
      </c>
      <c r="O1279" t="s">
        <v>5765</v>
      </c>
      <c r="V1279" t="s">
        <v>4139</v>
      </c>
      <c r="X1279" t="s">
        <v>5766</v>
      </c>
      <c r="Y1279" t="s">
        <v>912</v>
      </c>
      <c r="Z1279" t="s">
        <v>5767</v>
      </c>
      <c r="AB1279" t="s">
        <v>5768</v>
      </c>
      <c r="AE1279" t="s">
        <v>5766</v>
      </c>
      <c r="AG1279" t="s">
        <v>1303</v>
      </c>
      <c r="AI1279" t="s">
        <v>29</v>
      </c>
      <c r="AK1279" t="s">
        <v>5769</v>
      </c>
      <c r="AL1279" t="s">
        <v>3152</v>
      </c>
      <c r="AN1279">
        <v>0</v>
      </c>
      <c r="AO1279" t="s">
        <v>1834</v>
      </c>
      <c r="AP1279" t="s">
        <v>1834</v>
      </c>
      <c r="AQ1279">
        <v>0</v>
      </c>
      <c r="AR1279" t="s">
        <v>1758</v>
      </c>
    </row>
    <row r="1280" spans="1:44" x14ac:dyDescent="0.25">
      <c r="A1280" t="s">
        <v>3141</v>
      </c>
      <c r="D1280" t="s">
        <v>908</v>
      </c>
      <c r="E1280" t="s">
        <v>237</v>
      </c>
      <c r="F1280" t="s">
        <v>1755</v>
      </c>
      <c r="G1280" t="str">
        <f>CONCATENATE(Master_Packing_Database[[#This Row],[Exp '#]],Master_Packing_Database[[#This Row],[Batch '#]])</f>
        <v>2250th-</v>
      </c>
      <c r="H1280" t="s">
        <v>239</v>
      </c>
      <c r="I1280" t="s">
        <v>240</v>
      </c>
      <c r="J1280" t="s">
        <v>117</v>
      </c>
      <c r="K1280" t="s">
        <v>3361</v>
      </c>
      <c r="L1280" t="s">
        <v>912</v>
      </c>
      <c r="M1280" t="s">
        <v>1072</v>
      </c>
      <c r="N1280" t="s">
        <v>241</v>
      </c>
      <c r="O1280" t="s">
        <v>242</v>
      </c>
      <c r="V1280" t="s">
        <v>5688</v>
      </c>
      <c r="X1280" t="s">
        <v>4126</v>
      </c>
      <c r="Y1280" t="s">
        <v>679</v>
      </c>
      <c r="Z1280" t="s">
        <v>4127</v>
      </c>
      <c r="AB1280" t="s">
        <v>4128</v>
      </c>
      <c r="AE1280" t="s">
        <v>4126</v>
      </c>
      <c r="AG1280" t="s">
        <v>1303</v>
      </c>
      <c r="AI1280" t="s">
        <v>29</v>
      </c>
      <c r="AK1280" t="s">
        <v>4129</v>
      </c>
      <c r="AL1280" t="s">
        <v>3152</v>
      </c>
      <c r="AN1280">
        <v>0</v>
      </c>
      <c r="AO1280" t="s">
        <v>1834</v>
      </c>
      <c r="AP1280" t="s">
        <v>1834</v>
      </c>
      <c r="AQ1280">
        <v>0</v>
      </c>
      <c r="AR1280" t="s">
        <v>1758</v>
      </c>
    </row>
    <row r="1281" spans="1:44" x14ac:dyDescent="0.25">
      <c r="A1281" t="s">
        <v>3141</v>
      </c>
      <c r="D1281" t="s">
        <v>1195</v>
      </c>
      <c r="E1281" t="s">
        <v>1231</v>
      </c>
      <c r="F1281" t="s">
        <v>1755</v>
      </c>
      <c r="G1281" t="str">
        <f>CONCATENATE(Master_Packing_Database[[#This Row],[Exp '#]],Master_Packing_Database[[#This Row],[Batch '#]])</f>
        <v>25-040-</v>
      </c>
      <c r="H1281" t="s">
        <v>1232</v>
      </c>
      <c r="I1281" t="s">
        <v>1233</v>
      </c>
      <c r="J1281" t="s">
        <v>1371</v>
      </c>
      <c r="K1281" t="s">
        <v>1147</v>
      </c>
      <c r="L1281" t="s">
        <v>5770</v>
      </c>
      <c r="M1281" t="s">
        <v>835</v>
      </c>
      <c r="N1281" t="s">
        <v>1063</v>
      </c>
      <c r="O1281" t="s">
        <v>1234</v>
      </c>
      <c r="V1281" t="s">
        <v>3071</v>
      </c>
      <c r="X1281" t="s">
        <v>4831</v>
      </c>
      <c r="Y1281" t="s">
        <v>5771</v>
      </c>
      <c r="Z1281" t="s">
        <v>5772</v>
      </c>
      <c r="AB1281" t="s">
        <v>4831</v>
      </c>
      <c r="AE1281" t="s">
        <v>4831</v>
      </c>
      <c r="AG1281" t="s">
        <v>1303</v>
      </c>
      <c r="AI1281" t="s">
        <v>29</v>
      </c>
      <c r="AK1281" t="s">
        <v>4129</v>
      </c>
      <c r="AL1281" t="s">
        <v>3152</v>
      </c>
      <c r="AN1281">
        <v>0</v>
      </c>
      <c r="AO1281" t="s">
        <v>1834</v>
      </c>
      <c r="AP1281" t="s">
        <v>1834</v>
      </c>
      <c r="AQ1281">
        <v>0</v>
      </c>
      <c r="AR1281" t="s">
        <v>1758</v>
      </c>
    </row>
    <row r="1282" spans="1:44" x14ac:dyDescent="0.25">
      <c r="A1282" t="s">
        <v>3141</v>
      </c>
      <c r="D1282" t="s">
        <v>1195</v>
      </c>
      <c r="E1282" t="s">
        <v>5773</v>
      </c>
      <c r="F1282" t="s">
        <v>1755</v>
      </c>
      <c r="G1282" t="str">
        <f>CONCATENATE(Master_Packing_Database[[#This Row],[Exp '#]],Master_Packing_Database[[#This Row],[Batch '#]])</f>
        <v>MO-0132-</v>
      </c>
      <c r="H1282" t="s">
        <v>5774</v>
      </c>
      <c r="I1282" t="s">
        <v>5775</v>
      </c>
      <c r="J1282" t="s">
        <v>1371</v>
      </c>
      <c r="K1282" t="s">
        <v>1147</v>
      </c>
      <c r="L1282" t="s">
        <v>596</v>
      </c>
      <c r="M1282" t="s">
        <v>116</v>
      </c>
      <c r="N1282" t="s">
        <v>736</v>
      </c>
      <c r="O1282" t="s">
        <v>462</v>
      </c>
      <c r="V1282" t="s">
        <v>3071</v>
      </c>
      <c r="X1282" t="s">
        <v>4119</v>
      </c>
      <c r="Y1282" t="s">
        <v>5672</v>
      </c>
      <c r="AB1282" t="s">
        <v>3074</v>
      </c>
      <c r="AE1282" t="s">
        <v>1755</v>
      </c>
      <c r="AI1282" t="s">
        <v>29</v>
      </c>
      <c r="AK1282" t="s">
        <v>4129</v>
      </c>
      <c r="AL1282" t="s">
        <v>3152</v>
      </c>
      <c r="AN1282">
        <v>0</v>
      </c>
      <c r="AO1282" t="s">
        <v>1834</v>
      </c>
      <c r="AP1282" t="s">
        <v>1834</v>
      </c>
      <c r="AQ1282">
        <v>0</v>
      </c>
      <c r="AR1282" t="s">
        <v>1835</v>
      </c>
    </row>
    <row r="1283" spans="1:44" x14ac:dyDescent="0.25">
      <c r="A1283" t="s">
        <v>3141</v>
      </c>
      <c r="D1283" t="s">
        <v>5522</v>
      </c>
      <c r="E1283" t="s">
        <v>164</v>
      </c>
      <c r="F1283" t="s">
        <v>5776</v>
      </c>
      <c r="G1283" t="str">
        <f>CONCATENATE(Master_Packing_Database[[#This Row],[Exp '#]],Master_Packing_Database[[#This Row],[Batch '#]])</f>
        <v>2224thShip with Export # 2287 2nd</v>
      </c>
      <c r="H1283" t="s">
        <v>167</v>
      </c>
      <c r="I1283" t="s">
        <v>168</v>
      </c>
      <c r="J1283" t="s">
        <v>117</v>
      </c>
      <c r="K1283" t="s">
        <v>5777</v>
      </c>
      <c r="L1283" t="s">
        <v>835</v>
      </c>
      <c r="M1283" t="s">
        <v>835</v>
      </c>
      <c r="N1283" t="s">
        <v>5778</v>
      </c>
      <c r="O1283" t="s">
        <v>5779</v>
      </c>
      <c r="V1283" t="s">
        <v>4115</v>
      </c>
      <c r="X1283" t="s">
        <v>5780</v>
      </c>
      <c r="Y1283" t="s">
        <v>606</v>
      </c>
      <c r="Z1283" t="s">
        <v>5781</v>
      </c>
      <c r="AB1283" t="s">
        <v>5782</v>
      </c>
      <c r="AE1283" t="s">
        <v>5780</v>
      </c>
      <c r="AG1283" t="s">
        <v>1303</v>
      </c>
      <c r="AI1283" t="s">
        <v>29</v>
      </c>
      <c r="AK1283" t="s">
        <v>5783</v>
      </c>
      <c r="AL1283" t="s">
        <v>3152</v>
      </c>
      <c r="AN1283">
        <v>0</v>
      </c>
      <c r="AO1283" t="s">
        <v>1834</v>
      </c>
      <c r="AP1283" t="s">
        <v>1834</v>
      </c>
      <c r="AQ1283">
        <v>0</v>
      </c>
      <c r="AR1283" t="s">
        <v>1758</v>
      </c>
    </row>
    <row r="1284" spans="1:44" x14ac:dyDescent="0.25">
      <c r="A1284" t="s">
        <v>3141</v>
      </c>
      <c r="D1284" t="s">
        <v>5522</v>
      </c>
      <c r="E1284" t="s">
        <v>409</v>
      </c>
      <c r="F1284" t="s">
        <v>5784</v>
      </c>
      <c r="G1284" t="str">
        <f>CONCATENATE(Master_Packing_Database[[#This Row],[Exp '#]],Master_Packing_Database[[#This Row],[Batch '#]])</f>
        <v>2287thShip with Export # 2224</v>
      </c>
      <c r="H1284" t="s">
        <v>410</v>
      </c>
      <c r="I1284" t="s">
        <v>375</v>
      </c>
      <c r="J1284" t="s">
        <v>117</v>
      </c>
      <c r="K1284" t="s">
        <v>3701</v>
      </c>
      <c r="L1284" t="s">
        <v>975</v>
      </c>
      <c r="M1284" t="s">
        <v>975</v>
      </c>
      <c r="N1284" t="s">
        <v>3137</v>
      </c>
      <c r="O1284" t="s">
        <v>5785</v>
      </c>
      <c r="V1284" t="s">
        <v>5786</v>
      </c>
      <c r="X1284" t="s">
        <v>5780</v>
      </c>
      <c r="Y1284" t="s">
        <v>3263</v>
      </c>
      <c r="Z1284" t="s">
        <v>5781</v>
      </c>
      <c r="AB1284" t="s">
        <v>5782</v>
      </c>
      <c r="AE1284" t="s">
        <v>5780</v>
      </c>
      <c r="AG1284" t="s">
        <v>1303</v>
      </c>
      <c r="AI1284" t="s">
        <v>29</v>
      </c>
      <c r="AK1284" t="s">
        <v>5783</v>
      </c>
      <c r="AL1284" t="s">
        <v>3152</v>
      </c>
      <c r="AN1284">
        <v>0</v>
      </c>
      <c r="AO1284" t="s">
        <v>1834</v>
      </c>
      <c r="AP1284" t="s">
        <v>1834</v>
      </c>
      <c r="AQ1284">
        <v>0</v>
      </c>
      <c r="AR1284" t="s">
        <v>1758</v>
      </c>
    </row>
    <row r="1285" spans="1:44" x14ac:dyDescent="0.25">
      <c r="A1285" t="s">
        <v>3141</v>
      </c>
      <c r="D1285" t="s">
        <v>5522</v>
      </c>
      <c r="E1285" t="s">
        <v>417</v>
      </c>
      <c r="F1285" t="s">
        <v>1755</v>
      </c>
      <c r="G1285" t="str">
        <f>CONCATENATE(Master_Packing_Database[[#This Row],[Exp '#]],Master_Packing_Database[[#This Row],[Batch '#]])</f>
        <v>2290th-</v>
      </c>
      <c r="H1285" t="s">
        <v>418</v>
      </c>
      <c r="I1285" t="s">
        <v>419</v>
      </c>
      <c r="J1285" t="s">
        <v>117</v>
      </c>
      <c r="K1285" t="s">
        <v>3335</v>
      </c>
      <c r="L1285" t="s">
        <v>599</v>
      </c>
      <c r="M1285" t="s">
        <v>599</v>
      </c>
      <c r="N1285" t="s">
        <v>5787</v>
      </c>
      <c r="O1285" t="s">
        <v>5788</v>
      </c>
      <c r="V1285" t="s">
        <v>4139</v>
      </c>
      <c r="X1285" t="s">
        <v>5780</v>
      </c>
      <c r="Y1285" t="s">
        <v>3392</v>
      </c>
      <c r="Z1285" t="s">
        <v>5781</v>
      </c>
      <c r="AB1285" t="s">
        <v>5782</v>
      </c>
      <c r="AE1285" t="s">
        <v>5780</v>
      </c>
      <c r="AG1285" t="s">
        <v>1303</v>
      </c>
      <c r="AI1285" t="s">
        <v>29</v>
      </c>
      <c r="AK1285" t="s">
        <v>5783</v>
      </c>
      <c r="AL1285" t="s">
        <v>3152</v>
      </c>
      <c r="AN1285">
        <v>0</v>
      </c>
      <c r="AO1285" t="s">
        <v>1834</v>
      </c>
      <c r="AP1285" t="s">
        <v>1834</v>
      </c>
      <c r="AQ1285">
        <v>0</v>
      </c>
      <c r="AR1285" t="s">
        <v>1758</v>
      </c>
    </row>
    <row r="1286" spans="1:44" x14ac:dyDescent="0.25">
      <c r="A1286" t="s">
        <v>3141</v>
      </c>
      <c r="D1286" t="s">
        <v>1213</v>
      </c>
      <c r="E1286" t="s">
        <v>1212</v>
      </c>
      <c r="F1286" t="s">
        <v>422</v>
      </c>
      <c r="G1286" t="str">
        <f>CONCATENATE(Master_Packing_Database[[#This Row],[Exp '#]],Master_Packing_Database[[#This Row],[Batch '#]])</f>
        <v>25-0362nd</v>
      </c>
      <c r="H1286" t="s">
        <v>1214</v>
      </c>
      <c r="I1286" t="s">
        <v>1215</v>
      </c>
      <c r="J1286" t="s">
        <v>117</v>
      </c>
      <c r="K1286" t="s">
        <v>1147</v>
      </c>
      <c r="L1286" t="s">
        <v>599</v>
      </c>
      <c r="M1286" t="s">
        <v>116</v>
      </c>
      <c r="N1286" t="s">
        <v>415</v>
      </c>
      <c r="O1286" t="s">
        <v>656</v>
      </c>
      <c r="V1286" t="s">
        <v>3071</v>
      </c>
      <c r="X1286" t="s">
        <v>4148</v>
      </c>
      <c r="Y1286" t="s">
        <v>492</v>
      </c>
      <c r="Z1286" t="s">
        <v>3928</v>
      </c>
      <c r="AB1286" t="s">
        <v>3074</v>
      </c>
      <c r="AE1286" t="s">
        <v>4148</v>
      </c>
      <c r="AG1286" t="s">
        <v>1303</v>
      </c>
      <c r="AI1286" t="s">
        <v>29</v>
      </c>
      <c r="AK1286" t="s">
        <v>5783</v>
      </c>
      <c r="AL1286" t="s">
        <v>3152</v>
      </c>
      <c r="AN1286">
        <v>0</v>
      </c>
      <c r="AO1286" t="s">
        <v>1834</v>
      </c>
      <c r="AP1286" t="s">
        <v>1834</v>
      </c>
      <c r="AQ1286">
        <v>0</v>
      </c>
      <c r="AR1286" t="s">
        <v>1758</v>
      </c>
    </row>
    <row r="1287" spans="1:44" x14ac:dyDescent="0.25">
      <c r="A1287" t="s">
        <v>3141</v>
      </c>
      <c r="D1287" t="s">
        <v>2719</v>
      </c>
      <c r="E1287" t="s">
        <v>354</v>
      </c>
      <c r="F1287" t="s">
        <v>4063</v>
      </c>
      <c r="G1287" t="str">
        <f>CONCATENATE(Master_Packing_Database[[#This Row],[Exp '#]],Master_Packing_Database[[#This Row],[Batch '#]])</f>
        <v>2278th4th</v>
      </c>
      <c r="H1287" t="s">
        <v>5789</v>
      </c>
      <c r="I1287" t="s">
        <v>497</v>
      </c>
      <c r="J1287" t="s">
        <v>1268</v>
      </c>
      <c r="K1287" t="s">
        <v>1147</v>
      </c>
      <c r="L1287" t="s">
        <v>835</v>
      </c>
      <c r="M1287" t="s">
        <v>116</v>
      </c>
      <c r="N1287" t="s">
        <v>5790</v>
      </c>
      <c r="O1287" t="s">
        <v>5791</v>
      </c>
      <c r="V1287" t="s">
        <v>4148</v>
      </c>
      <c r="X1287" t="s">
        <v>4148</v>
      </c>
      <c r="Y1287" t="s">
        <v>1303</v>
      </c>
      <c r="Z1287" t="s">
        <v>5792</v>
      </c>
      <c r="AB1287" t="s">
        <v>4126</v>
      </c>
      <c r="AE1287" t="s">
        <v>4148</v>
      </c>
      <c r="AG1287" t="s">
        <v>1303</v>
      </c>
      <c r="AI1287" t="s">
        <v>29</v>
      </c>
      <c r="AK1287" t="s">
        <v>5783</v>
      </c>
      <c r="AL1287" t="s">
        <v>3152</v>
      </c>
      <c r="AN1287">
        <v>0</v>
      </c>
      <c r="AO1287" t="s">
        <v>1834</v>
      </c>
      <c r="AP1287" t="s">
        <v>1834</v>
      </c>
      <c r="AQ1287">
        <v>0</v>
      </c>
      <c r="AR1287" t="s">
        <v>1758</v>
      </c>
    </row>
    <row r="1288" spans="1:44" x14ac:dyDescent="0.25">
      <c r="A1288" t="s">
        <v>3141</v>
      </c>
      <c r="D1288" t="s">
        <v>2719</v>
      </c>
      <c r="E1288" t="s">
        <v>354</v>
      </c>
      <c r="F1288" t="s">
        <v>3343</v>
      </c>
      <c r="G1288" t="str">
        <f>CONCATENATE(Master_Packing_Database[[#This Row],[Exp '#]],Master_Packing_Database[[#This Row],[Batch '#]])</f>
        <v>2278th5th</v>
      </c>
      <c r="H1288" t="s">
        <v>5793</v>
      </c>
      <c r="I1288" t="s">
        <v>4644</v>
      </c>
      <c r="J1288" t="s">
        <v>366</v>
      </c>
      <c r="K1288" t="s">
        <v>3399</v>
      </c>
      <c r="L1288" t="s">
        <v>4251</v>
      </c>
      <c r="M1288" t="s">
        <v>376</v>
      </c>
      <c r="N1288" t="s">
        <v>5794</v>
      </c>
      <c r="O1288" t="s">
        <v>5795</v>
      </c>
      <c r="V1288" t="s">
        <v>3071</v>
      </c>
      <c r="X1288" t="s">
        <v>4148</v>
      </c>
      <c r="Y1288" t="s">
        <v>492</v>
      </c>
      <c r="Z1288" t="s">
        <v>5792</v>
      </c>
      <c r="AB1288" t="s">
        <v>4126</v>
      </c>
      <c r="AE1288" t="s">
        <v>4148</v>
      </c>
      <c r="AG1288" t="s">
        <v>1303</v>
      </c>
      <c r="AI1288" t="s">
        <v>29</v>
      </c>
      <c r="AK1288" t="s">
        <v>5783</v>
      </c>
      <c r="AL1288" t="s">
        <v>3152</v>
      </c>
      <c r="AN1288">
        <v>0</v>
      </c>
      <c r="AO1288" t="s">
        <v>1834</v>
      </c>
      <c r="AP1288" t="s">
        <v>1834</v>
      </c>
      <c r="AQ1288">
        <v>0</v>
      </c>
      <c r="AR1288" t="s">
        <v>1758</v>
      </c>
    </row>
    <row r="1289" spans="1:44" x14ac:dyDescent="0.25">
      <c r="A1289" t="s">
        <v>3141</v>
      </c>
      <c r="D1289" t="s">
        <v>510</v>
      </c>
      <c r="E1289" t="s">
        <v>509</v>
      </c>
      <c r="F1289" t="s">
        <v>1755</v>
      </c>
      <c r="G1289" t="str">
        <f>CONCATENATE(Master_Packing_Database[[#This Row],[Exp '#]],Master_Packing_Database[[#This Row],[Batch '#]])</f>
        <v>2311st-</v>
      </c>
      <c r="H1289" t="s">
        <v>512</v>
      </c>
      <c r="I1289" t="s">
        <v>511</v>
      </c>
      <c r="J1289" t="s">
        <v>117</v>
      </c>
      <c r="K1289" t="s">
        <v>5796</v>
      </c>
      <c r="L1289" t="s">
        <v>606</v>
      </c>
      <c r="M1289" t="s">
        <v>835</v>
      </c>
      <c r="N1289" t="s">
        <v>513</v>
      </c>
      <c r="O1289" t="s">
        <v>514</v>
      </c>
      <c r="V1289" t="s">
        <v>5715</v>
      </c>
      <c r="X1289" t="s">
        <v>4146</v>
      </c>
      <c r="Y1289" t="s">
        <v>391</v>
      </c>
      <c r="Z1289" t="s">
        <v>4147</v>
      </c>
      <c r="AB1289" t="s">
        <v>4148</v>
      </c>
      <c r="AE1289" t="s">
        <v>4146</v>
      </c>
      <c r="AG1289" t="s">
        <v>1303</v>
      </c>
      <c r="AI1289" t="s">
        <v>29</v>
      </c>
      <c r="AK1289" t="s">
        <v>4149</v>
      </c>
      <c r="AL1289" t="s">
        <v>3152</v>
      </c>
      <c r="AN1289">
        <v>0</v>
      </c>
      <c r="AO1289" t="s">
        <v>1834</v>
      </c>
      <c r="AP1289" t="s">
        <v>1834</v>
      </c>
      <c r="AQ1289">
        <v>0</v>
      </c>
      <c r="AR1289" t="s">
        <v>1758</v>
      </c>
    </row>
    <row r="1290" spans="1:44" x14ac:dyDescent="0.25">
      <c r="A1290" t="s">
        <v>3141</v>
      </c>
      <c r="D1290" t="s">
        <v>2719</v>
      </c>
      <c r="E1290" t="s">
        <v>447</v>
      </c>
      <c r="F1290" t="s">
        <v>5797</v>
      </c>
      <c r="G1290" t="str">
        <f>CONCATENATE(Master_Packing_Database[[#This Row],[Exp '#]],Master_Packing_Database[[#This Row],[Batch '#]])</f>
        <v>2300th1st  Ship with Export # 2337</v>
      </c>
      <c r="H1290" t="s">
        <v>448</v>
      </c>
      <c r="I1290" t="s">
        <v>156</v>
      </c>
      <c r="J1290" t="s">
        <v>117</v>
      </c>
      <c r="K1290" t="s">
        <v>5798</v>
      </c>
      <c r="L1290" t="s">
        <v>975</v>
      </c>
      <c r="M1290" t="s">
        <v>975</v>
      </c>
      <c r="N1290" t="s">
        <v>449</v>
      </c>
      <c r="O1290" t="s">
        <v>450</v>
      </c>
      <c r="V1290" t="s">
        <v>4093</v>
      </c>
      <c r="X1290" t="s">
        <v>4146</v>
      </c>
      <c r="Y1290" t="s">
        <v>679</v>
      </c>
      <c r="Z1290" t="s">
        <v>4147</v>
      </c>
      <c r="AB1290" t="s">
        <v>4148</v>
      </c>
      <c r="AE1290" t="s">
        <v>4146</v>
      </c>
      <c r="AG1290" t="s">
        <v>1303</v>
      </c>
      <c r="AI1290" t="s">
        <v>29</v>
      </c>
      <c r="AK1290" t="s">
        <v>4149</v>
      </c>
      <c r="AL1290" t="s">
        <v>3152</v>
      </c>
      <c r="AN1290">
        <v>0</v>
      </c>
      <c r="AO1290" t="s">
        <v>1834</v>
      </c>
      <c r="AP1290" t="s">
        <v>1834</v>
      </c>
      <c r="AQ1290">
        <v>0</v>
      </c>
      <c r="AR1290" t="s">
        <v>1758</v>
      </c>
    </row>
    <row r="1291" spans="1:44" x14ac:dyDescent="0.25">
      <c r="A1291" t="s">
        <v>3141</v>
      </c>
      <c r="D1291" t="s">
        <v>5799</v>
      </c>
      <c r="E1291" t="s">
        <v>498</v>
      </c>
      <c r="F1291" t="s">
        <v>1755</v>
      </c>
      <c r="G1291" t="str">
        <f>CONCATENATE(Master_Packing_Database[[#This Row],[Exp '#]],Master_Packing_Database[[#This Row],[Batch '#]])</f>
        <v>2308th-</v>
      </c>
      <c r="H1291" t="s">
        <v>5800</v>
      </c>
      <c r="I1291" t="s">
        <v>5801</v>
      </c>
      <c r="J1291" t="s">
        <v>117</v>
      </c>
      <c r="K1291" t="s">
        <v>5802</v>
      </c>
      <c r="L1291" t="s">
        <v>827</v>
      </c>
      <c r="M1291" t="s">
        <v>975</v>
      </c>
      <c r="N1291" t="s">
        <v>5803</v>
      </c>
      <c r="O1291" t="s">
        <v>5804</v>
      </c>
      <c r="V1291" t="s">
        <v>4096</v>
      </c>
      <c r="X1291" t="s">
        <v>5805</v>
      </c>
      <c r="Y1291" t="s">
        <v>3273</v>
      </c>
      <c r="Z1291" t="s">
        <v>5806</v>
      </c>
      <c r="AB1291" t="s">
        <v>4135</v>
      </c>
      <c r="AE1291" t="s">
        <v>5805</v>
      </c>
      <c r="AG1291" t="s">
        <v>1303</v>
      </c>
      <c r="AI1291" t="s">
        <v>29</v>
      </c>
      <c r="AK1291" t="s">
        <v>5807</v>
      </c>
      <c r="AL1291" t="s">
        <v>3152</v>
      </c>
      <c r="AN1291">
        <v>0</v>
      </c>
      <c r="AO1291" t="s">
        <v>1834</v>
      </c>
      <c r="AP1291" t="s">
        <v>1834</v>
      </c>
      <c r="AQ1291">
        <v>0</v>
      </c>
      <c r="AR1291" t="s">
        <v>1758</v>
      </c>
    </row>
    <row r="1292" spans="1:44" x14ac:dyDescent="0.25">
      <c r="A1292" t="s">
        <v>3141</v>
      </c>
      <c r="D1292" t="s">
        <v>38</v>
      </c>
      <c r="E1292" t="s">
        <v>526</v>
      </c>
      <c r="F1292" t="s">
        <v>1755</v>
      </c>
      <c r="G1292" t="str">
        <f>CONCATENATE(Master_Packing_Database[[#This Row],[Exp '#]],Master_Packing_Database[[#This Row],[Batch '#]])</f>
        <v>2313rd-</v>
      </c>
      <c r="H1292" t="s">
        <v>527</v>
      </c>
      <c r="I1292" t="s">
        <v>115</v>
      </c>
      <c r="J1292" t="s">
        <v>117</v>
      </c>
      <c r="K1292" t="s">
        <v>978</v>
      </c>
      <c r="L1292" t="s">
        <v>599</v>
      </c>
      <c r="M1292" t="s">
        <v>599</v>
      </c>
      <c r="N1292" t="s">
        <v>5808</v>
      </c>
      <c r="O1292" t="s">
        <v>3137</v>
      </c>
      <c r="V1292" t="s">
        <v>5715</v>
      </c>
      <c r="X1292" t="s">
        <v>4140</v>
      </c>
      <c r="Y1292" t="s">
        <v>3273</v>
      </c>
      <c r="Z1292" t="s">
        <v>3598</v>
      </c>
      <c r="AB1292" t="s">
        <v>4142</v>
      </c>
      <c r="AE1292" t="s">
        <v>4140</v>
      </c>
      <c r="AG1292" t="s">
        <v>1303</v>
      </c>
      <c r="AI1292" t="s">
        <v>29</v>
      </c>
      <c r="AK1292" t="s">
        <v>5807</v>
      </c>
      <c r="AL1292" t="s">
        <v>3152</v>
      </c>
      <c r="AN1292">
        <v>0</v>
      </c>
      <c r="AO1292" t="s">
        <v>1834</v>
      </c>
      <c r="AP1292" t="s">
        <v>1834</v>
      </c>
      <c r="AQ1292">
        <v>0</v>
      </c>
      <c r="AR1292" t="s">
        <v>1758</v>
      </c>
    </row>
    <row r="1293" spans="1:44" x14ac:dyDescent="0.25">
      <c r="A1293" t="s">
        <v>3141</v>
      </c>
      <c r="D1293" t="s">
        <v>281</v>
      </c>
      <c r="E1293" t="s">
        <v>205</v>
      </c>
      <c r="F1293" t="s">
        <v>1755</v>
      </c>
      <c r="G1293" t="str">
        <f>CONCATENATE(Master_Packing_Database[[#This Row],[Exp '#]],Master_Packing_Database[[#This Row],[Batch '#]])</f>
        <v>2242nd-</v>
      </c>
      <c r="H1293" t="s">
        <v>208</v>
      </c>
      <c r="I1293" t="s">
        <v>207</v>
      </c>
      <c r="J1293" t="s">
        <v>117</v>
      </c>
      <c r="K1293" t="s">
        <v>3372</v>
      </c>
      <c r="L1293" t="s">
        <v>827</v>
      </c>
      <c r="M1293" t="s">
        <v>599</v>
      </c>
      <c r="N1293" t="s">
        <v>209</v>
      </c>
      <c r="O1293" t="s">
        <v>210</v>
      </c>
      <c r="V1293" t="s">
        <v>4170</v>
      </c>
      <c r="X1293" t="s">
        <v>4170</v>
      </c>
      <c r="Y1293" t="s">
        <v>1303</v>
      </c>
      <c r="Z1293" t="s">
        <v>5750</v>
      </c>
      <c r="AB1293" t="s">
        <v>4132</v>
      </c>
      <c r="AE1293" t="s">
        <v>4170</v>
      </c>
      <c r="AG1293" t="s">
        <v>1303</v>
      </c>
      <c r="AI1293" t="s">
        <v>29</v>
      </c>
      <c r="AK1293" t="s">
        <v>5807</v>
      </c>
      <c r="AL1293" t="s">
        <v>3152</v>
      </c>
      <c r="AN1293">
        <v>0</v>
      </c>
      <c r="AO1293" t="s">
        <v>1834</v>
      </c>
      <c r="AP1293" t="s">
        <v>1834</v>
      </c>
      <c r="AQ1293">
        <v>0</v>
      </c>
      <c r="AR1293" t="s">
        <v>1758</v>
      </c>
    </row>
    <row r="1294" spans="1:44" x14ac:dyDescent="0.25">
      <c r="A1294" t="s">
        <v>3141</v>
      </c>
      <c r="D1294" t="s">
        <v>35</v>
      </c>
      <c r="E1294" t="s">
        <v>652</v>
      </c>
      <c r="F1294" t="s">
        <v>1755</v>
      </c>
      <c r="G1294" t="str">
        <f>CONCATENATE(Master_Packing_Database[[#This Row],[Exp '#]],Master_Packing_Database[[#This Row],[Batch '#]])</f>
        <v>2336th-</v>
      </c>
      <c r="H1294" t="s">
        <v>654</v>
      </c>
      <c r="I1294" t="s">
        <v>653</v>
      </c>
      <c r="J1294" t="s">
        <v>117</v>
      </c>
      <c r="K1294" t="s">
        <v>5809</v>
      </c>
      <c r="L1294" t="s">
        <v>599</v>
      </c>
      <c r="M1294" t="s">
        <v>116</v>
      </c>
      <c r="N1294" t="s">
        <v>655</v>
      </c>
      <c r="O1294" t="s">
        <v>656</v>
      </c>
      <c r="V1294" t="s">
        <v>32</v>
      </c>
      <c r="X1294" t="s">
        <v>4108</v>
      </c>
      <c r="Z1294" t="s">
        <v>4109</v>
      </c>
      <c r="AB1294" t="s">
        <v>4101</v>
      </c>
      <c r="AE1294" t="s">
        <v>4108</v>
      </c>
      <c r="AG1294" t="s">
        <v>1303</v>
      </c>
      <c r="AI1294" t="s">
        <v>29</v>
      </c>
      <c r="AK1294" t="s">
        <v>5810</v>
      </c>
      <c r="AL1294" t="s">
        <v>3152</v>
      </c>
      <c r="AN1294">
        <v>0</v>
      </c>
      <c r="AO1294" t="s">
        <v>1834</v>
      </c>
      <c r="AP1294" t="s">
        <v>1834</v>
      </c>
      <c r="AQ1294">
        <v>0</v>
      </c>
      <c r="AR1294" t="s">
        <v>1758</v>
      </c>
    </row>
    <row r="1295" spans="1:44" x14ac:dyDescent="0.25">
      <c r="A1295" t="s">
        <v>3141</v>
      </c>
      <c r="D1295" t="s">
        <v>281</v>
      </c>
      <c r="E1295" t="s">
        <v>481</v>
      </c>
      <c r="F1295" t="s">
        <v>1755</v>
      </c>
      <c r="G1295" t="str">
        <f>CONCATENATE(Master_Packing_Database[[#This Row],[Exp '#]],Master_Packing_Database[[#This Row],[Batch '#]])</f>
        <v>2305th-</v>
      </c>
      <c r="H1295" t="s">
        <v>482</v>
      </c>
      <c r="I1295" t="s">
        <v>115</v>
      </c>
      <c r="J1295" t="s">
        <v>117</v>
      </c>
      <c r="K1295" t="s">
        <v>5811</v>
      </c>
      <c r="L1295" t="s">
        <v>1016</v>
      </c>
      <c r="M1295" t="s">
        <v>1016</v>
      </c>
      <c r="N1295" t="s">
        <v>5812</v>
      </c>
      <c r="O1295" t="s">
        <v>270</v>
      </c>
      <c r="V1295" t="s">
        <v>3074</v>
      </c>
      <c r="X1295" t="s">
        <v>5782</v>
      </c>
      <c r="Y1295" t="s">
        <v>1228</v>
      </c>
      <c r="Z1295" t="s">
        <v>5813</v>
      </c>
      <c r="AB1295" t="s">
        <v>5814</v>
      </c>
      <c r="AE1295" t="s">
        <v>5782</v>
      </c>
      <c r="AG1295" t="s">
        <v>1303</v>
      </c>
      <c r="AI1295" t="s">
        <v>29</v>
      </c>
      <c r="AK1295" t="s">
        <v>5810</v>
      </c>
      <c r="AL1295" t="s">
        <v>3152</v>
      </c>
      <c r="AN1295">
        <v>0</v>
      </c>
      <c r="AO1295" t="s">
        <v>1834</v>
      </c>
      <c r="AP1295" t="s">
        <v>1834</v>
      </c>
      <c r="AQ1295">
        <v>0</v>
      </c>
      <c r="AR1295" t="s">
        <v>1758</v>
      </c>
    </row>
    <row r="1296" spans="1:44" x14ac:dyDescent="0.25">
      <c r="A1296" t="s">
        <v>3141</v>
      </c>
      <c r="D1296" t="s">
        <v>281</v>
      </c>
      <c r="E1296" t="s">
        <v>585</v>
      </c>
      <c r="F1296" t="s">
        <v>5815</v>
      </c>
      <c r="G1296" t="str">
        <f>CONCATENATE(Master_Packing_Database[[#This Row],[Exp '#]],Master_Packing_Database[[#This Row],[Batch '#]])</f>
        <v>2324thShip with Export # 2305</v>
      </c>
      <c r="H1296" t="s">
        <v>586</v>
      </c>
      <c r="I1296" t="s">
        <v>115</v>
      </c>
      <c r="J1296" t="s">
        <v>117</v>
      </c>
      <c r="K1296" t="s">
        <v>4322</v>
      </c>
      <c r="L1296" t="s">
        <v>116</v>
      </c>
      <c r="M1296" t="s">
        <v>116</v>
      </c>
      <c r="N1296" t="s">
        <v>587</v>
      </c>
      <c r="O1296" t="s">
        <v>588</v>
      </c>
      <c r="V1296" t="s">
        <v>32</v>
      </c>
      <c r="X1296" t="s">
        <v>5782</v>
      </c>
      <c r="Z1296" t="s">
        <v>5813</v>
      </c>
      <c r="AB1296" t="s">
        <v>5814</v>
      </c>
      <c r="AE1296" t="s">
        <v>5782</v>
      </c>
      <c r="AG1296" t="s">
        <v>1303</v>
      </c>
      <c r="AI1296" t="s">
        <v>29</v>
      </c>
      <c r="AK1296" t="s">
        <v>5810</v>
      </c>
      <c r="AL1296" t="s">
        <v>3152</v>
      </c>
      <c r="AN1296">
        <v>0</v>
      </c>
      <c r="AO1296" t="s">
        <v>1834</v>
      </c>
      <c r="AP1296" t="s">
        <v>1834</v>
      </c>
      <c r="AQ1296">
        <v>0</v>
      </c>
      <c r="AR1296" t="s">
        <v>1758</v>
      </c>
    </row>
    <row r="1297" spans="1:44" x14ac:dyDescent="0.25">
      <c r="A1297" t="s">
        <v>3141</v>
      </c>
      <c r="D1297" t="s">
        <v>35</v>
      </c>
      <c r="E1297" t="s">
        <v>504</v>
      </c>
      <c r="F1297" t="s">
        <v>1755</v>
      </c>
      <c r="G1297" t="str">
        <f>CONCATENATE(Master_Packing_Database[[#This Row],[Exp '#]],Master_Packing_Database[[#This Row],[Batch '#]])</f>
        <v>2310th-</v>
      </c>
      <c r="H1297" t="s">
        <v>506</v>
      </c>
      <c r="I1297" t="s">
        <v>505</v>
      </c>
      <c r="J1297" t="s">
        <v>117</v>
      </c>
      <c r="K1297" t="s">
        <v>5816</v>
      </c>
      <c r="L1297" t="s">
        <v>827</v>
      </c>
      <c r="M1297" t="s">
        <v>116</v>
      </c>
      <c r="N1297" t="s">
        <v>507</v>
      </c>
      <c r="O1297" t="s">
        <v>508</v>
      </c>
      <c r="V1297" t="s">
        <v>4139</v>
      </c>
      <c r="X1297" t="s">
        <v>4140</v>
      </c>
      <c r="Y1297" t="s">
        <v>3263</v>
      </c>
      <c r="Z1297" t="s">
        <v>5781</v>
      </c>
      <c r="AB1297" t="s">
        <v>4142</v>
      </c>
      <c r="AE1297" t="s">
        <v>5780</v>
      </c>
      <c r="AG1297" t="s">
        <v>5817</v>
      </c>
      <c r="AI1297" t="s">
        <v>29</v>
      </c>
      <c r="AK1297" t="s">
        <v>5810</v>
      </c>
      <c r="AL1297" t="s">
        <v>3152</v>
      </c>
      <c r="AN1297">
        <v>0</v>
      </c>
      <c r="AO1297" t="s">
        <v>1834</v>
      </c>
      <c r="AP1297" t="s">
        <v>1834</v>
      </c>
      <c r="AQ1297">
        <v>0</v>
      </c>
      <c r="AR1297" t="s">
        <v>1758</v>
      </c>
    </row>
    <row r="1298" spans="1:44" x14ac:dyDescent="0.25">
      <c r="A1298" t="s">
        <v>3141</v>
      </c>
      <c r="D1298" t="s">
        <v>2719</v>
      </c>
      <c r="E1298" t="s">
        <v>354</v>
      </c>
      <c r="F1298" t="s">
        <v>3911</v>
      </c>
      <c r="G1298" t="str">
        <f>CONCATENATE(Master_Packing_Database[[#This Row],[Exp '#]],Master_Packing_Database[[#This Row],[Batch '#]])</f>
        <v>2278th6th</v>
      </c>
      <c r="H1298" t="s">
        <v>357</v>
      </c>
      <c r="I1298" t="s">
        <v>356</v>
      </c>
      <c r="J1298" t="s">
        <v>117</v>
      </c>
      <c r="K1298" t="s">
        <v>3399</v>
      </c>
      <c r="L1298" t="s">
        <v>2579</v>
      </c>
      <c r="M1298" t="s">
        <v>1030</v>
      </c>
      <c r="N1298" t="s">
        <v>5818</v>
      </c>
      <c r="O1298" t="s">
        <v>5819</v>
      </c>
      <c r="V1298" t="s">
        <v>32</v>
      </c>
      <c r="X1298" t="s">
        <v>4152</v>
      </c>
      <c r="Y1298" t="s">
        <v>5820</v>
      </c>
      <c r="Z1298" t="s">
        <v>5821</v>
      </c>
      <c r="AB1298" t="s">
        <v>5805</v>
      </c>
      <c r="AE1298" t="s">
        <v>4152</v>
      </c>
      <c r="AG1298" t="s">
        <v>1303</v>
      </c>
      <c r="AI1298" t="s">
        <v>29</v>
      </c>
      <c r="AK1298" t="s">
        <v>5810</v>
      </c>
      <c r="AL1298" t="s">
        <v>3152</v>
      </c>
      <c r="AN1298">
        <v>0</v>
      </c>
      <c r="AO1298" t="s">
        <v>1834</v>
      </c>
      <c r="AP1298" t="s">
        <v>1834</v>
      </c>
      <c r="AQ1298">
        <v>0</v>
      </c>
      <c r="AR1298" t="s">
        <v>1758</v>
      </c>
    </row>
    <row r="1299" spans="1:44" x14ac:dyDescent="0.25">
      <c r="A1299" t="s">
        <v>3141</v>
      </c>
      <c r="D1299" t="s">
        <v>2719</v>
      </c>
      <c r="E1299" t="s">
        <v>659</v>
      </c>
      <c r="F1299" t="s">
        <v>761</v>
      </c>
      <c r="G1299" t="str">
        <f>CONCATENATE(Master_Packing_Database[[#This Row],[Exp '#]],Master_Packing_Database[[#This Row],[Batch '#]])</f>
        <v>2337th1st</v>
      </c>
      <c r="H1299" t="s">
        <v>5822</v>
      </c>
      <c r="I1299" t="s">
        <v>660</v>
      </c>
      <c r="J1299" t="s">
        <v>117</v>
      </c>
      <c r="K1299" t="s">
        <v>3335</v>
      </c>
      <c r="L1299" t="s">
        <v>116</v>
      </c>
      <c r="M1299" t="s">
        <v>116</v>
      </c>
      <c r="N1299" t="s">
        <v>661</v>
      </c>
      <c r="O1299" t="s">
        <v>965</v>
      </c>
      <c r="V1299" t="s">
        <v>32</v>
      </c>
      <c r="X1299" t="s">
        <v>4152</v>
      </c>
      <c r="Y1299" t="s">
        <v>5820</v>
      </c>
      <c r="Z1299" t="s">
        <v>5821</v>
      </c>
      <c r="AB1299" t="s">
        <v>5805</v>
      </c>
      <c r="AE1299" t="s">
        <v>4152</v>
      </c>
      <c r="AG1299" t="s">
        <v>1303</v>
      </c>
      <c r="AI1299" t="s">
        <v>29</v>
      </c>
      <c r="AK1299" t="s">
        <v>5810</v>
      </c>
      <c r="AL1299" t="s">
        <v>3152</v>
      </c>
      <c r="AN1299">
        <v>0</v>
      </c>
      <c r="AO1299" t="s">
        <v>1834</v>
      </c>
      <c r="AP1299" t="s">
        <v>1834</v>
      </c>
      <c r="AQ1299">
        <v>0</v>
      </c>
      <c r="AR1299" t="s">
        <v>1758</v>
      </c>
    </row>
    <row r="1300" spans="1:44" x14ac:dyDescent="0.25">
      <c r="A1300" t="s">
        <v>3141</v>
      </c>
      <c r="D1300" t="s">
        <v>48</v>
      </c>
      <c r="E1300" t="s">
        <v>703</v>
      </c>
      <c r="F1300" t="s">
        <v>1755</v>
      </c>
      <c r="G1300" t="str">
        <f>CONCATENATE(Master_Packing_Database[[#This Row],[Exp '#]],Master_Packing_Database[[#This Row],[Batch '#]])</f>
        <v>2346th-</v>
      </c>
      <c r="H1300" t="s">
        <v>704</v>
      </c>
      <c r="I1300" t="s">
        <v>111</v>
      </c>
      <c r="J1300" t="s">
        <v>117</v>
      </c>
      <c r="K1300" t="s">
        <v>5823</v>
      </c>
      <c r="L1300" t="s">
        <v>975</v>
      </c>
      <c r="M1300" t="s">
        <v>975</v>
      </c>
      <c r="N1300" t="s">
        <v>5824</v>
      </c>
      <c r="O1300" t="s">
        <v>5825</v>
      </c>
      <c r="V1300" t="s">
        <v>32</v>
      </c>
      <c r="X1300" t="s">
        <v>4153</v>
      </c>
      <c r="Z1300" t="s">
        <v>4154</v>
      </c>
      <c r="AB1300" t="s">
        <v>4155</v>
      </c>
      <c r="AE1300" t="s">
        <v>4153</v>
      </c>
      <c r="AG1300" t="s">
        <v>1303</v>
      </c>
      <c r="AI1300" t="s">
        <v>29</v>
      </c>
      <c r="AK1300" t="s">
        <v>4156</v>
      </c>
      <c r="AL1300" t="s">
        <v>3152</v>
      </c>
      <c r="AN1300">
        <v>0</v>
      </c>
      <c r="AO1300" t="s">
        <v>1834</v>
      </c>
      <c r="AP1300" t="s">
        <v>1834</v>
      </c>
      <c r="AQ1300">
        <v>0</v>
      </c>
      <c r="AR1300" t="s">
        <v>1758</v>
      </c>
    </row>
    <row r="1301" spans="1:44" x14ac:dyDescent="0.25">
      <c r="A1301" t="s">
        <v>3141</v>
      </c>
      <c r="D1301" t="s">
        <v>487</v>
      </c>
      <c r="E1301" t="s">
        <v>486</v>
      </c>
      <c r="F1301" t="s">
        <v>1755</v>
      </c>
      <c r="G1301" t="str">
        <f>CONCATENATE(Master_Packing_Database[[#This Row],[Exp '#]],Master_Packing_Database[[#This Row],[Batch '#]])</f>
        <v>2306th-</v>
      </c>
      <c r="H1301" t="s">
        <v>488</v>
      </c>
      <c r="I1301" t="s">
        <v>295</v>
      </c>
      <c r="J1301" t="s">
        <v>117</v>
      </c>
      <c r="K1301" t="s">
        <v>5826</v>
      </c>
      <c r="L1301" t="s">
        <v>599</v>
      </c>
      <c r="M1301" t="s">
        <v>599</v>
      </c>
      <c r="N1301" t="s">
        <v>5827</v>
      </c>
      <c r="O1301" t="s">
        <v>489</v>
      </c>
      <c r="V1301" t="s">
        <v>4168</v>
      </c>
      <c r="X1301" t="s">
        <v>4168</v>
      </c>
      <c r="Y1301" t="s">
        <v>1303</v>
      </c>
      <c r="Z1301" t="s">
        <v>4169</v>
      </c>
      <c r="AB1301" t="s">
        <v>4170</v>
      </c>
      <c r="AE1301" t="s">
        <v>4168</v>
      </c>
      <c r="AG1301" t="s">
        <v>1303</v>
      </c>
      <c r="AI1301" t="s">
        <v>29</v>
      </c>
      <c r="AK1301" t="s">
        <v>4156</v>
      </c>
      <c r="AL1301" t="s">
        <v>3152</v>
      </c>
      <c r="AN1301">
        <v>0</v>
      </c>
      <c r="AO1301" t="s">
        <v>1834</v>
      </c>
      <c r="AP1301" t="s">
        <v>1834</v>
      </c>
      <c r="AQ1301">
        <v>0</v>
      </c>
      <c r="AR1301" t="s">
        <v>1758</v>
      </c>
    </row>
    <row r="1302" spans="1:44" x14ac:dyDescent="0.25">
      <c r="A1302" t="s">
        <v>3141</v>
      </c>
      <c r="D1302" t="s">
        <v>38</v>
      </c>
      <c r="E1302" t="s">
        <v>556</v>
      </c>
      <c r="F1302" t="s">
        <v>5634</v>
      </c>
      <c r="G1302" t="str">
        <f>CONCATENATE(Master_Packing_Database[[#This Row],[Exp '#]],Master_Packing_Database[[#This Row],[Batch '#]])</f>
        <v>2319thLC</v>
      </c>
      <c r="H1302" t="s">
        <v>557</v>
      </c>
      <c r="I1302" t="s">
        <v>156</v>
      </c>
      <c r="J1302" t="s">
        <v>117</v>
      </c>
      <c r="K1302" t="s">
        <v>5828</v>
      </c>
      <c r="L1302" t="s">
        <v>521</v>
      </c>
      <c r="M1302" t="s">
        <v>116</v>
      </c>
      <c r="N1302" t="s">
        <v>5829</v>
      </c>
      <c r="O1302" t="s">
        <v>5830</v>
      </c>
      <c r="V1302" t="s">
        <v>4168</v>
      </c>
      <c r="X1302" t="s">
        <v>4188</v>
      </c>
      <c r="Y1302" t="s">
        <v>4169</v>
      </c>
      <c r="Z1302" t="s">
        <v>5831</v>
      </c>
      <c r="AB1302" t="s">
        <v>4153</v>
      </c>
      <c r="AE1302" t="s">
        <v>4188</v>
      </c>
      <c r="AG1302" t="s">
        <v>1303</v>
      </c>
      <c r="AI1302" t="s">
        <v>29</v>
      </c>
      <c r="AK1302" t="s">
        <v>5832</v>
      </c>
      <c r="AL1302" t="s">
        <v>3152</v>
      </c>
      <c r="AN1302">
        <v>0</v>
      </c>
      <c r="AO1302" t="s">
        <v>1834</v>
      </c>
      <c r="AP1302" t="s">
        <v>1834</v>
      </c>
      <c r="AQ1302">
        <v>0</v>
      </c>
      <c r="AR1302" t="s">
        <v>1758</v>
      </c>
    </row>
    <row r="1303" spans="1:44" x14ac:dyDescent="0.25">
      <c r="A1303" t="s">
        <v>3141</v>
      </c>
      <c r="D1303" t="s">
        <v>908</v>
      </c>
      <c r="E1303" t="s">
        <v>432</v>
      </c>
      <c r="F1303" t="s">
        <v>1755</v>
      </c>
      <c r="G1303" t="str">
        <f>CONCATENATE(Master_Packing_Database[[#This Row],[Exp '#]],Master_Packing_Database[[#This Row],[Batch '#]])</f>
        <v>2292nd-</v>
      </c>
      <c r="H1303" t="s">
        <v>434</v>
      </c>
      <c r="I1303" t="s">
        <v>433</v>
      </c>
      <c r="J1303" t="s">
        <v>117</v>
      </c>
      <c r="K1303" t="s">
        <v>5833</v>
      </c>
      <c r="L1303" t="s">
        <v>5834</v>
      </c>
      <c r="M1303" t="s">
        <v>912</v>
      </c>
      <c r="N1303" t="s">
        <v>5835</v>
      </c>
      <c r="O1303" t="s">
        <v>5836</v>
      </c>
      <c r="V1303" t="s">
        <v>4188</v>
      </c>
      <c r="X1303" t="s">
        <v>4188</v>
      </c>
      <c r="Y1303" t="s">
        <v>5831</v>
      </c>
      <c r="Z1303" t="s">
        <v>4169</v>
      </c>
      <c r="AB1303" t="s">
        <v>4153</v>
      </c>
      <c r="AE1303" t="s">
        <v>4168</v>
      </c>
      <c r="AG1303" t="s">
        <v>4136</v>
      </c>
      <c r="AI1303" t="s">
        <v>29</v>
      </c>
      <c r="AK1303" t="s">
        <v>5837</v>
      </c>
      <c r="AL1303" t="s">
        <v>3152</v>
      </c>
      <c r="AN1303">
        <v>0</v>
      </c>
      <c r="AO1303" t="s">
        <v>1834</v>
      </c>
      <c r="AP1303" t="s">
        <v>1834</v>
      </c>
      <c r="AQ1303">
        <v>0</v>
      </c>
      <c r="AR1303" t="s">
        <v>1758</v>
      </c>
    </row>
    <row r="1304" spans="1:44" x14ac:dyDescent="0.25">
      <c r="A1304" t="s">
        <v>3141</v>
      </c>
      <c r="D1304" t="s">
        <v>5088</v>
      </c>
      <c r="E1304" t="s">
        <v>1179</v>
      </c>
      <c r="F1304" t="s">
        <v>5838</v>
      </c>
      <c r="G1304" t="str">
        <f>CONCATENATE(Master_Packing_Database[[#This Row],[Exp '#]],Master_Packing_Database[[#This Row],[Batch '#]])</f>
        <v>25-029Part load with 25-030</v>
      </c>
      <c r="H1304" t="s">
        <v>1182</v>
      </c>
      <c r="I1304" t="s">
        <v>1181</v>
      </c>
      <c r="J1304" t="s">
        <v>1371</v>
      </c>
      <c r="K1304" t="s">
        <v>1147</v>
      </c>
      <c r="L1304" t="s">
        <v>5839</v>
      </c>
      <c r="M1304" t="s">
        <v>599</v>
      </c>
      <c r="N1304" t="s">
        <v>1183</v>
      </c>
      <c r="O1304" t="s">
        <v>1184</v>
      </c>
      <c r="V1304" t="s">
        <v>3071</v>
      </c>
      <c r="X1304" t="s">
        <v>4096</v>
      </c>
      <c r="Y1304" t="s">
        <v>606</v>
      </c>
      <c r="Z1304" t="s">
        <v>5717</v>
      </c>
      <c r="AB1304" t="s">
        <v>3074</v>
      </c>
      <c r="AE1304" t="s">
        <v>4096</v>
      </c>
      <c r="AG1304" t="s">
        <v>1303</v>
      </c>
      <c r="AI1304" t="s">
        <v>29</v>
      </c>
      <c r="AK1304" t="s">
        <v>4178</v>
      </c>
      <c r="AL1304" t="s">
        <v>3152</v>
      </c>
      <c r="AN1304">
        <v>0</v>
      </c>
      <c r="AO1304" t="s">
        <v>1834</v>
      </c>
      <c r="AP1304" t="s">
        <v>1834</v>
      </c>
      <c r="AQ1304">
        <v>0</v>
      </c>
      <c r="AR1304" t="s">
        <v>1758</v>
      </c>
    </row>
    <row r="1305" spans="1:44" x14ac:dyDescent="0.25">
      <c r="A1305" t="s">
        <v>3141</v>
      </c>
      <c r="D1305" t="s">
        <v>5088</v>
      </c>
      <c r="E1305" t="s">
        <v>1190</v>
      </c>
      <c r="F1305" t="s">
        <v>5840</v>
      </c>
      <c r="G1305" t="str">
        <f>CONCATENATE(Master_Packing_Database[[#This Row],[Exp '#]],Master_Packing_Database[[#This Row],[Batch '#]])</f>
        <v>25-030Part load with 25-029</v>
      </c>
      <c r="H1305" t="s">
        <v>1191</v>
      </c>
      <c r="I1305" t="s">
        <v>1181</v>
      </c>
      <c r="J1305" t="s">
        <v>1371</v>
      </c>
      <c r="K1305" t="s">
        <v>1147</v>
      </c>
      <c r="L1305" t="s">
        <v>5841</v>
      </c>
      <c r="M1305" t="s">
        <v>599</v>
      </c>
      <c r="N1305" t="s">
        <v>5241</v>
      </c>
      <c r="O1305" t="s">
        <v>1192</v>
      </c>
      <c r="V1305" t="s">
        <v>3071</v>
      </c>
      <c r="X1305" t="s">
        <v>5731</v>
      </c>
      <c r="Y1305" t="s">
        <v>599</v>
      </c>
      <c r="Z1305" t="s">
        <v>5842</v>
      </c>
      <c r="AB1305" t="s">
        <v>5843</v>
      </c>
      <c r="AE1305" t="s">
        <v>5731</v>
      </c>
      <c r="AG1305" t="s">
        <v>1303</v>
      </c>
      <c r="AI1305" t="s">
        <v>29</v>
      </c>
      <c r="AK1305" t="s">
        <v>4178</v>
      </c>
      <c r="AL1305" t="s">
        <v>3152</v>
      </c>
      <c r="AN1305">
        <v>0</v>
      </c>
      <c r="AO1305" t="s">
        <v>1834</v>
      </c>
      <c r="AP1305" t="s">
        <v>1834</v>
      </c>
      <c r="AQ1305">
        <v>0</v>
      </c>
      <c r="AR1305" t="s">
        <v>1758</v>
      </c>
    </row>
    <row r="1306" spans="1:44" x14ac:dyDescent="0.25">
      <c r="A1306" t="s">
        <v>3141</v>
      </c>
      <c r="D1306" t="s">
        <v>27</v>
      </c>
      <c r="E1306" t="s">
        <v>1339</v>
      </c>
      <c r="F1306" t="s">
        <v>1755</v>
      </c>
      <c r="G1306" t="str">
        <f>CONCATENATE(Master_Packing_Database[[#This Row],[Exp '#]],Master_Packing_Database[[#This Row],[Batch '#]])</f>
        <v>MO-0131-</v>
      </c>
      <c r="H1306" t="s">
        <v>1341</v>
      </c>
      <c r="I1306" t="s">
        <v>1340</v>
      </c>
      <c r="J1306" t="s">
        <v>1371</v>
      </c>
      <c r="K1306" t="s">
        <v>1147</v>
      </c>
      <c r="L1306" t="s">
        <v>5844</v>
      </c>
      <c r="M1306" t="s">
        <v>1030</v>
      </c>
      <c r="N1306" t="s">
        <v>1342</v>
      </c>
      <c r="O1306" t="s">
        <v>1343</v>
      </c>
      <c r="V1306" t="s">
        <v>3071</v>
      </c>
      <c r="X1306" t="s">
        <v>4122</v>
      </c>
      <c r="Y1306" t="s">
        <v>453</v>
      </c>
      <c r="Z1306" t="s">
        <v>5845</v>
      </c>
      <c r="AB1306" t="s">
        <v>3074</v>
      </c>
      <c r="AE1306" t="s">
        <v>4122</v>
      </c>
      <c r="AG1306" t="s">
        <v>1303</v>
      </c>
      <c r="AI1306" t="s">
        <v>29</v>
      </c>
      <c r="AK1306" t="s">
        <v>4178</v>
      </c>
      <c r="AL1306" t="s">
        <v>3152</v>
      </c>
      <c r="AN1306">
        <v>0</v>
      </c>
      <c r="AO1306" t="s">
        <v>1834</v>
      </c>
      <c r="AP1306" t="s">
        <v>1834</v>
      </c>
      <c r="AQ1306">
        <v>0</v>
      </c>
      <c r="AR1306" t="s">
        <v>1758</v>
      </c>
    </row>
    <row r="1307" spans="1:44" x14ac:dyDescent="0.25">
      <c r="A1307" t="s">
        <v>3141</v>
      </c>
      <c r="D1307" t="s">
        <v>1195</v>
      </c>
      <c r="E1307" t="s">
        <v>1381</v>
      </c>
      <c r="F1307" t="s">
        <v>1755</v>
      </c>
      <c r="G1307" t="str">
        <f>CONCATENATE(Master_Packing_Database[[#This Row],[Exp '#]],Master_Packing_Database[[#This Row],[Batch '#]])</f>
        <v>MO-0138-</v>
      </c>
      <c r="H1307" t="s">
        <v>1384</v>
      </c>
      <c r="I1307" t="s">
        <v>1383</v>
      </c>
      <c r="J1307" t="s">
        <v>1371</v>
      </c>
      <c r="K1307" t="s">
        <v>1147</v>
      </c>
      <c r="L1307" t="s">
        <v>4721</v>
      </c>
      <c r="M1307" t="s">
        <v>599</v>
      </c>
      <c r="N1307" t="s">
        <v>1385</v>
      </c>
      <c r="O1307" t="s">
        <v>1386</v>
      </c>
      <c r="V1307" t="s">
        <v>3071</v>
      </c>
      <c r="X1307" t="s">
        <v>4158</v>
      </c>
      <c r="Y1307" t="s">
        <v>173</v>
      </c>
      <c r="Z1307" t="s">
        <v>5846</v>
      </c>
      <c r="AB1307" t="s">
        <v>3074</v>
      </c>
      <c r="AE1307" t="s">
        <v>4158</v>
      </c>
      <c r="AG1307" t="s">
        <v>1303</v>
      </c>
      <c r="AI1307" t="s">
        <v>29</v>
      </c>
      <c r="AK1307" t="s">
        <v>4178</v>
      </c>
      <c r="AL1307" t="s">
        <v>3152</v>
      </c>
      <c r="AN1307">
        <v>0</v>
      </c>
      <c r="AO1307" t="s">
        <v>1834</v>
      </c>
      <c r="AP1307" t="s">
        <v>1834</v>
      </c>
      <c r="AQ1307">
        <v>0</v>
      </c>
      <c r="AR1307" t="s">
        <v>1758</v>
      </c>
    </row>
    <row r="1308" spans="1:44" x14ac:dyDescent="0.25">
      <c r="A1308" t="s">
        <v>3141</v>
      </c>
      <c r="D1308" t="s">
        <v>720</v>
      </c>
      <c r="E1308" t="s">
        <v>719</v>
      </c>
      <c r="F1308" t="s">
        <v>1755</v>
      </c>
      <c r="G1308" t="str">
        <f>CONCATENATE(Master_Packing_Database[[#This Row],[Exp '#]],Master_Packing_Database[[#This Row],[Batch '#]])</f>
        <v>2352nd-</v>
      </c>
      <c r="H1308" t="s">
        <v>5847</v>
      </c>
      <c r="I1308" t="s">
        <v>115</v>
      </c>
      <c r="J1308" t="s">
        <v>117</v>
      </c>
      <c r="K1308" t="s">
        <v>5848</v>
      </c>
      <c r="L1308" t="s">
        <v>599</v>
      </c>
      <c r="M1308" t="s">
        <v>599</v>
      </c>
      <c r="N1308" t="s">
        <v>722</v>
      </c>
      <c r="O1308" t="s">
        <v>723</v>
      </c>
      <c r="V1308" t="s">
        <v>5849</v>
      </c>
      <c r="X1308" t="s">
        <v>4199</v>
      </c>
      <c r="Y1308" t="s">
        <v>2564</v>
      </c>
      <c r="Z1308" t="s">
        <v>4200</v>
      </c>
      <c r="AB1308" t="s">
        <v>4201</v>
      </c>
      <c r="AE1308" t="s">
        <v>4199</v>
      </c>
      <c r="AG1308" t="s">
        <v>1303</v>
      </c>
      <c r="AI1308" t="s">
        <v>29</v>
      </c>
      <c r="AK1308" t="s">
        <v>4202</v>
      </c>
      <c r="AL1308" t="s">
        <v>3152</v>
      </c>
      <c r="AN1308">
        <v>0</v>
      </c>
      <c r="AO1308" t="s">
        <v>1834</v>
      </c>
      <c r="AP1308" t="s">
        <v>1834</v>
      </c>
      <c r="AQ1308">
        <v>0</v>
      </c>
      <c r="AR1308" t="s">
        <v>1758</v>
      </c>
    </row>
    <row r="1309" spans="1:44" x14ac:dyDescent="0.25">
      <c r="A1309" t="s">
        <v>3141</v>
      </c>
      <c r="D1309" t="s">
        <v>1328</v>
      </c>
      <c r="E1309" t="s">
        <v>742</v>
      </c>
      <c r="F1309" t="s">
        <v>1755</v>
      </c>
      <c r="G1309" t="str">
        <f>CONCATENATE(Master_Packing_Database[[#This Row],[Exp '#]],Master_Packing_Database[[#This Row],[Batch '#]])</f>
        <v>2356th-</v>
      </c>
      <c r="H1309" t="s">
        <v>5850</v>
      </c>
      <c r="I1309" t="s">
        <v>5851</v>
      </c>
      <c r="J1309" t="s">
        <v>366</v>
      </c>
      <c r="K1309" t="s">
        <v>3361</v>
      </c>
      <c r="L1309" t="s">
        <v>970</v>
      </c>
      <c r="M1309" t="s">
        <v>599</v>
      </c>
      <c r="N1309" t="s">
        <v>3374</v>
      </c>
      <c r="O1309" t="s">
        <v>745</v>
      </c>
      <c r="V1309" t="s">
        <v>5849</v>
      </c>
      <c r="X1309" t="s">
        <v>4175</v>
      </c>
      <c r="Y1309" t="s">
        <v>1072</v>
      </c>
      <c r="Z1309" t="s">
        <v>4176</v>
      </c>
      <c r="AB1309" t="s">
        <v>4162</v>
      </c>
      <c r="AE1309" t="s">
        <v>4175</v>
      </c>
      <c r="AG1309" t="s">
        <v>1303</v>
      </c>
      <c r="AI1309" t="s">
        <v>29</v>
      </c>
      <c r="AK1309" t="s">
        <v>4202</v>
      </c>
      <c r="AL1309" t="s">
        <v>3152</v>
      </c>
      <c r="AN1309">
        <v>0</v>
      </c>
      <c r="AO1309" t="s">
        <v>1834</v>
      </c>
      <c r="AP1309" t="s">
        <v>1834</v>
      </c>
      <c r="AQ1309">
        <v>0</v>
      </c>
      <c r="AR1309" t="s">
        <v>1758</v>
      </c>
    </row>
    <row r="1310" spans="1:44" x14ac:dyDescent="0.25">
      <c r="A1310" t="s">
        <v>3141</v>
      </c>
      <c r="D1310" t="s">
        <v>1326</v>
      </c>
      <c r="E1310" t="s">
        <v>733</v>
      </c>
      <c r="F1310" t="s">
        <v>1755</v>
      </c>
      <c r="G1310" t="str">
        <f>CONCATENATE(Master_Packing_Database[[#This Row],[Exp '#]],Master_Packing_Database[[#This Row],[Batch '#]])</f>
        <v>2355th-</v>
      </c>
      <c r="H1310" t="s">
        <v>735</v>
      </c>
      <c r="I1310" t="s">
        <v>660</v>
      </c>
      <c r="J1310" t="s">
        <v>117</v>
      </c>
      <c r="K1310" t="s">
        <v>5852</v>
      </c>
      <c r="L1310" t="s">
        <v>544</v>
      </c>
      <c r="M1310" t="s">
        <v>599</v>
      </c>
      <c r="N1310" t="s">
        <v>736</v>
      </c>
      <c r="O1310" t="s">
        <v>352</v>
      </c>
      <c r="V1310" t="s">
        <v>4201</v>
      </c>
      <c r="X1310" t="s">
        <v>4201</v>
      </c>
      <c r="Y1310" t="s">
        <v>1303</v>
      </c>
      <c r="Z1310" t="s">
        <v>5853</v>
      </c>
      <c r="AB1310" t="s">
        <v>4209</v>
      </c>
      <c r="AE1310" t="s">
        <v>4201</v>
      </c>
      <c r="AG1310" t="s">
        <v>1303</v>
      </c>
      <c r="AI1310" t="s">
        <v>29</v>
      </c>
      <c r="AK1310" t="s">
        <v>5854</v>
      </c>
      <c r="AL1310" t="s">
        <v>3152</v>
      </c>
      <c r="AN1310">
        <v>0</v>
      </c>
      <c r="AO1310" t="s">
        <v>1834</v>
      </c>
      <c r="AP1310" t="s">
        <v>1834</v>
      </c>
      <c r="AQ1310">
        <v>0</v>
      </c>
      <c r="AR1310" t="s">
        <v>1758</v>
      </c>
    </row>
    <row r="1311" spans="1:44" x14ac:dyDescent="0.25">
      <c r="A1311" t="s">
        <v>3141</v>
      </c>
      <c r="D1311" t="s">
        <v>1158</v>
      </c>
      <c r="E1311" t="s">
        <v>1347</v>
      </c>
      <c r="F1311" t="s">
        <v>1755</v>
      </c>
      <c r="G1311" t="str">
        <f>CONCATENATE(Master_Packing_Database[[#This Row],[Exp '#]],Master_Packing_Database[[#This Row],[Batch '#]])</f>
        <v>MO-0133-</v>
      </c>
      <c r="H1311" t="s">
        <v>1348</v>
      </c>
      <c r="I1311" t="s">
        <v>5855</v>
      </c>
      <c r="J1311" t="s">
        <v>366</v>
      </c>
      <c r="K1311" t="s">
        <v>1147</v>
      </c>
      <c r="L1311" t="s">
        <v>453</v>
      </c>
      <c r="M1311" t="s">
        <v>599</v>
      </c>
      <c r="N1311" t="s">
        <v>5856</v>
      </c>
      <c r="O1311" t="s">
        <v>320</v>
      </c>
      <c r="V1311" t="s">
        <v>3071</v>
      </c>
      <c r="X1311" t="s">
        <v>4186</v>
      </c>
      <c r="Y1311" t="s">
        <v>235</v>
      </c>
      <c r="Z1311" t="s">
        <v>4187</v>
      </c>
      <c r="AB1311" t="s">
        <v>3074</v>
      </c>
      <c r="AE1311" t="s">
        <v>4186</v>
      </c>
      <c r="AG1311" t="s">
        <v>1303</v>
      </c>
      <c r="AI1311" t="s">
        <v>29</v>
      </c>
      <c r="AK1311" t="s">
        <v>5854</v>
      </c>
      <c r="AL1311" t="s">
        <v>3152</v>
      </c>
      <c r="AN1311">
        <v>0</v>
      </c>
      <c r="AO1311" t="s">
        <v>1834</v>
      </c>
      <c r="AP1311" t="s">
        <v>1834</v>
      </c>
      <c r="AQ1311">
        <v>0</v>
      </c>
      <c r="AR1311" t="s">
        <v>1758</v>
      </c>
    </row>
    <row r="1312" spans="1:44" x14ac:dyDescent="0.25">
      <c r="A1312" t="s">
        <v>3141</v>
      </c>
      <c r="D1312" t="s">
        <v>122</v>
      </c>
      <c r="E1312" t="s">
        <v>121</v>
      </c>
      <c r="F1312" t="s">
        <v>1755</v>
      </c>
      <c r="G1312" t="str">
        <f>CONCATENATE(Master_Packing_Database[[#This Row],[Exp '#]],Master_Packing_Database[[#This Row],[Batch '#]])</f>
        <v>2161st-</v>
      </c>
      <c r="H1312" t="s">
        <v>123</v>
      </c>
      <c r="I1312" t="s">
        <v>124</v>
      </c>
      <c r="J1312" t="s">
        <v>117</v>
      </c>
      <c r="K1312" t="s">
        <v>3796</v>
      </c>
      <c r="L1312" t="s">
        <v>5857</v>
      </c>
      <c r="M1312" t="s">
        <v>1054</v>
      </c>
      <c r="N1312" t="s">
        <v>5858</v>
      </c>
      <c r="O1312" t="s">
        <v>5859</v>
      </c>
      <c r="V1312" t="s">
        <v>4153</v>
      </c>
      <c r="X1312" t="s">
        <v>5860</v>
      </c>
      <c r="Y1312" t="s">
        <v>1456</v>
      </c>
      <c r="Z1312" t="s">
        <v>5174</v>
      </c>
      <c r="AB1312" t="s">
        <v>5861</v>
      </c>
      <c r="AE1312" t="s">
        <v>5860</v>
      </c>
      <c r="AG1312" t="s">
        <v>1303</v>
      </c>
      <c r="AI1312" t="s">
        <v>29</v>
      </c>
      <c r="AK1312" t="s">
        <v>5862</v>
      </c>
      <c r="AL1312" t="s">
        <v>3152</v>
      </c>
      <c r="AN1312">
        <v>0</v>
      </c>
      <c r="AO1312" t="s">
        <v>1834</v>
      </c>
      <c r="AP1312" t="s">
        <v>1834</v>
      </c>
      <c r="AQ1312">
        <v>0</v>
      </c>
      <c r="AR1312" t="s">
        <v>1758</v>
      </c>
    </row>
    <row r="1313" spans="1:44" x14ac:dyDescent="0.25">
      <c r="A1313" t="s">
        <v>3141</v>
      </c>
      <c r="D1313" t="s">
        <v>5043</v>
      </c>
      <c r="E1313" t="s">
        <v>1358</v>
      </c>
      <c r="F1313" t="s">
        <v>1755</v>
      </c>
      <c r="G1313" t="str">
        <f>CONCATENATE(Master_Packing_Database[[#This Row],[Exp '#]],Master_Packing_Database[[#This Row],[Batch '#]])</f>
        <v>MO-0134-</v>
      </c>
      <c r="H1313" t="s">
        <v>1360</v>
      </c>
      <c r="I1313" t="s">
        <v>1361</v>
      </c>
      <c r="J1313" t="s">
        <v>117</v>
      </c>
      <c r="K1313" t="s">
        <v>1147</v>
      </c>
      <c r="L1313" t="s">
        <v>912</v>
      </c>
      <c r="M1313" t="s">
        <v>116</v>
      </c>
      <c r="N1313" t="s">
        <v>976</v>
      </c>
      <c r="O1313" t="s">
        <v>4272</v>
      </c>
      <c r="V1313" t="s">
        <v>3071</v>
      </c>
      <c r="X1313" t="s">
        <v>4175</v>
      </c>
      <c r="Y1313" t="s">
        <v>4815</v>
      </c>
      <c r="Z1313" t="s">
        <v>4176</v>
      </c>
      <c r="AB1313" t="s">
        <v>3074</v>
      </c>
      <c r="AE1313" t="s">
        <v>4175</v>
      </c>
      <c r="AG1313" t="s">
        <v>1303</v>
      </c>
      <c r="AI1313" t="s">
        <v>29</v>
      </c>
      <c r="AK1313" t="s">
        <v>5862</v>
      </c>
      <c r="AL1313" t="s">
        <v>3152</v>
      </c>
      <c r="AN1313">
        <v>0</v>
      </c>
      <c r="AO1313" t="s">
        <v>1834</v>
      </c>
      <c r="AP1313" t="s">
        <v>1834</v>
      </c>
      <c r="AQ1313">
        <v>0</v>
      </c>
      <c r="AR1313" t="s">
        <v>1758</v>
      </c>
    </row>
    <row r="1314" spans="1:44" x14ac:dyDescent="0.25">
      <c r="A1314" t="s">
        <v>3141</v>
      </c>
      <c r="D1314" t="s">
        <v>5531</v>
      </c>
      <c r="E1314" t="s">
        <v>783</v>
      </c>
      <c r="F1314" t="s">
        <v>1755</v>
      </c>
      <c r="G1314" t="str">
        <f>CONCATENATE(Master_Packing_Database[[#This Row],[Exp '#]],Master_Packing_Database[[#This Row],[Batch '#]])</f>
        <v>2362nd-</v>
      </c>
      <c r="H1314" t="s">
        <v>785</v>
      </c>
      <c r="I1314" t="s">
        <v>786</v>
      </c>
      <c r="J1314" t="s">
        <v>366</v>
      </c>
      <c r="K1314" t="s">
        <v>4306</v>
      </c>
      <c r="L1314" t="s">
        <v>970</v>
      </c>
      <c r="M1314" t="s">
        <v>116</v>
      </c>
      <c r="N1314" t="s">
        <v>461</v>
      </c>
      <c r="O1314" t="s">
        <v>4932</v>
      </c>
      <c r="V1314" t="s">
        <v>4204</v>
      </c>
      <c r="X1314" t="s">
        <v>5863</v>
      </c>
      <c r="Y1314" t="s">
        <v>376</v>
      </c>
      <c r="Z1314" t="s">
        <v>4390</v>
      </c>
      <c r="AB1314" t="s">
        <v>5864</v>
      </c>
      <c r="AE1314" t="s">
        <v>5863</v>
      </c>
      <c r="AG1314" t="s">
        <v>1303</v>
      </c>
      <c r="AI1314" t="s">
        <v>29</v>
      </c>
      <c r="AK1314" t="s">
        <v>4243</v>
      </c>
      <c r="AL1314" t="s">
        <v>3152</v>
      </c>
      <c r="AN1314">
        <v>0</v>
      </c>
      <c r="AO1314" t="s">
        <v>1834</v>
      </c>
      <c r="AP1314" t="s">
        <v>1834</v>
      </c>
      <c r="AQ1314">
        <v>0</v>
      </c>
      <c r="AR1314" t="s">
        <v>1758</v>
      </c>
    </row>
    <row r="1315" spans="1:44" x14ac:dyDescent="0.25">
      <c r="A1315" t="s">
        <v>3141</v>
      </c>
      <c r="D1315" t="s">
        <v>2719</v>
      </c>
      <c r="E1315" t="s">
        <v>659</v>
      </c>
      <c r="F1315" t="s">
        <v>422</v>
      </c>
      <c r="G1315" t="str">
        <f>CONCATENATE(Master_Packing_Database[[#This Row],[Exp '#]],Master_Packing_Database[[#This Row],[Batch '#]])</f>
        <v>2337th2nd</v>
      </c>
      <c r="H1315" t="s">
        <v>5822</v>
      </c>
      <c r="I1315" t="s">
        <v>660</v>
      </c>
      <c r="J1315" t="s">
        <v>117</v>
      </c>
      <c r="K1315" t="s">
        <v>5865</v>
      </c>
      <c r="L1315" t="s">
        <v>116</v>
      </c>
      <c r="M1315" t="s">
        <v>116</v>
      </c>
      <c r="N1315" t="s">
        <v>661</v>
      </c>
      <c r="O1315" t="s">
        <v>662</v>
      </c>
      <c r="V1315" t="s">
        <v>4067</v>
      </c>
      <c r="X1315" t="s">
        <v>4231</v>
      </c>
      <c r="Y1315" t="s">
        <v>684</v>
      </c>
      <c r="Z1315" t="s">
        <v>4235</v>
      </c>
      <c r="AB1315" t="s">
        <v>2633</v>
      </c>
      <c r="AE1315" t="s">
        <v>4231</v>
      </c>
      <c r="AG1315" t="s">
        <v>1303</v>
      </c>
      <c r="AI1315" t="s">
        <v>29</v>
      </c>
      <c r="AK1315" t="s">
        <v>4219</v>
      </c>
      <c r="AL1315" t="s">
        <v>3152</v>
      </c>
      <c r="AN1315">
        <v>0</v>
      </c>
      <c r="AO1315" t="s">
        <v>1834</v>
      </c>
      <c r="AP1315" t="s">
        <v>1834</v>
      </c>
      <c r="AQ1315">
        <v>0</v>
      </c>
      <c r="AR1315" t="s">
        <v>1758</v>
      </c>
    </row>
    <row r="1316" spans="1:44" x14ac:dyDescent="0.25">
      <c r="A1316" t="s">
        <v>3141</v>
      </c>
      <c r="D1316" t="s">
        <v>470</v>
      </c>
      <c r="E1316" t="s">
        <v>469</v>
      </c>
      <c r="F1316" t="s">
        <v>1755</v>
      </c>
      <c r="G1316" t="str">
        <f>CONCATENATE(Master_Packing_Database[[#This Row],[Exp '#]],Master_Packing_Database[[#This Row],[Batch '#]])</f>
        <v>2304th-</v>
      </c>
      <c r="H1316" t="s">
        <v>471</v>
      </c>
      <c r="I1316" t="s">
        <v>111</v>
      </c>
      <c r="J1316" t="s">
        <v>117</v>
      </c>
      <c r="K1316" t="s">
        <v>5866</v>
      </c>
      <c r="L1316" t="s">
        <v>3430</v>
      </c>
      <c r="M1316" t="s">
        <v>3430</v>
      </c>
      <c r="N1316" t="s">
        <v>5867</v>
      </c>
      <c r="O1316" t="s">
        <v>472</v>
      </c>
      <c r="V1316" t="s">
        <v>5868</v>
      </c>
      <c r="X1316" t="s">
        <v>4257</v>
      </c>
      <c r="Y1316" t="s">
        <v>3430</v>
      </c>
      <c r="Z1316" t="s">
        <v>4235</v>
      </c>
      <c r="AB1316" t="s">
        <v>5869</v>
      </c>
      <c r="AE1316" t="s">
        <v>4231</v>
      </c>
      <c r="AG1316" t="s">
        <v>3385</v>
      </c>
      <c r="AI1316" t="s">
        <v>29</v>
      </c>
      <c r="AK1316" t="s">
        <v>4219</v>
      </c>
      <c r="AL1316" t="s">
        <v>3152</v>
      </c>
      <c r="AN1316">
        <v>0</v>
      </c>
      <c r="AO1316" t="s">
        <v>1834</v>
      </c>
      <c r="AP1316" t="s">
        <v>1834</v>
      </c>
      <c r="AQ1316">
        <v>0</v>
      </c>
      <c r="AR1316" t="s">
        <v>1758</v>
      </c>
    </row>
    <row r="1317" spans="1:44" x14ac:dyDescent="0.25">
      <c r="A1317" t="s">
        <v>3141</v>
      </c>
      <c r="D1317" t="s">
        <v>1213</v>
      </c>
      <c r="E1317" t="s">
        <v>1204</v>
      </c>
      <c r="F1317" t="s">
        <v>422</v>
      </c>
      <c r="G1317" t="str">
        <f>CONCATENATE(Master_Packing_Database[[#This Row],[Exp '#]],Master_Packing_Database[[#This Row],[Batch '#]])</f>
        <v>25-0342nd</v>
      </c>
      <c r="H1317" t="s">
        <v>5870</v>
      </c>
      <c r="I1317" t="s">
        <v>1241</v>
      </c>
      <c r="J1317" t="s">
        <v>117</v>
      </c>
      <c r="K1317" t="s">
        <v>1147</v>
      </c>
      <c r="L1317" t="s">
        <v>116</v>
      </c>
      <c r="M1317" t="s">
        <v>599</v>
      </c>
      <c r="N1317" t="s">
        <v>1099</v>
      </c>
      <c r="O1317" t="s">
        <v>4249</v>
      </c>
      <c r="V1317" t="s">
        <v>3071</v>
      </c>
      <c r="X1317" t="s">
        <v>4257</v>
      </c>
      <c r="Y1317" t="s">
        <v>399</v>
      </c>
      <c r="Z1317" t="s">
        <v>4520</v>
      </c>
      <c r="AB1317" t="s">
        <v>5871</v>
      </c>
      <c r="AE1317" t="s">
        <v>4257</v>
      </c>
      <c r="AG1317" t="s">
        <v>1303</v>
      </c>
      <c r="AI1317" t="s">
        <v>29</v>
      </c>
      <c r="AK1317" t="s">
        <v>4259</v>
      </c>
      <c r="AL1317" t="s">
        <v>3152</v>
      </c>
      <c r="AN1317">
        <v>0</v>
      </c>
      <c r="AO1317" t="s">
        <v>1834</v>
      </c>
      <c r="AP1317" t="s">
        <v>1834</v>
      </c>
      <c r="AQ1317">
        <v>0</v>
      </c>
      <c r="AR1317" t="s">
        <v>1758</v>
      </c>
    </row>
    <row r="1318" spans="1:44" x14ac:dyDescent="0.25">
      <c r="A1318" t="s">
        <v>3141</v>
      </c>
      <c r="D1318" t="s">
        <v>5872</v>
      </c>
      <c r="E1318" t="s">
        <v>335</v>
      </c>
      <c r="F1318" t="s">
        <v>5873</v>
      </c>
      <c r="G1318" t="str">
        <f>CONCATENATE(Master_Packing_Database[[#This Row],[Exp '#]],Master_Packing_Database[[#This Row],[Batch '#]])</f>
        <v>2274thShip with Export # 2275</v>
      </c>
      <c r="H1318" t="s">
        <v>337</v>
      </c>
      <c r="I1318" t="s">
        <v>338</v>
      </c>
      <c r="J1318" t="s">
        <v>366</v>
      </c>
      <c r="K1318" t="s">
        <v>5874</v>
      </c>
      <c r="L1318" t="s">
        <v>5875</v>
      </c>
      <c r="M1318" t="s">
        <v>116</v>
      </c>
      <c r="N1318" t="s">
        <v>986</v>
      </c>
      <c r="O1318" t="s">
        <v>1099</v>
      </c>
      <c r="V1318" t="s">
        <v>32</v>
      </c>
      <c r="X1318" t="s">
        <v>4104</v>
      </c>
      <c r="Z1318" t="s">
        <v>5744</v>
      </c>
      <c r="AB1318" t="s">
        <v>4106</v>
      </c>
      <c r="AE1318" t="s">
        <v>4104</v>
      </c>
      <c r="AG1318" t="s">
        <v>1303</v>
      </c>
      <c r="AI1318" t="s">
        <v>29</v>
      </c>
      <c r="AK1318" t="s">
        <v>4264</v>
      </c>
      <c r="AL1318" t="s">
        <v>3152</v>
      </c>
      <c r="AN1318">
        <v>0</v>
      </c>
      <c r="AO1318" t="s">
        <v>1834</v>
      </c>
      <c r="AP1318" t="s">
        <v>1834</v>
      </c>
      <c r="AQ1318">
        <v>0</v>
      </c>
      <c r="AR1318" t="s">
        <v>1758</v>
      </c>
    </row>
    <row r="1319" spans="1:44" x14ac:dyDescent="0.25">
      <c r="A1319" t="s">
        <v>3141</v>
      </c>
      <c r="D1319" t="s">
        <v>5872</v>
      </c>
      <c r="E1319" t="s">
        <v>349</v>
      </c>
      <c r="F1319" t="s">
        <v>5873</v>
      </c>
      <c r="G1319" t="str">
        <f>CONCATENATE(Master_Packing_Database[[#This Row],[Exp '#]],Master_Packing_Database[[#This Row],[Batch '#]])</f>
        <v>2277thShip with Export # 2275</v>
      </c>
      <c r="H1319" t="s">
        <v>350</v>
      </c>
      <c r="I1319" t="s">
        <v>351</v>
      </c>
      <c r="J1319" t="s">
        <v>366</v>
      </c>
      <c r="K1319" t="s">
        <v>4322</v>
      </c>
      <c r="L1319" t="s">
        <v>544</v>
      </c>
      <c r="M1319" t="s">
        <v>116</v>
      </c>
      <c r="N1319" t="s">
        <v>5876</v>
      </c>
      <c r="O1319" t="s">
        <v>5877</v>
      </c>
      <c r="V1319" t="s">
        <v>32</v>
      </c>
      <c r="X1319" t="s">
        <v>4104</v>
      </c>
      <c r="Z1319" t="s">
        <v>5744</v>
      </c>
      <c r="AB1319" t="s">
        <v>4106</v>
      </c>
      <c r="AE1319" t="s">
        <v>4104</v>
      </c>
      <c r="AG1319" t="s">
        <v>1303</v>
      </c>
      <c r="AI1319" t="s">
        <v>29</v>
      </c>
      <c r="AK1319" t="s">
        <v>4264</v>
      </c>
      <c r="AL1319" t="s">
        <v>3152</v>
      </c>
      <c r="AN1319">
        <v>0</v>
      </c>
      <c r="AO1319" t="s">
        <v>1834</v>
      </c>
      <c r="AP1319" t="s">
        <v>1834</v>
      </c>
      <c r="AQ1319">
        <v>0</v>
      </c>
      <c r="AR1319" t="s">
        <v>1758</v>
      </c>
    </row>
    <row r="1320" spans="1:44" x14ac:dyDescent="0.25">
      <c r="A1320" t="s">
        <v>3141</v>
      </c>
      <c r="D1320" t="s">
        <v>5872</v>
      </c>
      <c r="E1320" t="s">
        <v>412</v>
      </c>
      <c r="F1320" t="s">
        <v>5873</v>
      </c>
      <c r="G1320" t="str">
        <f>CONCATENATE(Master_Packing_Database[[#This Row],[Exp '#]],Master_Packing_Database[[#This Row],[Batch '#]])</f>
        <v>2289thShip with Export # 2275</v>
      </c>
      <c r="H1320" t="s">
        <v>413</v>
      </c>
      <c r="I1320" t="s">
        <v>414</v>
      </c>
      <c r="J1320" t="s">
        <v>117</v>
      </c>
      <c r="K1320" t="s">
        <v>3227</v>
      </c>
      <c r="L1320" t="s">
        <v>599</v>
      </c>
      <c r="M1320" t="s">
        <v>116</v>
      </c>
      <c r="N1320" t="s">
        <v>415</v>
      </c>
      <c r="O1320" t="s">
        <v>416</v>
      </c>
      <c r="V1320" t="s">
        <v>4067</v>
      </c>
      <c r="X1320" t="s">
        <v>4199</v>
      </c>
      <c r="Y1320" t="s">
        <v>435</v>
      </c>
      <c r="Z1320" t="s">
        <v>4200</v>
      </c>
      <c r="AB1320" t="s">
        <v>4201</v>
      </c>
      <c r="AE1320" t="s">
        <v>4199</v>
      </c>
      <c r="AG1320" t="s">
        <v>1303</v>
      </c>
      <c r="AI1320" t="s">
        <v>29</v>
      </c>
      <c r="AK1320" t="s">
        <v>4264</v>
      </c>
      <c r="AL1320" t="s">
        <v>3152</v>
      </c>
      <c r="AN1320">
        <v>0</v>
      </c>
      <c r="AO1320" t="s">
        <v>1834</v>
      </c>
      <c r="AP1320" t="s">
        <v>1834</v>
      </c>
      <c r="AQ1320">
        <v>0</v>
      </c>
      <c r="AR1320" t="s">
        <v>1758</v>
      </c>
    </row>
    <row r="1321" spans="1:44" x14ac:dyDescent="0.25">
      <c r="A1321" t="s">
        <v>3141</v>
      </c>
      <c r="D1321" t="s">
        <v>5872</v>
      </c>
      <c r="E1321" t="s">
        <v>345</v>
      </c>
      <c r="F1321" t="s">
        <v>1755</v>
      </c>
      <c r="G1321" t="str">
        <f>CONCATENATE(Master_Packing_Database[[#This Row],[Exp '#]],Master_Packing_Database[[#This Row],[Batch '#]])</f>
        <v>2275th-</v>
      </c>
      <c r="H1321" t="s">
        <v>346</v>
      </c>
      <c r="I1321" t="s">
        <v>347</v>
      </c>
      <c r="J1321" t="s">
        <v>117</v>
      </c>
      <c r="K1321" t="s">
        <v>5878</v>
      </c>
      <c r="L1321" t="s">
        <v>5879</v>
      </c>
      <c r="M1321" t="s">
        <v>376</v>
      </c>
      <c r="N1321" t="s">
        <v>5880</v>
      </c>
      <c r="O1321" t="s">
        <v>4002</v>
      </c>
      <c r="V1321" t="s">
        <v>5849</v>
      </c>
      <c r="X1321" t="s">
        <v>4269</v>
      </c>
      <c r="Y1321" t="s">
        <v>1228</v>
      </c>
      <c r="Z1321" t="s">
        <v>4262</v>
      </c>
      <c r="AB1321" t="s">
        <v>5881</v>
      </c>
      <c r="AE1321" t="s">
        <v>4261</v>
      </c>
      <c r="AG1321" t="s">
        <v>116</v>
      </c>
      <c r="AI1321" t="s">
        <v>29</v>
      </c>
      <c r="AK1321" t="s">
        <v>4264</v>
      </c>
      <c r="AL1321" t="s">
        <v>3152</v>
      </c>
      <c r="AN1321">
        <v>0</v>
      </c>
      <c r="AO1321" t="s">
        <v>1834</v>
      </c>
      <c r="AP1321" t="s">
        <v>1834</v>
      </c>
      <c r="AQ1321">
        <v>0</v>
      </c>
      <c r="AR1321" t="s">
        <v>1758</v>
      </c>
    </row>
    <row r="1322" spans="1:44" x14ac:dyDescent="0.25">
      <c r="A1322" t="s">
        <v>3141</v>
      </c>
      <c r="D1322" t="s">
        <v>5882</v>
      </c>
      <c r="E1322" t="s">
        <v>815</v>
      </c>
      <c r="F1322" t="s">
        <v>1755</v>
      </c>
      <c r="G1322" t="str">
        <f>CONCATENATE(Master_Packing_Database[[#This Row],[Exp '#]],Master_Packing_Database[[#This Row],[Batch '#]])</f>
        <v>2368th-</v>
      </c>
      <c r="H1322" t="s">
        <v>817</v>
      </c>
      <c r="I1322" t="s">
        <v>818</v>
      </c>
      <c r="J1322" t="s">
        <v>366</v>
      </c>
      <c r="K1322" t="s">
        <v>5883</v>
      </c>
      <c r="L1322" t="s">
        <v>3263</v>
      </c>
      <c r="M1322" t="s">
        <v>1016</v>
      </c>
      <c r="N1322" t="s">
        <v>5884</v>
      </c>
      <c r="O1322" t="s">
        <v>5885</v>
      </c>
      <c r="V1322" t="s">
        <v>4276</v>
      </c>
      <c r="X1322" t="s">
        <v>4269</v>
      </c>
      <c r="Y1322" t="s">
        <v>4131</v>
      </c>
      <c r="Z1322" t="s">
        <v>4262</v>
      </c>
      <c r="AB1322" t="s">
        <v>5881</v>
      </c>
      <c r="AE1322" t="s">
        <v>4261</v>
      </c>
      <c r="AG1322" t="s">
        <v>116</v>
      </c>
      <c r="AI1322" t="s">
        <v>29</v>
      </c>
      <c r="AK1322" t="s">
        <v>4264</v>
      </c>
      <c r="AL1322" t="s">
        <v>3152</v>
      </c>
      <c r="AN1322">
        <v>0</v>
      </c>
      <c r="AO1322" t="s">
        <v>1834</v>
      </c>
      <c r="AP1322" t="s">
        <v>1834</v>
      </c>
      <c r="AQ1322">
        <v>0</v>
      </c>
      <c r="AR1322" t="s">
        <v>1758</v>
      </c>
    </row>
    <row r="1323" spans="1:44" x14ac:dyDescent="0.25">
      <c r="A1323" t="s">
        <v>3141</v>
      </c>
      <c r="D1323" t="s">
        <v>903</v>
      </c>
      <c r="E1323" t="s">
        <v>855</v>
      </c>
      <c r="F1323" t="s">
        <v>631</v>
      </c>
      <c r="G1323" t="str">
        <f>CONCATENATE(Master_Packing_Database[[#This Row],[Exp '#]],Master_Packing_Database[[#This Row],[Batch '#]])</f>
        <v>2377thBy Air</v>
      </c>
      <c r="H1323" t="s">
        <v>5886</v>
      </c>
      <c r="I1323" t="s">
        <v>5887</v>
      </c>
      <c r="J1323" t="s">
        <v>366</v>
      </c>
      <c r="K1323" t="s">
        <v>1147</v>
      </c>
      <c r="L1323" t="s">
        <v>828</v>
      </c>
      <c r="M1323" t="s">
        <v>116</v>
      </c>
      <c r="N1323" t="s">
        <v>5888</v>
      </c>
      <c r="O1323" t="s">
        <v>102</v>
      </c>
      <c r="V1323" t="s">
        <v>4276</v>
      </c>
      <c r="X1323" t="s">
        <v>4175</v>
      </c>
      <c r="Y1323" t="s">
        <v>5889</v>
      </c>
      <c r="Z1323" t="s">
        <v>4176</v>
      </c>
      <c r="AB1323" t="s">
        <v>5890</v>
      </c>
      <c r="AE1323" t="s">
        <v>4175</v>
      </c>
      <c r="AG1323" t="s">
        <v>1303</v>
      </c>
      <c r="AI1323" t="s">
        <v>29</v>
      </c>
      <c r="AK1323" t="s">
        <v>5891</v>
      </c>
      <c r="AL1323" t="s">
        <v>3152</v>
      </c>
      <c r="AN1323">
        <v>0</v>
      </c>
      <c r="AO1323" t="s">
        <v>1834</v>
      </c>
      <c r="AP1323" t="s">
        <v>1834</v>
      </c>
      <c r="AQ1323">
        <v>0</v>
      </c>
      <c r="AR1323" t="s">
        <v>1758</v>
      </c>
    </row>
    <row r="1324" spans="1:44" x14ac:dyDescent="0.25">
      <c r="A1324" t="s">
        <v>3141</v>
      </c>
      <c r="D1324" t="s">
        <v>5892</v>
      </c>
      <c r="E1324" t="s">
        <v>177</v>
      </c>
      <c r="G1324" t="str">
        <f>CONCATENATE(Master_Packing_Database[[#This Row],[Exp '#]],Master_Packing_Database[[#This Row],[Batch '#]])</f>
        <v>2230th</v>
      </c>
      <c r="H1324" t="s">
        <v>179</v>
      </c>
      <c r="I1324" t="s">
        <v>180</v>
      </c>
      <c r="J1324" t="s">
        <v>117</v>
      </c>
      <c r="K1324" t="s">
        <v>5893</v>
      </c>
      <c r="L1324" t="s">
        <v>599</v>
      </c>
      <c r="M1324" t="s">
        <v>1072</v>
      </c>
      <c r="N1324" t="s">
        <v>5894</v>
      </c>
      <c r="O1324" t="s">
        <v>5895</v>
      </c>
      <c r="V1324" t="s">
        <v>4139</v>
      </c>
      <c r="X1324" t="s">
        <v>5896</v>
      </c>
      <c r="Y1324" t="s">
        <v>5897</v>
      </c>
      <c r="Z1324" t="s">
        <v>5898</v>
      </c>
      <c r="AB1324" t="s">
        <v>5899</v>
      </c>
      <c r="AE1324" t="s">
        <v>4211</v>
      </c>
      <c r="AG1324" t="s">
        <v>4105</v>
      </c>
      <c r="AI1324" t="s">
        <v>29</v>
      </c>
      <c r="AK1324" t="s">
        <v>5900</v>
      </c>
      <c r="AL1324" t="s">
        <v>3152</v>
      </c>
      <c r="AN1324">
        <v>0</v>
      </c>
      <c r="AO1324" t="s">
        <v>1834</v>
      </c>
      <c r="AP1324" t="s">
        <v>1834</v>
      </c>
      <c r="AQ1324">
        <v>0</v>
      </c>
      <c r="AR1324" t="s">
        <v>1758</v>
      </c>
    </row>
    <row r="1325" spans="1:44" x14ac:dyDescent="0.25">
      <c r="A1325" t="s">
        <v>3141</v>
      </c>
      <c r="D1325" t="s">
        <v>48</v>
      </c>
      <c r="E1325" t="s">
        <v>615</v>
      </c>
      <c r="F1325" t="s">
        <v>1755</v>
      </c>
      <c r="G1325" t="str">
        <f>CONCATENATE(Master_Packing_Database[[#This Row],[Exp '#]],Master_Packing_Database[[#This Row],[Batch '#]])</f>
        <v>2329th-</v>
      </c>
      <c r="H1325" t="s">
        <v>616</v>
      </c>
      <c r="I1325" t="s">
        <v>115</v>
      </c>
      <c r="J1325" t="s">
        <v>117</v>
      </c>
      <c r="K1325" t="s">
        <v>5901</v>
      </c>
      <c r="L1325" t="s">
        <v>3702</v>
      </c>
      <c r="M1325" t="s">
        <v>544</v>
      </c>
      <c r="N1325" t="s">
        <v>5902</v>
      </c>
      <c r="O1325" t="s">
        <v>5903</v>
      </c>
      <c r="V1325" t="s">
        <v>4199</v>
      </c>
      <c r="X1325" t="s">
        <v>4255</v>
      </c>
      <c r="Y1325" t="s">
        <v>522</v>
      </c>
      <c r="Z1325" t="s">
        <v>4256</v>
      </c>
      <c r="AB1325" t="s">
        <v>4257</v>
      </c>
      <c r="AE1325" t="s">
        <v>4255</v>
      </c>
      <c r="AG1325" t="s">
        <v>1303</v>
      </c>
      <c r="AI1325" t="s">
        <v>29</v>
      </c>
      <c r="AK1325" t="s">
        <v>5900</v>
      </c>
      <c r="AL1325" t="s">
        <v>3152</v>
      </c>
      <c r="AN1325">
        <v>0</v>
      </c>
      <c r="AO1325" t="s">
        <v>1834</v>
      </c>
      <c r="AP1325" t="s">
        <v>1834</v>
      </c>
      <c r="AQ1325">
        <v>0</v>
      </c>
      <c r="AR1325" t="s">
        <v>1758</v>
      </c>
    </row>
    <row r="1326" spans="1:44" x14ac:dyDescent="0.25">
      <c r="A1326" t="s">
        <v>3141</v>
      </c>
      <c r="D1326" t="s">
        <v>908</v>
      </c>
      <c r="E1326" t="s">
        <v>531</v>
      </c>
      <c r="F1326" t="s">
        <v>1755</v>
      </c>
      <c r="G1326" t="str">
        <f>CONCATENATE(Master_Packing_Database[[#This Row],[Exp '#]],Master_Packing_Database[[#This Row],[Batch '#]])</f>
        <v>2314th-</v>
      </c>
      <c r="H1326" t="s">
        <v>534</v>
      </c>
      <c r="I1326" t="s">
        <v>533</v>
      </c>
      <c r="J1326" t="s">
        <v>366</v>
      </c>
      <c r="K1326" t="s">
        <v>3372</v>
      </c>
      <c r="L1326" t="s">
        <v>522</v>
      </c>
      <c r="M1326" t="s">
        <v>3392</v>
      </c>
      <c r="N1326" t="s">
        <v>5904</v>
      </c>
      <c r="O1326" t="s">
        <v>5905</v>
      </c>
      <c r="V1326" t="s">
        <v>4201</v>
      </c>
      <c r="X1326" t="s">
        <v>4276</v>
      </c>
      <c r="Y1326" t="s">
        <v>596</v>
      </c>
      <c r="Z1326" t="s">
        <v>4277</v>
      </c>
      <c r="AB1326" t="s">
        <v>5896</v>
      </c>
      <c r="AE1326" t="s">
        <v>4276</v>
      </c>
      <c r="AG1326" t="s">
        <v>1303</v>
      </c>
      <c r="AI1326" t="s">
        <v>29</v>
      </c>
      <c r="AK1326" t="s">
        <v>4270</v>
      </c>
      <c r="AL1326" t="s">
        <v>3152</v>
      </c>
      <c r="AN1326">
        <v>0</v>
      </c>
      <c r="AO1326" t="s">
        <v>1834</v>
      </c>
      <c r="AP1326" t="s">
        <v>1834</v>
      </c>
      <c r="AQ1326">
        <v>0</v>
      </c>
      <c r="AR1326" t="s">
        <v>1758</v>
      </c>
    </row>
    <row r="1327" spans="1:44" x14ac:dyDescent="0.25">
      <c r="A1327" t="s">
        <v>3141</v>
      </c>
      <c r="D1327" t="s">
        <v>908</v>
      </c>
      <c r="E1327" t="s">
        <v>751</v>
      </c>
      <c r="F1327" t="s">
        <v>5906</v>
      </c>
      <c r="G1327" t="str">
        <f>CONCATENATE(Master_Packing_Database[[#This Row],[Exp '#]],Master_Packing_Database[[#This Row],[Batch '#]])</f>
        <v>2357thShip with Export # 2314</v>
      </c>
      <c r="H1327" t="s">
        <v>753</v>
      </c>
      <c r="I1327" t="s">
        <v>752</v>
      </c>
      <c r="J1327" t="s">
        <v>117</v>
      </c>
      <c r="K1327" t="s">
        <v>5777</v>
      </c>
      <c r="L1327" t="s">
        <v>116</v>
      </c>
      <c r="M1327" t="s">
        <v>116</v>
      </c>
      <c r="N1327" t="s">
        <v>5907</v>
      </c>
      <c r="O1327" t="s">
        <v>754</v>
      </c>
      <c r="V1327" t="s">
        <v>2633</v>
      </c>
      <c r="X1327" t="s">
        <v>4255</v>
      </c>
      <c r="Y1327" t="s">
        <v>376</v>
      </c>
      <c r="Z1327" t="s">
        <v>4256</v>
      </c>
      <c r="AB1327" t="s">
        <v>4257</v>
      </c>
      <c r="AE1327" t="s">
        <v>4255</v>
      </c>
      <c r="AG1327" t="s">
        <v>1303</v>
      </c>
      <c r="AI1327" t="s">
        <v>29</v>
      </c>
      <c r="AK1327" t="s">
        <v>4270</v>
      </c>
      <c r="AL1327" t="s">
        <v>3152</v>
      </c>
      <c r="AN1327">
        <v>0</v>
      </c>
      <c r="AO1327" t="s">
        <v>1834</v>
      </c>
      <c r="AP1327" t="s">
        <v>1834</v>
      </c>
      <c r="AQ1327">
        <v>0</v>
      </c>
      <c r="AR1327" t="s">
        <v>1758</v>
      </c>
    </row>
    <row r="1328" spans="1:44" x14ac:dyDescent="0.25">
      <c r="A1328" t="s">
        <v>3141</v>
      </c>
      <c r="D1328" t="s">
        <v>727</v>
      </c>
      <c r="E1328" t="s">
        <v>726</v>
      </c>
      <c r="F1328" t="s">
        <v>761</v>
      </c>
      <c r="G1328" t="str">
        <f>CONCATENATE(Master_Packing_Database[[#This Row],[Exp '#]],Master_Packing_Database[[#This Row],[Batch '#]])</f>
        <v>2353rd1st</v>
      </c>
      <c r="H1328" t="s">
        <v>5908</v>
      </c>
      <c r="I1328" t="s">
        <v>1053</v>
      </c>
      <c r="J1328" t="s">
        <v>117</v>
      </c>
      <c r="K1328" t="s">
        <v>1042</v>
      </c>
      <c r="L1328" t="s">
        <v>522</v>
      </c>
      <c r="M1328" t="s">
        <v>3263</v>
      </c>
      <c r="N1328" t="s">
        <v>5909</v>
      </c>
      <c r="O1328" t="s">
        <v>5910</v>
      </c>
      <c r="V1328" t="s">
        <v>5911</v>
      </c>
      <c r="X1328" t="s">
        <v>5912</v>
      </c>
      <c r="Y1328" t="s">
        <v>599</v>
      </c>
      <c r="Z1328" t="s">
        <v>501</v>
      </c>
      <c r="AB1328" t="s">
        <v>4283</v>
      </c>
      <c r="AE1328" t="s">
        <v>4278</v>
      </c>
      <c r="AG1328" t="s">
        <v>544</v>
      </c>
      <c r="AI1328" t="s">
        <v>29</v>
      </c>
      <c r="AK1328" t="s">
        <v>5913</v>
      </c>
      <c r="AL1328" t="s">
        <v>3152</v>
      </c>
      <c r="AN1328">
        <v>0</v>
      </c>
      <c r="AO1328" t="s">
        <v>1834</v>
      </c>
      <c r="AP1328" t="s">
        <v>1834</v>
      </c>
      <c r="AQ1328">
        <v>0</v>
      </c>
      <c r="AR1328" t="s">
        <v>1758</v>
      </c>
    </row>
    <row r="1329" spans="1:44" x14ac:dyDescent="0.25">
      <c r="A1329" t="s">
        <v>3141</v>
      </c>
      <c r="D1329" t="s">
        <v>35</v>
      </c>
      <c r="E1329" t="s">
        <v>609</v>
      </c>
      <c r="F1329" t="s">
        <v>1755</v>
      </c>
      <c r="G1329" t="str">
        <f>CONCATENATE(Master_Packing_Database[[#This Row],[Exp '#]],Master_Packing_Database[[#This Row],[Batch '#]])</f>
        <v>2328th-</v>
      </c>
      <c r="H1329" t="s">
        <v>5914</v>
      </c>
      <c r="I1329" t="s">
        <v>5915</v>
      </c>
      <c r="J1329" t="s">
        <v>366</v>
      </c>
      <c r="K1329" t="s">
        <v>3426</v>
      </c>
      <c r="L1329" t="s">
        <v>5916</v>
      </c>
      <c r="M1329" t="s">
        <v>975</v>
      </c>
      <c r="N1329" t="s">
        <v>610</v>
      </c>
      <c r="O1329" t="s">
        <v>5917</v>
      </c>
      <c r="V1329" t="s">
        <v>4067</v>
      </c>
      <c r="X1329" t="s">
        <v>4216</v>
      </c>
      <c r="Y1329" t="s">
        <v>5918</v>
      </c>
      <c r="Z1329" t="s">
        <v>4217</v>
      </c>
      <c r="AB1329" t="s">
        <v>4218</v>
      </c>
      <c r="AE1329" t="s">
        <v>4216</v>
      </c>
      <c r="AG1329" t="s">
        <v>1303</v>
      </c>
      <c r="AI1329" t="s">
        <v>29</v>
      </c>
      <c r="AK1329" t="s">
        <v>5913</v>
      </c>
      <c r="AL1329" t="s">
        <v>3152</v>
      </c>
      <c r="AN1329">
        <v>0</v>
      </c>
      <c r="AO1329" t="s">
        <v>1834</v>
      </c>
      <c r="AP1329" t="s">
        <v>1834</v>
      </c>
      <c r="AQ1329">
        <v>0</v>
      </c>
      <c r="AR1329" t="s">
        <v>1758</v>
      </c>
    </row>
    <row r="1330" spans="1:44" x14ac:dyDescent="0.25">
      <c r="A1330" t="s">
        <v>3141</v>
      </c>
      <c r="D1330" t="s">
        <v>560</v>
      </c>
      <c r="E1330" t="s">
        <v>564</v>
      </c>
      <c r="F1330" t="s">
        <v>1755</v>
      </c>
      <c r="G1330" t="str">
        <f>CONCATENATE(Master_Packing_Database[[#This Row],[Exp '#]],Master_Packing_Database[[#This Row],[Batch '#]])</f>
        <v>2320th-</v>
      </c>
      <c r="H1330" t="s">
        <v>5919</v>
      </c>
      <c r="I1330" t="s">
        <v>5920</v>
      </c>
      <c r="J1330" t="s">
        <v>117</v>
      </c>
      <c r="K1330" t="s">
        <v>1059</v>
      </c>
      <c r="L1330" t="s">
        <v>544</v>
      </c>
      <c r="M1330" t="s">
        <v>970</v>
      </c>
      <c r="N1330" t="s">
        <v>5921</v>
      </c>
      <c r="O1330" t="s">
        <v>5922</v>
      </c>
      <c r="V1330" t="s">
        <v>5863</v>
      </c>
      <c r="X1330" t="s">
        <v>5923</v>
      </c>
      <c r="Y1330" t="s">
        <v>3626</v>
      </c>
      <c r="Z1330" t="s">
        <v>5918</v>
      </c>
      <c r="AB1330" t="s">
        <v>4252</v>
      </c>
      <c r="AE1330" t="s">
        <v>5923</v>
      </c>
      <c r="AG1330" t="s">
        <v>1303</v>
      </c>
      <c r="AI1330" t="s">
        <v>29</v>
      </c>
      <c r="AK1330" t="s">
        <v>5924</v>
      </c>
      <c r="AL1330" t="s">
        <v>3152</v>
      </c>
      <c r="AN1330">
        <v>0</v>
      </c>
      <c r="AO1330" t="s">
        <v>1834</v>
      </c>
      <c r="AP1330" t="s">
        <v>1834</v>
      </c>
      <c r="AQ1330">
        <v>0</v>
      </c>
      <c r="AR1330" t="s">
        <v>1758</v>
      </c>
    </row>
    <row r="1331" spans="1:44" x14ac:dyDescent="0.25">
      <c r="A1331" t="s">
        <v>3141</v>
      </c>
      <c r="D1331" t="s">
        <v>762</v>
      </c>
      <c r="E1331" t="s">
        <v>760</v>
      </c>
      <c r="F1331" t="s">
        <v>5925</v>
      </c>
      <c r="G1331" t="str">
        <f>CONCATENATE(Master_Packing_Database[[#This Row],[Exp '#]],Master_Packing_Database[[#This Row],[Batch '#]])</f>
        <v>2359th1st By Air</v>
      </c>
      <c r="H1331" t="s">
        <v>5926</v>
      </c>
      <c r="I1331" t="s">
        <v>497</v>
      </c>
      <c r="J1331" t="s">
        <v>366</v>
      </c>
      <c r="K1331" t="s">
        <v>1147</v>
      </c>
      <c r="L1331" t="s">
        <v>116</v>
      </c>
      <c r="M1331" t="s">
        <v>116</v>
      </c>
      <c r="N1331" t="s">
        <v>1112</v>
      </c>
      <c r="O1331" t="s">
        <v>3619</v>
      </c>
      <c r="V1331" t="s">
        <v>4204</v>
      </c>
      <c r="X1331" t="s">
        <v>4267</v>
      </c>
      <c r="Y1331" t="s">
        <v>3695</v>
      </c>
      <c r="Z1331" t="s">
        <v>4268</v>
      </c>
      <c r="AB1331" t="s">
        <v>4269</v>
      </c>
      <c r="AE1331" t="s">
        <v>4267</v>
      </c>
      <c r="AG1331" t="s">
        <v>1303</v>
      </c>
      <c r="AI1331" t="s">
        <v>29</v>
      </c>
      <c r="AK1331" t="s">
        <v>5924</v>
      </c>
      <c r="AL1331" t="s">
        <v>3152</v>
      </c>
      <c r="AN1331">
        <v>0</v>
      </c>
      <c r="AO1331" t="s">
        <v>1834</v>
      </c>
      <c r="AP1331" t="s">
        <v>1834</v>
      </c>
      <c r="AQ1331">
        <v>0</v>
      </c>
      <c r="AR1331" t="s">
        <v>1758</v>
      </c>
    </row>
    <row r="1332" spans="1:44" x14ac:dyDescent="0.25">
      <c r="A1332" t="s">
        <v>3141</v>
      </c>
      <c r="D1332" t="s">
        <v>35</v>
      </c>
      <c r="E1332" t="s">
        <v>212</v>
      </c>
      <c r="F1332" t="s">
        <v>1755</v>
      </c>
      <c r="G1332" t="str">
        <f>CONCATENATE(Master_Packing_Database[[#This Row],[Exp '#]],Master_Packing_Database[[#This Row],[Batch '#]])</f>
        <v>2243rd-</v>
      </c>
      <c r="H1332" t="s">
        <v>5927</v>
      </c>
      <c r="I1332" t="s">
        <v>846</v>
      </c>
      <c r="J1332" t="s">
        <v>4792</v>
      </c>
      <c r="K1332" t="s">
        <v>5928</v>
      </c>
      <c r="L1332" t="s">
        <v>5672</v>
      </c>
      <c r="M1332" t="s">
        <v>975</v>
      </c>
      <c r="N1332" t="s">
        <v>5929</v>
      </c>
      <c r="O1332" t="s">
        <v>5930</v>
      </c>
      <c r="V1332" t="s">
        <v>4087</v>
      </c>
      <c r="X1332" t="s">
        <v>4104</v>
      </c>
      <c r="Y1332" t="s">
        <v>2564</v>
      </c>
      <c r="Z1332" t="s">
        <v>5744</v>
      </c>
      <c r="AB1332" t="s">
        <v>4106</v>
      </c>
      <c r="AE1332" t="s">
        <v>4104</v>
      </c>
      <c r="AG1332" t="s">
        <v>1303</v>
      </c>
      <c r="AI1332" t="s">
        <v>29</v>
      </c>
      <c r="AK1332" t="s">
        <v>4281</v>
      </c>
      <c r="AL1332" t="s">
        <v>3152</v>
      </c>
      <c r="AN1332">
        <v>0</v>
      </c>
      <c r="AO1332" t="s">
        <v>1834</v>
      </c>
      <c r="AP1332" t="s">
        <v>1834</v>
      </c>
      <c r="AQ1332">
        <v>0</v>
      </c>
      <c r="AR1332" t="s">
        <v>1758</v>
      </c>
    </row>
    <row r="1333" spans="1:44" x14ac:dyDescent="0.25">
      <c r="A1333" t="s">
        <v>3141</v>
      </c>
      <c r="D1333" t="s">
        <v>1158</v>
      </c>
      <c r="E1333" t="s">
        <v>1402</v>
      </c>
      <c r="F1333" t="s">
        <v>1755</v>
      </c>
      <c r="G1333" t="str">
        <f>CONCATENATE(Master_Packing_Database[[#This Row],[Exp '#]],Master_Packing_Database[[#This Row],[Batch '#]])</f>
        <v>MO-0141-</v>
      </c>
      <c r="H1333" t="s">
        <v>5931</v>
      </c>
      <c r="I1333" t="s">
        <v>5932</v>
      </c>
      <c r="J1333" t="s">
        <v>366</v>
      </c>
      <c r="K1333" t="s">
        <v>1147</v>
      </c>
      <c r="L1333" t="s">
        <v>1030</v>
      </c>
      <c r="M1333" t="s">
        <v>116</v>
      </c>
      <c r="N1333" t="s">
        <v>661</v>
      </c>
      <c r="O1333" t="s">
        <v>5933</v>
      </c>
      <c r="V1333" t="s">
        <v>4155</v>
      </c>
      <c r="X1333" t="s">
        <v>4224</v>
      </c>
      <c r="Y1333" t="s">
        <v>596</v>
      </c>
      <c r="Z1333" t="s">
        <v>5934</v>
      </c>
      <c r="AB1333" t="s">
        <v>4106</v>
      </c>
      <c r="AE1333" t="s">
        <v>4224</v>
      </c>
      <c r="AG1333" t="s">
        <v>1303</v>
      </c>
      <c r="AI1333" t="s">
        <v>29</v>
      </c>
      <c r="AK1333" t="s">
        <v>4295</v>
      </c>
      <c r="AL1333" t="s">
        <v>3152</v>
      </c>
      <c r="AN1333">
        <v>0</v>
      </c>
      <c r="AO1333" t="s">
        <v>1834</v>
      </c>
      <c r="AP1333" t="s">
        <v>1834</v>
      </c>
      <c r="AQ1333">
        <v>0</v>
      </c>
      <c r="AR1333" t="s">
        <v>1758</v>
      </c>
    </row>
    <row r="1334" spans="1:44" x14ac:dyDescent="0.25">
      <c r="A1334" t="s">
        <v>3141</v>
      </c>
      <c r="D1334" t="s">
        <v>731</v>
      </c>
      <c r="E1334" t="s">
        <v>730</v>
      </c>
      <c r="F1334" t="s">
        <v>1755</v>
      </c>
      <c r="G1334" t="str">
        <f>CONCATENATE(Master_Packing_Database[[#This Row],[Exp '#]],Master_Packing_Database[[#This Row],[Batch '#]])</f>
        <v>2354th-</v>
      </c>
      <c r="H1334" t="s">
        <v>5935</v>
      </c>
      <c r="I1334" t="s">
        <v>1053</v>
      </c>
      <c r="J1334" t="s">
        <v>4159</v>
      </c>
      <c r="K1334" t="s">
        <v>3361</v>
      </c>
      <c r="L1334" t="s">
        <v>3295</v>
      </c>
      <c r="M1334" t="s">
        <v>264</v>
      </c>
      <c r="N1334" t="s">
        <v>5936</v>
      </c>
      <c r="O1334" t="s">
        <v>5937</v>
      </c>
      <c r="V1334" t="s">
        <v>4293</v>
      </c>
      <c r="X1334" t="s">
        <v>4310</v>
      </c>
      <c r="Y1334" t="s">
        <v>912</v>
      </c>
      <c r="Z1334" t="s">
        <v>5938</v>
      </c>
      <c r="AB1334" t="s">
        <v>4287</v>
      </c>
      <c r="AE1334" t="s">
        <v>5939</v>
      </c>
      <c r="AG1334" t="s">
        <v>2654</v>
      </c>
      <c r="AI1334" t="s">
        <v>29</v>
      </c>
      <c r="AK1334" t="s">
        <v>4295</v>
      </c>
      <c r="AL1334" t="s">
        <v>3152</v>
      </c>
      <c r="AN1334">
        <v>0</v>
      </c>
      <c r="AO1334" t="s">
        <v>1834</v>
      </c>
      <c r="AP1334" t="s">
        <v>1834</v>
      </c>
      <c r="AQ1334">
        <v>0</v>
      </c>
      <c r="AR1334" t="s">
        <v>1758</v>
      </c>
    </row>
    <row r="1335" spans="1:44" x14ac:dyDescent="0.25">
      <c r="A1335" t="s">
        <v>3141</v>
      </c>
      <c r="D1335" t="s">
        <v>35</v>
      </c>
      <c r="E1335" t="s">
        <v>686</v>
      </c>
      <c r="F1335" t="s">
        <v>1755</v>
      </c>
      <c r="G1335" t="str">
        <f>CONCATENATE(Master_Packing_Database[[#This Row],[Exp '#]],Master_Packing_Database[[#This Row],[Batch '#]])</f>
        <v>2341st-</v>
      </c>
      <c r="H1335" t="s">
        <v>687</v>
      </c>
      <c r="I1335" t="s">
        <v>676</v>
      </c>
      <c r="J1335" t="s">
        <v>117</v>
      </c>
      <c r="K1335" t="s">
        <v>5940</v>
      </c>
      <c r="L1335" t="s">
        <v>599</v>
      </c>
      <c r="M1335" t="s">
        <v>116</v>
      </c>
      <c r="N1335" t="s">
        <v>688</v>
      </c>
      <c r="O1335" t="s">
        <v>381</v>
      </c>
      <c r="V1335" t="s">
        <v>5941</v>
      </c>
      <c r="X1335" t="s">
        <v>4282</v>
      </c>
      <c r="Y1335" t="s">
        <v>3412</v>
      </c>
      <c r="Z1335" t="s">
        <v>741</v>
      </c>
      <c r="AB1335" t="s">
        <v>4257</v>
      </c>
      <c r="AE1335" t="s">
        <v>4287</v>
      </c>
      <c r="AG1335" t="s">
        <v>835</v>
      </c>
      <c r="AI1335" t="s">
        <v>29</v>
      </c>
      <c r="AK1335" t="s">
        <v>4295</v>
      </c>
      <c r="AL1335" t="s">
        <v>3152</v>
      </c>
      <c r="AN1335">
        <v>0</v>
      </c>
      <c r="AO1335" t="s">
        <v>1834</v>
      </c>
      <c r="AP1335" t="s">
        <v>1834</v>
      </c>
      <c r="AQ1335">
        <v>0</v>
      </c>
      <c r="AR1335" t="s">
        <v>1758</v>
      </c>
    </row>
    <row r="1336" spans="1:44" x14ac:dyDescent="0.25">
      <c r="A1336" t="s">
        <v>3141</v>
      </c>
      <c r="D1336" t="s">
        <v>1142</v>
      </c>
      <c r="E1336" t="s">
        <v>1411</v>
      </c>
      <c r="F1336" t="s">
        <v>1755</v>
      </c>
      <c r="G1336" t="str">
        <f>CONCATENATE(Master_Packing_Database[[#This Row],[Exp '#]],Master_Packing_Database[[#This Row],[Batch '#]])</f>
        <v>MO-0143-</v>
      </c>
      <c r="H1336" t="s">
        <v>5942</v>
      </c>
      <c r="I1336" t="s">
        <v>5943</v>
      </c>
      <c r="J1336" t="s">
        <v>366</v>
      </c>
      <c r="K1336" t="s">
        <v>1147</v>
      </c>
      <c r="L1336" t="s">
        <v>5944</v>
      </c>
      <c r="M1336" t="s">
        <v>116</v>
      </c>
      <c r="N1336" t="s">
        <v>1370</v>
      </c>
      <c r="O1336" t="s">
        <v>3592</v>
      </c>
      <c r="V1336" t="s">
        <v>4155</v>
      </c>
      <c r="X1336" t="s">
        <v>4308</v>
      </c>
      <c r="Y1336" t="s">
        <v>2635</v>
      </c>
      <c r="Z1336" t="s">
        <v>4309</v>
      </c>
      <c r="AB1336" t="s">
        <v>4269</v>
      </c>
      <c r="AE1336" t="s">
        <v>4308</v>
      </c>
      <c r="AG1336" t="s">
        <v>1303</v>
      </c>
      <c r="AI1336" t="s">
        <v>5945</v>
      </c>
      <c r="AK1336" t="s">
        <v>4303</v>
      </c>
      <c r="AL1336" t="s">
        <v>3152</v>
      </c>
      <c r="AN1336">
        <v>0</v>
      </c>
      <c r="AO1336" t="s">
        <v>1834</v>
      </c>
      <c r="AP1336" t="s">
        <v>1834</v>
      </c>
      <c r="AQ1336">
        <v>0</v>
      </c>
      <c r="AR1336" t="s">
        <v>1758</v>
      </c>
    </row>
    <row r="1337" spans="1:44" x14ac:dyDescent="0.25">
      <c r="A1337" t="s">
        <v>3141</v>
      </c>
      <c r="D1337" t="s">
        <v>1213</v>
      </c>
      <c r="E1337" t="s">
        <v>1239</v>
      </c>
      <c r="F1337" t="s">
        <v>761</v>
      </c>
      <c r="G1337" t="str">
        <f>CONCATENATE(Master_Packing_Database[[#This Row],[Exp '#]],Master_Packing_Database[[#This Row],[Batch '#]])</f>
        <v>25-0411st</v>
      </c>
      <c r="H1337" t="s">
        <v>5946</v>
      </c>
      <c r="I1337" t="s">
        <v>1241</v>
      </c>
      <c r="J1337" t="s">
        <v>117</v>
      </c>
      <c r="K1337" t="s">
        <v>1147</v>
      </c>
      <c r="L1337" t="s">
        <v>1860</v>
      </c>
      <c r="M1337" t="s">
        <v>835</v>
      </c>
      <c r="N1337" t="s">
        <v>5947</v>
      </c>
      <c r="O1337" t="s">
        <v>5907</v>
      </c>
      <c r="V1337" t="s">
        <v>4155</v>
      </c>
      <c r="X1337" t="s">
        <v>5939</v>
      </c>
      <c r="Y1337" t="s">
        <v>5918</v>
      </c>
      <c r="Z1337" t="s">
        <v>5938</v>
      </c>
      <c r="AB1337" t="s">
        <v>4257</v>
      </c>
      <c r="AE1337" t="s">
        <v>5939</v>
      </c>
      <c r="AG1337" t="s">
        <v>1303</v>
      </c>
      <c r="AI1337" t="s">
        <v>29</v>
      </c>
      <c r="AK1337" t="s">
        <v>5948</v>
      </c>
      <c r="AL1337" t="s">
        <v>3152</v>
      </c>
      <c r="AN1337">
        <v>0</v>
      </c>
      <c r="AO1337" t="s">
        <v>1834</v>
      </c>
      <c r="AP1337" t="s">
        <v>1834</v>
      </c>
      <c r="AQ1337">
        <v>0</v>
      </c>
      <c r="AR1337" t="s">
        <v>1758</v>
      </c>
    </row>
    <row r="1338" spans="1:44" x14ac:dyDescent="0.25">
      <c r="A1338" t="s">
        <v>3141</v>
      </c>
      <c r="D1338" t="s">
        <v>1213</v>
      </c>
      <c r="E1338" t="s">
        <v>1244</v>
      </c>
      <c r="F1338" t="s">
        <v>1755</v>
      </c>
      <c r="G1338" t="str">
        <f>CONCATENATE(Master_Packing_Database[[#This Row],[Exp '#]],Master_Packing_Database[[#This Row],[Batch '#]])</f>
        <v>25-042-</v>
      </c>
      <c r="H1338" t="s">
        <v>1245</v>
      </c>
      <c r="I1338" t="s">
        <v>1215</v>
      </c>
      <c r="J1338" t="s">
        <v>117</v>
      </c>
      <c r="K1338" t="s">
        <v>1147</v>
      </c>
      <c r="L1338" t="s">
        <v>1958</v>
      </c>
      <c r="M1338" t="s">
        <v>599</v>
      </c>
      <c r="N1338" t="s">
        <v>5949</v>
      </c>
      <c r="O1338" t="s">
        <v>5950</v>
      </c>
      <c r="V1338" t="s">
        <v>4155</v>
      </c>
      <c r="X1338" t="s">
        <v>5939</v>
      </c>
      <c r="Y1338" t="s">
        <v>5918</v>
      </c>
      <c r="Z1338" t="s">
        <v>5938</v>
      </c>
      <c r="AB1338" t="s">
        <v>4257</v>
      </c>
      <c r="AE1338" t="s">
        <v>5939</v>
      </c>
      <c r="AG1338" t="s">
        <v>1303</v>
      </c>
      <c r="AI1338" t="s">
        <v>29</v>
      </c>
      <c r="AK1338" t="s">
        <v>5948</v>
      </c>
      <c r="AL1338" t="s">
        <v>3152</v>
      </c>
      <c r="AN1338">
        <v>0</v>
      </c>
      <c r="AO1338" t="s">
        <v>1834</v>
      </c>
      <c r="AP1338" t="s">
        <v>1834</v>
      </c>
      <c r="AQ1338">
        <v>0</v>
      </c>
      <c r="AR1338" t="s">
        <v>1758</v>
      </c>
    </row>
    <row r="1339" spans="1:44" x14ac:dyDescent="0.25">
      <c r="A1339" t="s">
        <v>3141</v>
      </c>
      <c r="D1339" t="s">
        <v>423</v>
      </c>
      <c r="E1339" t="s">
        <v>421</v>
      </c>
      <c r="F1339" t="s">
        <v>1755</v>
      </c>
      <c r="G1339" t="str">
        <f>CONCATENATE(Master_Packing_Database[[#This Row],[Exp '#]],Master_Packing_Database[[#This Row],[Batch '#]])</f>
        <v>2291st-</v>
      </c>
      <c r="H1339" t="s">
        <v>424</v>
      </c>
      <c r="I1339" t="s">
        <v>425</v>
      </c>
      <c r="J1339" t="s">
        <v>117</v>
      </c>
      <c r="K1339" t="s">
        <v>1059</v>
      </c>
      <c r="L1339" t="s">
        <v>521</v>
      </c>
      <c r="M1339" t="s">
        <v>151</v>
      </c>
      <c r="N1339" t="s">
        <v>426</v>
      </c>
      <c r="O1339" t="s">
        <v>427</v>
      </c>
      <c r="V1339" t="s">
        <v>4199</v>
      </c>
      <c r="X1339" t="s">
        <v>4282</v>
      </c>
      <c r="Y1339" t="s">
        <v>226</v>
      </c>
      <c r="Z1339" t="s">
        <v>990</v>
      </c>
      <c r="AB1339" t="s">
        <v>4278</v>
      </c>
      <c r="AE1339" t="s">
        <v>4282</v>
      </c>
      <c r="AG1339" t="s">
        <v>1303</v>
      </c>
      <c r="AI1339" t="s">
        <v>29</v>
      </c>
      <c r="AK1339" t="s">
        <v>5948</v>
      </c>
      <c r="AL1339" t="s">
        <v>3152</v>
      </c>
      <c r="AN1339">
        <v>0</v>
      </c>
      <c r="AO1339" t="s">
        <v>1834</v>
      </c>
      <c r="AP1339" t="s">
        <v>1834</v>
      </c>
      <c r="AQ1339">
        <v>0</v>
      </c>
      <c r="AR1339" t="s">
        <v>1758</v>
      </c>
    </row>
    <row r="1340" spans="1:44" x14ac:dyDescent="0.25">
      <c r="A1340" t="s">
        <v>3141</v>
      </c>
      <c r="D1340" t="s">
        <v>5308</v>
      </c>
      <c r="E1340" t="s">
        <v>874</v>
      </c>
      <c r="F1340" t="s">
        <v>1755</v>
      </c>
      <c r="G1340" t="str">
        <f>CONCATENATE(Master_Packing_Database[[#This Row],[Exp '#]],Master_Packing_Database[[#This Row],[Batch '#]])</f>
        <v>2382nd-</v>
      </c>
      <c r="H1340" t="s">
        <v>876</v>
      </c>
      <c r="I1340" t="s">
        <v>877</v>
      </c>
      <c r="J1340" t="s">
        <v>366</v>
      </c>
      <c r="K1340" t="s">
        <v>1042</v>
      </c>
      <c r="L1340" t="s">
        <v>599</v>
      </c>
      <c r="M1340" t="s">
        <v>116</v>
      </c>
      <c r="N1340" t="s">
        <v>878</v>
      </c>
      <c r="O1340" t="s">
        <v>879</v>
      </c>
      <c r="V1340" t="s">
        <v>5868</v>
      </c>
      <c r="X1340" t="s">
        <v>4282</v>
      </c>
      <c r="Y1340" t="s">
        <v>4315</v>
      </c>
      <c r="Z1340" t="s">
        <v>990</v>
      </c>
      <c r="AB1340" t="s">
        <v>4286</v>
      </c>
      <c r="AE1340" t="s">
        <v>4282</v>
      </c>
      <c r="AG1340" t="s">
        <v>1303</v>
      </c>
      <c r="AI1340" t="s">
        <v>29</v>
      </c>
      <c r="AK1340" t="s">
        <v>5948</v>
      </c>
      <c r="AL1340" t="s">
        <v>3152</v>
      </c>
      <c r="AN1340">
        <v>0</v>
      </c>
      <c r="AO1340" t="s">
        <v>1834</v>
      </c>
      <c r="AP1340" t="s">
        <v>1834</v>
      </c>
      <c r="AQ1340">
        <v>0</v>
      </c>
      <c r="AR1340" t="s">
        <v>1758</v>
      </c>
    </row>
    <row r="1341" spans="1:44" x14ac:dyDescent="0.25">
      <c r="A1341" t="s">
        <v>3141</v>
      </c>
      <c r="D1341" t="s">
        <v>1090</v>
      </c>
      <c r="E1341" t="s">
        <v>984</v>
      </c>
      <c r="F1341" t="s">
        <v>1755</v>
      </c>
      <c r="G1341" t="str">
        <f>CONCATENATE(Master_Packing_Database[[#This Row],[Exp '#]],Master_Packing_Database[[#This Row],[Batch '#]])</f>
        <v>2406th-</v>
      </c>
      <c r="H1341" t="s">
        <v>985</v>
      </c>
      <c r="I1341" t="s">
        <v>319</v>
      </c>
      <c r="J1341" t="s">
        <v>366</v>
      </c>
      <c r="K1341" t="s">
        <v>32</v>
      </c>
      <c r="L1341" t="s">
        <v>4844</v>
      </c>
      <c r="M1341" t="s">
        <v>116</v>
      </c>
      <c r="N1341" t="s">
        <v>986</v>
      </c>
      <c r="O1341" t="s">
        <v>4323</v>
      </c>
      <c r="V1341" t="s">
        <v>32</v>
      </c>
      <c r="X1341" t="s">
        <v>5951</v>
      </c>
      <c r="Z1341" t="s">
        <v>5952</v>
      </c>
      <c r="AB1341" t="s">
        <v>5953</v>
      </c>
      <c r="AE1341" t="s">
        <v>5951</v>
      </c>
      <c r="AG1341" t="s">
        <v>1303</v>
      </c>
      <c r="AI1341" t="s">
        <v>29</v>
      </c>
      <c r="AK1341" t="s">
        <v>5948</v>
      </c>
      <c r="AL1341" t="s">
        <v>3152</v>
      </c>
      <c r="AN1341">
        <v>0</v>
      </c>
      <c r="AO1341" t="s">
        <v>1834</v>
      </c>
      <c r="AP1341" t="s">
        <v>1834</v>
      </c>
      <c r="AQ1341">
        <v>0</v>
      </c>
      <c r="AR1341" t="s">
        <v>1758</v>
      </c>
    </row>
    <row r="1342" spans="1:44" x14ac:dyDescent="0.25">
      <c r="A1342" t="s">
        <v>3141</v>
      </c>
      <c r="D1342" t="s">
        <v>1090</v>
      </c>
      <c r="E1342" t="s">
        <v>992</v>
      </c>
      <c r="F1342" t="s">
        <v>1755</v>
      </c>
      <c r="G1342" t="str">
        <f>CONCATENATE(Master_Packing_Database[[#This Row],[Exp '#]],Master_Packing_Database[[#This Row],[Batch '#]])</f>
        <v>2408th-</v>
      </c>
      <c r="H1342" t="s">
        <v>993</v>
      </c>
      <c r="I1342" t="s">
        <v>994</v>
      </c>
      <c r="J1342" t="s">
        <v>366</v>
      </c>
      <c r="K1342" t="s">
        <v>32</v>
      </c>
      <c r="L1342" t="s">
        <v>1338</v>
      </c>
      <c r="M1342" t="s">
        <v>116</v>
      </c>
      <c r="N1342" t="s">
        <v>995</v>
      </c>
      <c r="O1342" t="s">
        <v>555</v>
      </c>
      <c r="V1342" t="s">
        <v>32</v>
      </c>
      <c r="X1342" t="s">
        <v>5951</v>
      </c>
      <c r="Z1342" t="s">
        <v>5952</v>
      </c>
      <c r="AB1342" t="s">
        <v>5953</v>
      </c>
      <c r="AE1342" t="s">
        <v>5951</v>
      </c>
      <c r="AG1342" t="s">
        <v>1303</v>
      </c>
      <c r="AI1342" t="s">
        <v>29</v>
      </c>
      <c r="AK1342" t="s">
        <v>5948</v>
      </c>
      <c r="AL1342" t="s">
        <v>3152</v>
      </c>
      <c r="AN1342">
        <v>0</v>
      </c>
      <c r="AO1342" t="s">
        <v>1834</v>
      </c>
      <c r="AP1342" t="s">
        <v>1834</v>
      </c>
      <c r="AQ1342">
        <v>0</v>
      </c>
      <c r="AR1342" t="s">
        <v>1758</v>
      </c>
    </row>
    <row r="1343" spans="1:44" x14ac:dyDescent="0.25">
      <c r="A1343" t="s">
        <v>3141</v>
      </c>
      <c r="D1343" t="s">
        <v>1090</v>
      </c>
      <c r="E1343" t="s">
        <v>999</v>
      </c>
      <c r="F1343" t="s">
        <v>1755</v>
      </c>
      <c r="G1343" t="str">
        <f>CONCATENATE(Master_Packing_Database[[#This Row],[Exp '#]],Master_Packing_Database[[#This Row],[Batch '#]])</f>
        <v>2411st-</v>
      </c>
      <c r="H1343" t="s">
        <v>1000</v>
      </c>
      <c r="I1343" t="s">
        <v>1001</v>
      </c>
      <c r="J1343" t="s">
        <v>366</v>
      </c>
      <c r="K1343" t="s">
        <v>32</v>
      </c>
      <c r="L1343" t="s">
        <v>116</v>
      </c>
      <c r="M1343" t="s">
        <v>116</v>
      </c>
      <c r="N1343" t="s">
        <v>1002</v>
      </c>
      <c r="O1343" t="s">
        <v>403</v>
      </c>
      <c r="V1343" t="s">
        <v>32</v>
      </c>
      <c r="X1343" t="s">
        <v>5951</v>
      </c>
      <c r="Z1343" t="s">
        <v>5952</v>
      </c>
      <c r="AB1343" t="s">
        <v>5953</v>
      </c>
      <c r="AE1343" t="s">
        <v>5951</v>
      </c>
      <c r="AG1343" t="s">
        <v>1303</v>
      </c>
      <c r="AI1343" t="s">
        <v>29</v>
      </c>
      <c r="AK1343" t="s">
        <v>5948</v>
      </c>
      <c r="AL1343" t="s">
        <v>3152</v>
      </c>
      <c r="AN1343">
        <v>0</v>
      </c>
      <c r="AO1343" t="s">
        <v>1834</v>
      </c>
      <c r="AP1343" t="s">
        <v>1834</v>
      </c>
      <c r="AQ1343">
        <v>0</v>
      </c>
      <c r="AR1343" t="s">
        <v>1758</v>
      </c>
    </row>
    <row r="1344" spans="1:44" x14ac:dyDescent="0.25">
      <c r="A1344" t="s">
        <v>3141</v>
      </c>
      <c r="D1344" t="s">
        <v>727</v>
      </c>
      <c r="E1344" t="s">
        <v>726</v>
      </c>
      <c r="F1344" t="s">
        <v>422</v>
      </c>
      <c r="G1344" t="str">
        <f>CONCATENATE(Master_Packing_Database[[#This Row],[Exp '#]],Master_Packing_Database[[#This Row],[Batch '#]])</f>
        <v>2353rd2nd</v>
      </c>
      <c r="H1344" t="s">
        <v>5954</v>
      </c>
      <c r="I1344" t="s">
        <v>1053</v>
      </c>
      <c r="J1344" t="s">
        <v>117</v>
      </c>
      <c r="K1344" t="s">
        <v>32</v>
      </c>
      <c r="L1344" t="s">
        <v>835</v>
      </c>
      <c r="M1344" t="s">
        <v>1016</v>
      </c>
      <c r="N1344" t="s">
        <v>5955</v>
      </c>
      <c r="O1344" t="s">
        <v>5956</v>
      </c>
      <c r="V1344" t="s">
        <v>5957</v>
      </c>
      <c r="X1344" t="s">
        <v>5958</v>
      </c>
      <c r="Y1344" t="s">
        <v>1072</v>
      </c>
      <c r="Z1344" t="s">
        <v>1202</v>
      </c>
      <c r="AB1344" t="s">
        <v>4311</v>
      </c>
      <c r="AE1344" t="s">
        <v>5958</v>
      </c>
      <c r="AG1344" t="s">
        <v>1303</v>
      </c>
      <c r="AI1344" t="s">
        <v>29</v>
      </c>
      <c r="AK1344" t="s">
        <v>5959</v>
      </c>
      <c r="AL1344" t="s">
        <v>3152</v>
      </c>
      <c r="AN1344">
        <v>0</v>
      </c>
      <c r="AO1344" t="s">
        <v>1834</v>
      </c>
      <c r="AP1344" t="s">
        <v>1834</v>
      </c>
      <c r="AQ1344">
        <v>0</v>
      </c>
      <c r="AR1344" t="s">
        <v>1758</v>
      </c>
    </row>
    <row r="1345" spans="1:44" x14ac:dyDescent="0.25">
      <c r="A1345" t="s">
        <v>3141</v>
      </c>
      <c r="D1345" t="s">
        <v>423</v>
      </c>
      <c r="E1345" t="s">
        <v>634</v>
      </c>
      <c r="F1345" t="s">
        <v>1755</v>
      </c>
      <c r="G1345" t="str">
        <f>CONCATENATE(Master_Packing_Database[[#This Row],[Exp '#]],Master_Packing_Database[[#This Row],[Batch '#]])</f>
        <v>2333rd-</v>
      </c>
      <c r="H1345" t="s">
        <v>635</v>
      </c>
      <c r="I1345" t="s">
        <v>115</v>
      </c>
      <c r="J1345" t="s">
        <v>117</v>
      </c>
      <c r="K1345" t="s">
        <v>5960</v>
      </c>
      <c r="L1345" t="s">
        <v>544</v>
      </c>
      <c r="M1345" t="s">
        <v>544</v>
      </c>
      <c r="N1345" t="s">
        <v>636</v>
      </c>
      <c r="O1345" t="s">
        <v>637</v>
      </c>
      <c r="V1345" t="s">
        <v>4276</v>
      </c>
      <c r="X1345" t="s">
        <v>4308</v>
      </c>
      <c r="Y1345" t="s">
        <v>359</v>
      </c>
      <c r="Z1345" t="s">
        <v>4309</v>
      </c>
      <c r="AB1345" t="s">
        <v>4310</v>
      </c>
      <c r="AE1345" t="s">
        <v>4308</v>
      </c>
      <c r="AG1345" t="s">
        <v>1303</v>
      </c>
      <c r="AI1345" t="s">
        <v>29</v>
      </c>
      <c r="AK1345" t="s">
        <v>5959</v>
      </c>
      <c r="AL1345" t="s">
        <v>3152</v>
      </c>
      <c r="AN1345">
        <v>0</v>
      </c>
      <c r="AO1345" t="s">
        <v>1834</v>
      </c>
      <c r="AP1345" t="s">
        <v>1834</v>
      </c>
      <c r="AQ1345">
        <v>0</v>
      </c>
      <c r="AR1345" t="s">
        <v>1758</v>
      </c>
    </row>
    <row r="1346" spans="1:44" x14ac:dyDescent="0.25">
      <c r="A1346" t="s">
        <v>3141</v>
      </c>
      <c r="D1346" t="s">
        <v>48</v>
      </c>
      <c r="E1346" t="s">
        <v>858</v>
      </c>
      <c r="F1346" t="s">
        <v>1755</v>
      </c>
      <c r="G1346" t="str">
        <f>CONCATENATE(Master_Packing_Database[[#This Row],[Exp '#]],Master_Packing_Database[[#This Row],[Batch '#]])</f>
        <v>2378th-</v>
      </c>
      <c r="H1346" t="s">
        <v>859</v>
      </c>
      <c r="I1346" t="s">
        <v>860</v>
      </c>
      <c r="J1346" t="s">
        <v>117</v>
      </c>
      <c r="K1346" t="s">
        <v>4915</v>
      </c>
      <c r="L1346" t="s">
        <v>116</v>
      </c>
      <c r="M1346" t="s">
        <v>116</v>
      </c>
      <c r="N1346" t="s">
        <v>861</v>
      </c>
      <c r="O1346" t="s">
        <v>862</v>
      </c>
      <c r="V1346" t="s">
        <v>4255</v>
      </c>
      <c r="X1346" t="s">
        <v>5961</v>
      </c>
      <c r="Y1346" t="s">
        <v>2569</v>
      </c>
      <c r="Z1346" t="s">
        <v>290</v>
      </c>
      <c r="AB1346" t="s">
        <v>4283</v>
      </c>
      <c r="AE1346" t="s">
        <v>5961</v>
      </c>
      <c r="AG1346" t="s">
        <v>1303</v>
      </c>
      <c r="AI1346" t="s">
        <v>29</v>
      </c>
      <c r="AK1346" t="s">
        <v>5959</v>
      </c>
      <c r="AL1346" t="s">
        <v>1268</v>
      </c>
      <c r="AN1346">
        <v>0</v>
      </c>
      <c r="AO1346" t="s">
        <v>1834</v>
      </c>
      <c r="AP1346" t="s">
        <v>1834</v>
      </c>
      <c r="AQ1346">
        <v>0</v>
      </c>
      <c r="AR1346" t="s">
        <v>1758</v>
      </c>
    </row>
    <row r="1347" spans="1:44" x14ac:dyDescent="0.25">
      <c r="A1347" t="s">
        <v>3141</v>
      </c>
      <c r="D1347" t="s">
        <v>810</v>
      </c>
      <c r="E1347" t="s">
        <v>809</v>
      </c>
      <c r="F1347" t="s">
        <v>1755</v>
      </c>
      <c r="G1347" t="str">
        <f>CONCATENATE(Master_Packing_Database[[#This Row],[Exp '#]],Master_Packing_Database[[#This Row],[Batch '#]])</f>
        <v>2367th-</v>
      </c>
      <c r="H1347" t="s">
        <v>811</v>
      </c>
      <c r="I1347" t="s">
        <v>798</v>
      </c>
      <c r="J1347" t="s">
        <v>117</v>
      </c>
      <c r="K1347" t="s">
        <v>4780</v>
      </c>
      <c r="L1347" t="s">
        <v>5962</v>
      </c>
      <c r="M1347" t="s">
        <v>544</v>
      </c>
      <c r="N1347" t="s">
        <v>812</v>
      </c>
      <c r="O1347" t="s">
        <v>813</v>
      </c>
      <c r="V1347" t="s">
        <v>4308</v>
      </c>
      <c r="X1347" t="s">
        <v>5963</v>
      </c>
      <c r="Y1347" t="s">
        <v>1419</v>
      </c>
      <c r="Z1347" t="s">
        <v>1228</v>
      </c>
      <c r="AB1347" t="s">
        <v>5964</v>
      </c>
      <c r="AE1347" t="s">
        <v>5963</v>
      </c>
      <c r="AG1347" t="s">
        <v>1303</v>
      </c>
      <c r="AI1347" t="s">
        <v>29</v>
      </c>
      <c r="AK1347" t="s">
        <v>5965</v>
      </c>
      <c r="AL1347" t="s">
        <v>3152</v>
      </c>
      <c r="AN1347">
        <v>0</v>
      </c>
      <c r="AO1347" t="s">
        <v>1834</v>
      </c>
      <c r="AP1347" t="s">
        <v>1834</v>
      </c>
      <c r="AQ1347">
        <v>0</v>
      </c>
      <c r="AR1347" t="s">
        <v>1758</v>
      </c>
    </row>
    <row r="1348" spans="1:44" x14ac:dyDescent="0.25">
      <c r="A1348" t="s">
        <v>3141</v>
      </c>
      <c r="D1348" t="s">
        <v>510</v>
      </c>
      <c r="E1348" t="s">
        <v>987</v>
      </c>
      <c r="F1348" t="s">
        <v>1755</v>
      </c>
      <c r="G1348" t="str">
        <f>CONCATENATE(Master_Packing_Database[[#This Row],[Exp '#]],Master_Packing_Database[[#This Row],[Batch '#]])</f>
        <v>2407th-</v>
      </c>
      <c r="H1348" t="s">
        <v>5966</v>
      </c>
      <c r="I1348" t="s">
        <v>5967</v>
      </c>
      <c r="J1348" t="s">
        <v>117</v>
      </c>
      <c r="K1348" t="s">
        <v>3372</v>
      </c>
      <c r="L1348" t="s">
        <v>4844</v>
      </c>
      <c r="M1348" t="s">
        <v>975</v>
      </c>
      <c r="N1348" t="s">
        <v>1374</v>
      </c>
      <c r="O1348" t="s">
        <v>1375</v>
      </c>
      <c r="V1348" t="s">
        <v>32</v>
      </c>
      <c r="X1348" t="s">
        <v>4311</v>
      </c>
      <c r="Z1348" t="s">
        <v>328</v>
      </c>
      <c r="AB1348" t="s">
        <v>4312</v>
      </c>
      <c r="AE1348" t="s">
        <v>4311</v>
      </c>
      <c r="AG1348" t="s">
        <v>1303</v>
      </c>
      <c r="AI1348" t="s">
        <v>29</v>
      </c>
      <c r="AK1348" t="s">
        <v>5965</v>
      </c>
      <c r="AL1348" t="s">
        <v>3152</v>
      </c>
      <c r="AN1348">
        <v>0</v>
      </c>
      <c r="AO1348" t="s">
        <v>1834</v>
      </c>
      <c r="AP1348" t="s">
        <v>1834</v>
      </c>
      <c r="AQ1348">
        <v>0</v>
      </c>
      <c r="AR1348" t="s">
        <v>1758</v>
      </c>
    </row>
    <row r="1349" spans="1:44" x14ac:dyDescent="0.25">
      <c r="A1349" t="s">
        <v>3141</v>
      </c>
      <c r="D1349" t="s">
        <v>777</v>
      </c>
      <c r="E1349" t="s">
        <v>776</v>
      </c>
      <c r="F1349" t="s">
        <v>1755</v>
      </c>
      <c r="G1349" t="str">
        <f>CONCATENATE(Master_Packing_Database[[#This Row],[Exp '#]],Master_Packing_Database[[#This Row],[Batch '#]])</f>
        <v>2361st-</v>
      </c>
      <c r="H1349" t="s">
        <v>778</v>
      </c>
      <c r="I1349" t="s">
        <v>779</v>
      </c>
      <c r="J1349" t="s">
        <v>366</v>
      </c>
      <c r="K1349" t="s">
        <v>5968</v>
      </c>
      <c r="L1349" t="s">
        <v>5969</v>
      </c>
      <c r="M1349" t="s">
        <v>116</v>
      </c>
      <c r="N1349" t="s">
        <v>780</v>
      </c>
      <c r="O1349" t="s">
        <v>781</v>
      </c>
      <c r="V1349" t="s">
        <v>4204</v>
      </c>
      <c r="X1349" t="s">
        <v>4283</v>
      </c>
      <c r="Y1349" t="s">
        <v>871</v>
      </c>
      <c r="Z1349" t="s">
        <v>5970</v>
      </c>
      <c r="AB1349" t="s">
        <v>4276</v>
      </c>
      <c r="AE1349" t="s">
        <v>4283</v>
      </c>
      <c r="AG1349" t="s">
        <v>1303</v>
      </c>
      <c r="AI1349" t="s">
        <v>29</v>
      </c>
      <c r="AK1349" t="s">
        <v>5965</v>
      </c>
      <c r="AL1349" t="s">
        <v>3152</v>
      </c>
      <c r="AN1349">
        <v>0</v>
      </c>
      <c r="AO1349" t="s">
        <v>1834</v>
      </c>
      <c r="AP1349" t="s">
        <v>1834</v>
      </c>
      <c r="AQ1349">
        <v>0</v>
      </c>
      <c r="AR1349" t="s">
        <v>1758</v>
      </c>
    </row>
    <row r="1350" spans="1:44" x14ac:dyDescent="0.25">
      <c r="A1350" t="s">
        <v>3141</v>
      </c>
      <c r="D1350" t="s">
        <v>510</v>
      </c>
      <c r="E1350" t="s">
        <v>5971</v>
      </c>
      <c r="F1350" t="s">
        <v>1755</v>
      </c>
      <c r="G1350" t="str">
        <f>CONCATENATE(Master_Packing_Database[[#This Row],[Exp '#]],Master_Packing_Database[[#This Row],[Batch '#]])</f>
        <v>2440th-</v>
      </c>
      <c r="H1350" t="s">
        <v>5972</v>
      </c>
      <c r="I1350" t="s">
        <v>5392</v>
      </c>
      <c r="J1350" t="s">
        <v>366</v>
      </c>
      <c r="K1350" t="s">
        <v>1147</v>
      </c>
      <c r="L1350" t="s">
        <v>5973</v>
      </c>
      <c r="M1350" t="s">
        <v>116</v>
      </c>
      <c r="N1350" t="s">
        <v>599</v>
      </c>
      <c r="O1350" t="s">
        <v>5974</v>
      </c>
      <c r="V1350" t="s">
        <v>5958</v>
      </c>
      <c r="X1350" t="s">
        <v>5958</v>
      </c>
      <c r="Y1350" t="s">
        <v>1303</v>
      </c>
      <c r="Z1350" t="s">
        <v>1202</v>
      </c>
      <c r="AB1350" t="s">
        <v>4311</v>
      </c>
      <c r="AE1350" t="s">
        <v>5958</v>
      </c>
      <c r="AG1350" t="s">
        <v>1303</v>
      </c>
      <c r="AI1350" t="s">
        <v>29</v>
      </c>
      <c r="AK1350" t="s">
        <v>5965</v>
      </c>
      <c r="AL1350" t="s">
        <v>3152</v>
      </c>
      <c r="AN1350">
        <v>0</v>
      </c>
      <c r="AO1350" t="s">
        <v>1834</v>
      </c>
      <c r="AP1350" t="s">
        <v>1834</v>
      </c>
      <c r="AQ1350">
        <v>0</v>
      </c>
      <c r="AR1350" t="s">
        <v>1758</v>
      </c>
    </row>
    <row r="1351" spans="1:44" x14ac:dyDescent="0.25">
      <c r="A1351" t="s">
        <v>3141</v>
      </c>
      <c r="D1351" t="s">
        <v>1398</v>
      </c>
      <c r="E1351" t="s">
        <v>1414</v>
      </c>
      <c r="F1351" t="s">
        <v>1755</v>
      </c>
      <c r="G1351" t="str">
        <f>CONCATENATE(Master_Packing_Database[[#This Row],[Exp '#]],Master_Packing_Database[[#This Row],[Batch '#]])</f>
        <v>MO-0144-</v>
      </c>
      <c r="H1351" t="s">
        <v>5975</v>
      </c>
      <c r="I1351" t="s">
        <v>5976</v>
      </c>
      <c r="J1351" t="s">
        <v>117</v>
      </c>
      <c r="K1351" t="s">
        <v>1147</v>
      </c>
      <c r="L1351" t="s">
        <v>5977</v>
      </c>
      <c r="M1351" t="s">
        <v>975</v>
      </c>
      <c r="N1351" t="s">
        <v>5978</v>
      </c>
      <c r="O1351" t="s">
        <v>3566</v>
      </c>
      <c r="V1351" t="s">
        <v>5979</v>
      </c>
      <c r="X1351" t="s">
        <v>5980</v>
      </c>
      <c r="Y1351" t="s">
        <v>912</v>
      </c>
      <c r="Z1351" t="s">
        <v>3695</v>
      </c>
      <c r="AB1351" t="s">
        <v>2656</v>
      </c>
      <c r="AE1351" t="s">
        <v>5980</v>
      </c>
      <c r="AG1351" t="s">
        <v>1303</v>
      </c>
      <c r="AI1351" t="s">
        <v>29</v>
      </c>
      <c r="AK1351" t="s">
        <v>5981</v>
      </c>
      <c r="AL1351" t="s">
        <v>3152</v>
      </c>
      <c r="AN1351">
        <v>0</v>
      </c>
      <c r="AO1351" t="s">
        <v>1834</v>
      </c>
      <c r="AP1351" t="s">
        <v>1834</v>
      </c>
      <c r="AQ1351">
        <v>0</v>
      </c>
      <c r="AR1351" t="s">
        <v>1758</v>
      </c>
    </row>
    <row r="1352" spans="1:44" x14ac:dyDescent="0.25">
      <c r="A1352" t="s">
        <v>3141</v>
      </c>
      <c r="D1352" t="s">
        <v>487</v>
      </c>
      <c r="E1352" t="s">
        <v>850</v>
      </c>
      <c r="F1352" t="s">
        <v>1755</v>
      </c>
      <c r="G1352" t="str">
        <f>CONCATENATE(Master_Packing_Database[[#This Row],[Exp '#]],Master_Packing_Database[[#This Row],[Batch '#]])</f>
        <v>2376th-</v>
      </c>
      <c r="H1352" t="s">
        <v>851</v>
      </c>
      <c r="I1352" t="s">
        <v>319</v>
      </c>
      <c r="J1352" t="s">
        <v>366</v>
      </c>
      <c r="K1352" t="s">
        <v>3757</v>
      </c>
      <c r="L1352" t="s">
        <v>544</v>
      </c>
      <c r="M1352" t="s">
        <v>116</v>
      </c>
      <c r="N1352" t="s">
        <v>852</v>
      </c>
      <c r="O1352" t="s">
        <v>853</v>
      </c>
      <c r="V1352" t="s">
        <v>5868</v>
      </c>
      <c r="X1352" t="s">
        <v>4283</v>
      </c>
      <c r="Y1352" t="s">
        <v>453</v>
      </c>
      <c r="Z1352" t="s">
        <v>5970</v>
      </c>
      <c r="AB1352" t="s">
        <v>4276</v>
      </c>
      <c r="AE1352" t="s">
        <v>4283</v>
      </c>
      <c r="AG1352" t="s">
        <v>1303</v>
      </c>
      <c r="AI1352" t="s">
        <v>29</v>
      </c>
      <c r="AK1352" t="s">
        <v>5981</v>
      </c>
      <c r="AL1352" t="s">
        <v>3152</v>
      </c>
      <c r="AN1352">
        <v>0</v>
      </c>
      <c r="AO1352" t="s">
        <v>1834</v>
      </c>
      <c r="AP1352" t="s">
        <v>1834</v>
      </c>
      <c r="AQ1352">
        <v>0</v>
      </c>
      <c r="AR1352" t="s">
        <v>1758</v>
      </c>
    </row>
    <row r="1353" spans="1:44" x14ac:dyDescent="0.25">
      <c r="A1353" t="s">
        <v>3141</v>
      </c>
      <c r="D1353" t="s">
        <v>903</v>
      </c>
      <c r="E1353" t="s">
        <v>902</v>
      </c>
      <c r="F1353" t="s">
        <v>1755</v>
      </c>
      <c r="G1353" t="str">
        <f>CONCATENATE(Master_Packing_Database[[#This Row],[Exp '#]],Master_Packing_Database[[#This Row],[Batch '#]])</f>
        <v>2387th-</v>
      </c>
      <c r="H1353" t="s">
        <v>904</v>
      </c>
      <c r="I1353" t="s">
        <v>168</v>
      </c>
      <c r="J1353" t="s">
        <v>117</v>
      </c>
      <c r="K1353" t="s">
        <v>3426</v>
      </c>
      <c r="L1353" t="s">
        <v>599</v>
      </c>
      <c r="M1353" t="s">
        <v>599</v>
      </c>
      <c r="N1353" t="s">
        <v>905</v>
      </c>
      <c r="O1353" t="s">
        <v>906</v>
      </c>
      <c r="V1353" t="s">
        <v>5979</v>
      </c>
      <c r="X1353" t="s">
        <v>2636</v>
      </c>
      <c r="Y1353" t="s">
        <v>1030</v>
      </c>
      <c r="Z1353" t="s">
        <v>194</v>
      </c>
      <c r="AB1353" t="s">
        <v>5982</v>
      </c>
      <c r="AE1353" t="s">
        <v>2636</v>
      </c>
      <c r="AG1353" t="s">
        <v>1303</v>
      </c>
      <c r="AI1353" t="s">
        <v>29</v>
      </c>
      <c r="AK1353" t="s">
        <v>5981</v>
      </c>
      <c r="AL1353" t="s">
        <v>3152</v>
      </c>
      <c r="AN1353">
        <v>0</v>
      </c>
      <c r="AO1353" t="s">
        <v>1834</v>
      </c>
      <c r="AP1353" t="s">
        <v>1834</v>
      </c>
      <c r="AQ1353">
        <v>0</v>
      </c>
      <c r="AR1353" t="s">
        <v>1758</v>
      </c>
    </row>
    <row r="1354" spans="1:44" x14ac:dyDescent="0.25">
      <c r="A1354" t="s">
        <v>3141</v>
      </c>
      <c r="D1354" t="s">
        <v>5983</v>
      </c>
      <c r="E1354" t="s">
        <v>896</v>
      </c>
      <c r="F1354" t="s">
        <v>1755</v>
      </c>
      <c r="G1354" t="str">
        <f>CONCATENATE(Master_Packing_Database[[#This Row],[Exp '#]],Master_Packing_Database[[#This Row],[Batch '#]])</f>
        <v>2386th-</v>
      </c>
      <c r="H1354" t="s">
        <v>898</v>
      </c>
      <c r="I1354" t="s">
        <v>899</v>
      </c>
      <c r="J1354" t="s">
        <v>117</v>
      </c>
      <c r="K1354" t="s">
        <v>3173</v>
      </c>
      <c r="L1354" t="s">
        <v>5984</v>
      </c>
      <c r="M1354" t="s">
        <v>1072</v>
      </c>
      <c r="N1354" t="s">
        <v>900</v>
      </c>
      <c r="O1354" t="s">
        <v>901</v>
      </c>
      <c r="V1354" t="s">
        <v>2656</v>
      </c>
      <c r="X1354" t="s">
        <v>2636</v>
      </c>
      <c r="Y1354" t="s">
        <v>975</v>
      </c>
      <c r="Z1354" t="s">
        <v>194</v>
      </c>
      <c r="AB1354" t="s">
        <v>5982</v>
      </c>
      <c r="AE1354" t="s">
        <v>2636</v>
      </c>
      <c r="AG1354" t="s">
        <v>1303</v>
      </c>
      <c r="AI1354" t="s">
        <v>29</v>
      </c>
      <c r="AK1354" t="s">
        <v>5981</v>
      </c>
      <c r="AL1354" t="s">
        <v>3152</v>
      </c>
      <c r="AN1354">
        <v>0</v>
      </c>
      <c r="AO1354" t="s">
        <v>1834</v>
      </c>
      <c r="AP1354" t="s">
        <v>1834</v>
      </c>
      <c r="AQ1354">
        <v>0</v>
      </c>
      <c r="AR1354" t="s">
        <v>1758</v>
      </c>
    </row>
    <row r="1355" spans="1:44" x14ac:dyDescent="0.25">
      <c r="A1355" t="s">
        <v>3141</v>
      </c>
      <c r="D1355" t="s">
        <v>38</v>
      </c>
      <c r="E1355" t="s">
        <v>892</v>
      </c>
      <c r="F1355" t="s">
        <v>1755</v>
      </c>
      <c r="G1355" t="str">
        <f>CONCATENATE(Master_Packing_Database[[#This Row],[Exp '#]],Master_Packing_Database[[#This Row],[Batch '#]])</f>
        <v>2385th-</v>
      </c>
      <c r="H1355" t="s">
        <v>893</v>
      </c>
      <c r="I1355" t="s">
        <v>894</v>
      </c>
      <c r="J1355" t="s">
        <v>117</v>
      </c>
      <c r="K1355" t="s">
        <v>3335</v>
      </c>
      <c r="L1355" t="s">
        <v>599</v>
      </c>
      <c r="M1355" t="s">
        <v>116</v>
      </c>
      <c r="N1355" t="s">
        <v>895</v>
      </c>
      <c r="O1355" t="s">
        <v>666</v>
      </c>
      <c r="V1355" t="s">
        <v>4293</v>
      </c>
      <c r="X1355" t="s">
        <v>4308</v>
      </c>
      <c r="Y1355" t="s">
        <v>2564</v>
      </c>
      <c r="Z1355" t="s">
        <v>4309</v>
      </c>
      <c r="AB1355" t="s">
        <v>4310</v>
      </c>
      <c r="AE1355" t="s">
        <v>4308</v>
      </c>
      <c r="AG1355" t="s">
        <v>1303</v>
      </c>
      <c r="AI1355" t="s">
        <v>29</v>
      </c>
      <c r="AK1355" t="s">
        <v>5981</v>
      </c>
      <c r="AL1355" t="s">
        <v>3152</v>
      </c>
      <c r="AN1355">
        <v>0</v>
      </c>
      <c r="AO1355" t="s">
        <v>1834</v>
      </c>
      <c r="AP1355" t="s">
        <v>1834</v>
      </c>
      <c r="AQ1355">
        <v>0</v>
      </c>
      <c r="AR1355" t="s">
        <v>1758</v>
      </c>
    </row>
    <row r="1356" spans="1:44" x14ac:dyDescent="0.25">
      <c r="A1356" t="s">
        <v>3141</v>
      </c>
      <c r="D1356" t="s">
        <v>27</v>
      </c>
      <c r="E1356" t="s">
        <v>1247</v>
      </c>
      <c r="F1356" t="s">
        <v>1755</v>
      </c>
      <c r="G1356" t="str">
        <f>CONCATENATE(Master_Packing_Database[[#This Row],[Exp '#]],Master_Packing_Database[[#This Row],[Batch '#]])</f>
        <v>25-043-</v>
      </c>
      <c r="H1356" t="s">
        <v>1248</v>
      </c>
      <c r="I1356" t="s">
        <v>1249</v>
      </c>
      <c r="J1356" t="s">
        <v>5396</v>
      </c>
      <c r="K1356" t="s">
        <v>1147</v>
      </c>
      <c r="M1356" t="s">
        <v>1016</v>
      </c>
      <c r="N1356" t="s">
        <v>1250</v>
      </c>
      <c r="O1356" t="s">
        <v>1251</v>
      </c>
      <c r="V1356" t="s">
        <v>4155</v>
      </c>
      <c r="X1356" t="s">
        <v>4267</v>
      </c>
      <c r="Y1356" t="s">
        <v>5985</v>
      </c>
      <c r="Z1356" t="s">
        <v>4268</v>
      </c>
      <c r="AB1356" t="s">
        <v>4269</v>
      </c>
      <c r="AE1356" t="s">
        <v>4267</v>
      </c>
      <c r="AG1356" t="s">
        <v>1303</v>
      </c>
      <c r="AI1356" t="s">
        <v>29</v>
      </c>
      <c r="AK1356" t="s">
        <v>5981</v>
      </c>
      <c r="AL1356" t="s">
        <v>1268</v>
      </c>
      <c r="AN1356">
        <v>0</v>
      </c>
      <c r="AO1356" t="s">
        <v>1834</v>
      </c>
      <c r="AP1356" t="s">
        <v>1834</v>
      </c>
      <c r="AQ1356">
        <v>0</v>
      </c>
      <c r="AR1356" t="s">
        <v>1758</v>
      </c>
    </row>
    <row r="1357" spans="1:44" x14ac:dyDescent="0.25">
      <c r="A1357" t="s">
        <v>3141</v>
      </c>
      <c r="D1357" t="s">
        <v>48</v>
      </c>
      <c r="E1357" t="s">
        <v>941</v>
      </c>
      <c r="F1357" t="s">
        <v>1755</v>
      </c>
      <c r="G1357" t="str">
        <f>CONCATENATE(Master_Packing_Database[[#This Row],[Exp '#]],Master_Packing_Database[[#This Row],[Batch '#]])</f>
        <v>2397th-</v>
      </c>
      <c r="H1357" t="s">
        <v>942</v>
      </c>
      <c r="I1357" t="s">
        <v>168</v>
      </c>
      <c r="J1357" t="s">
        <v>117</v>
      </c>
      <c r="K1357" t="s">
        <v>945</v>
      </c>
      <c r="L1357" t="s">
        <v>599</v>
      </c>
      <c r="M1357" t="s">
        <v>599</v>
      </c>
      <c r="N1357" t="s">
        <v>943</v>
      </c>
      <c r="O1357" t="s">
        <v>944</v>
      </c>
      <c r="V1357" t="s">
        <v>32</v>
      </c>
      <c r="X1357" t="s">
        <v>5963</v>
      </c>
      <c r="Z1357" t="s">
        <v>1228</v>
      </c>
      <c r="AB1357" t="s">
        <v>5964</v>
      </c>
      <c r="AE1357" t="s">
        <v>5963</v>
      </c>
      <c r="AG1357" t="s">
        <v>1303</v>
      </c>
      <c r="AI1357" t="s">
        <v>29</v>
      </c>
      <c r="AK1357" t="s">
        <v>5986</v>
      </c>
      <c r="AL1357" t="s">
        <v>1268</v>
      </c>
      <c r="AN1357">
        <v>0</v>
      </c>
      <c r="AO1357" t="s">
        <v>1834</v>
      </c>
      <c r="AP1357" t="s">
        <v>1834</v>
      </c>
      <c r="AQ1357">
        <v>0</v>
      </c>
      <c r="AR1357" t="s">
        <v>1758</v>
      </c>
    </row>
    <row r="1358" spans="1:44" x14ac:dyDescent="0.25">
      <c r="A1358" t="s">
        <v>3141</v>
      </c>
      <c r="D1358" t="s">
        <v>311</v>
      </c>
      <c r="E1358" t="s">
        <v>938</v>
      </c>
      <c r="F1358" t="s">
        <v>1755</v>
      </c>
      <c r="G1358" t="str">
        <f>CONCATENATE(Master_Packing_Database[[#This Row],[Exp '#]],Master_Packing_Database[[#This Row],[Batch '#]])</f>
        <v>2396th-</v>
      </c>
      <c r="H1358" t="s">
        <v>939</v>
      </c>
      <c r="I1358" t="s">
        <v>168</v>
      </c>
      <c r="J1358" t="s">
        <v>117</v>
      </c>
      <c r="K1358" t="s">
        <v>3372</v>
      </c>
      <c r="L1358" t="s">
        <v>599</v>
      </c>
      <c r="M1358" t="s">
        <v>599</v>
      </c>
      <c r="N1358" t="s">
        <v>5987</v>
      </c>
      <c r="O1358" t="s">
        <v>951</v>
      </c>
      <c r="V1358" t="s">
        <v>32</v>
      </c>
      <c r="X1358" t="s">
        <v>5988</v>
      </c>
      <c r="Z1358" t="s">
        <v>3626</v>
      </c>
      <c r="AB1358" t="s">
        <v>5989</v>
      </c>
      <c r="AE1358" t="s">
        <v>5988</v>
      </c>
      <c r="AG1358" t="s">
        <v>1303</v>
      </c>
      <c r="AI1358" t="s">
        <v>29</v>
      </c>
      <c r="AK1358" t="s">
        <v>5986</v>
      </c>
      <c r="AL1358" t="s">
        <v>3152</v>
      </c>
      <c r="AN1358">
        <v>0</v>
      </c>
      <c r="AO1358" t="s">
        <v>1834</v>
      </c>
      <c r="AP1358" t="s">
        <v>1834</v>
      </c>
      <c r="AQ1358">
        <v>0</v>
      </c>
      <c r="AR1358" t="s">
        <v>1758</v>
      </c>
    </row>
    <row r="1359" spans="1:44" x14ac:dyDescent="0.25">
      <c r="A1359" t="s">
        <v>3141</v>
      </c>
      <c r="D1359" t="s">
        <v>720</v>
      </c>
      <c r="E1359" t="s">
        <v>1043</v>
      </c>
      <c r="F1359" t="s">
        <v>1755</v>
      </c>
      <c r="G1359" t="str">
        <f>CONCATENATE(Master_Packing_Database[[#This Row],[Exp '#]],Master_Packing_Database[[#This Row],[Batch '#]])</f>
        <v>2422nd-</v>
      </c>
      <c r="H1359" t="s">
        <v>1044</v>
      </c>
      <c r="I1359" t="s">
        <v>1045</v>
      </c>
      <c r="J1359" t="s">
        <v>366</v>
      </c>
      <c r="K1359" t="s">
        <v>3227</v>
      </c>
      <c r="L1359" t="s">
        <v>975</v>
      </c>
      <c r="M1359" t="s">
        <v>599</v>
      </c>
      <c r="N1359" t="s">
        <v>5990</v>
      </c>
      <c r="O1359" t="s">
        <v>3492</v>
      </c>
      <c r="V1359" t="s">
        <v>32</v>
      </c>
      <c r="X1359" t="s">
        <v>2557</v>
      </c>
      <c r="Z1359" t="s">
        <v>264</v>
      </c>
      <c r="AB1359" t="s">
        <v>2568</v>
      </c>
      <c r="AE1359" t="s">
        <v>2557</v>
      </c>
      <c r="AG1359" t="s">
        <v>1303</v>
      </c>
      <c r="AI1359" t="s">
        <v>29</v>
      </c>
      <c r="AK1359" t="s">
        <v>5986</v>
      </c>
      <c r="AL1359" t="s">
        <v>3152</v>
      </c>
      <c r="AN1359">
        <v>0</v>
      </c>
      <c r="AO1359" t="s">
        <v>1834</v>
      </c>
      <c r="AP1359" t="s">
        <v>1834</v>
      </c>
      <c r="AQ1359">
        <v>0</v>
      </c>
      <c r="AR1359" t="s">
        <v>1758</v>
      </c>
    </row>
    <row r="1360" spans="1:44" x14ac:dyDescent="0.25">
      <c r="A1360" t="s">
        <v>3141</v>
      </c>
      <c r="D1360" t="s">
        <v>1090</v>
      </c>
      <c r="E1360" t="s">
        <v>1089</v>
      </c>
      <c r="F1360" t="s">
        <v>1755</v>
      </c>
      <c r="G1360" t="str">
        <f>CONCATENATE(Master_Packing_Database[[#This Row],[Exp '#]],Master_Packing_Database[[#This Row],[Batch '#]])</f>
        <v>2437th-</v>
      </c>
      <c r="H1360" t="s">
        <v>1091</v>
      </c>
      <c r="I1360" t="s">
        <v>1092</v>
      </c>
      <c r="J1360" t="s">
        <v>117</v>
      </c>
      <c r="K1360" t="s">
        <v>3578</v>
      </c>
      <c r="L1360" t="s">
        <v>599</v>
      </c>
      <c r="M1360" t="s">
        <v>116</v>
      </c>
      <c r="N1360" t="s">
        <v>5991</v>
      </c>
      <c r="O1360" t="s">
        <v>5992</v>
      </c>
      <c r="V1360" t="s">
        <v>32</v>
      </c>
      <c r="X1360" t="s">
        <v>2557</v>
      </c>
      <c r="Z1360" t="s">
        <v>264</v>
      </c>
      <c r="AB1360" t="s">
        <v>2568</v>
      </c>
      <c r="AE1360" t="s">
        <v>2557</v>
      </c>
      <c r="AG1360" t="s">
        <v>1303</v>
      </c>
      <c r="AI1360" t="s">
        <v>29</v>
      </c>
      <c r="AK1360" t="s">
        <v>5986</v>
      </c>
      <c r="AL1360" t="s">
        <v>3152</v>
      </c>
      <c r="AN1360">
        <v>0</v>
      </c>
      <c r="AO1360" t="s">
        <v>1834</v>
      </c>
      <c r="AP1360" t="s">
        <v>1834</v>
      </c>
      <c r="AQ1360">
        <v>0</v>
      </c>
      <c r="AR1360" t="s">
        <v>1758</v>
      </c>
    </row>
    <row r="1361" spans="1:44" x14ac:dyDescent="0.25">
      <c r="A1361" t="s">
        <v>3141</v>
      </c>
      <c r="D1361" t="s">
        <v>1158</v>
      </c>
      <c r="E1361" t="s">
        <v>1225</v>
      </c>
      <c r="F1361" t="s">
        <v>1755</v>
      </c>
      <c r="G1361" t="str">
        <f>CONCATENATE(Master_Packing_Database[[#This Row],[Exp '#]],Master_Packing_Database[[#This Row],[Batch '#]])</f>
        <v>25-039-</v>
      </c>
      <c r="H1361" t="s">
        <v>1226</v>
      </c>
      <c r="I1361" t="s">
        <v>1227</v>
      </c>
      <c r="J1361" t="s">
        <v>366</v>
      </c>
      <c r="K1361" t="s">
        <v>1147</v>
      </c>
      <c r="L1361" t="s">
        <v>1228</v>
      </c>
      <c r="M1361" t="s">
        <v>975</v>
      </c>
      <c r="N1361" t="s">
        <v>1229</v>
      </c>
      <c r="O1361" t="s">
        <v>1230</v>
      </c>
      <c r="V1361" t="s">
        <v>32</v>
      </c>
      <c r="X1361" t="s">
        <v>5715</v>
      </c>
      <c r="Z1361" t="s">
        <v>5993</v>
      </c>
      <c r="AB1361" t="s">
        <v>5688</v>
      </c>
      <c r="AE1361" t="s">
        <v>5715</v>
      </c>
      <c r="AG1361" t="s">
        <v>1303</v>
      </c>
      <c r="AI1361" t="s">
        <v>29</v>
      </c>
      <c r="AK1361" t="s">
        <v>5986</v>
      </c>
      <c r="AL1361" t="s">
        <v>1268</v>
      </c>
      <c r="AN1361">
        <v>0</v>
      </c>
      <c r="AO1361" t="s">
        <v>1834</v>
      </c>
      <c r="AP1361" t="s">
        <v>1834</v>
      </c>
      <c r="AQ1361">
        <v>0</v>
      </c>
      <c r="AR1361" t="s">
        <v>1758</v>
      </c>
    </row>
    <row r="1362" spans="1:44" x14ac:dyDescent="0.25">
      <c r="A1362" t="s">
        <v>3141</v>
      </c>
      <c r="D1362" t="s">
        <v>1433</v>
      </c>
      <c r="E1362" t="s">
        <v>1437</v>
      </c>
      <c r="F1362" t="s">
        <v>1755</v>
      </c>
      <c r="G1362" t="str">
        <f>CONCATENATE(Master_Packing_Database[[#This Row],[Exp '#]],Master_Packing_Database[[#This Row],[Batch '#]])</f>
        <v>MO-0149-</v>
      </c>
      <c r="H1362" t="s">
        <v>1438</v>
      </c>
      <c r="I1362" t="s">
        <v>1227</v>
      </c>
      <c r="J1362" t="s">
        <v>366</v>
      </c>
      <c r="K1362" t="s">
        <v>1147</v>
      </c>
      <c r="L1362" t="s">
        <v>255</v>
      </c>
      <c r="M1362" t="s">
        <v>599</v>
      </c>
      <c r="N1362" t="s">
        <v>1439</v>
      </c>
      <c r="O1362" t="s">
        <v>1375</v>
      </c>
      <c r="V1362" t="s">
        <v>32</v>
      </c>
      <c r="X1362" t="s">
        <v>4311</v>
      </c>
      <c r="Z1362" t="s">
        <v>328</v>
      </c>
      <c r="AB1362" t="s">
        <v>4312</v>
      </c>
      <c r="AE1362" t="s">
        <v>4311</v>
      </c>
      <c r="AG1362" t="s">
        <v>1303</v>
      </c>
      <c r="AI1362" t="s">
        <v>29</v>
      </c>
      <c r="AK1362" t="s">
        <v>5986</v>
      </c>
      <c r="AL1362" t="s">
        <v>3152</v>
      </c>
      <c r="AN1362">
        <v>0</v>
      </c>
      <c r="AO1362" t="s">
        <v>1834</v>
      </c>
      <c r="AP1362" t="s">
        <v>1834</v>
      </c>
      <c r="AQ1362">
        <v>0</v>
      </c>
      <c r="AR1362" t="s">
        <v>1758</v>
      </c>
    </row>
    <row r="1363" spans="1:44" x14ac:dyDescent="0.25">
      <c r="A1363" t="s">
        <v>3141</v>
      </c>
      <c r="D1363" t="s">
        <v>762</v>
      </c>
      <c r="E1363" t="s">
        <v>760</v>
      </c>
      <c r="F1363" t="s">
        <v>5994</v>
      </c>
      <c r="G1363" t="str">
        <f>CONCATENATE(Master_Packing_Database[[#This Row],[Exp '#]],Master_Packing_Database[[#This Row],[Batch '#]])</f>
        <v>2359thPart load with 2426</v>
      </c>
      <c r="H1363" t="s">
        <v>763</v>
      </c>
      <c r="I1363" t="s">
        <v>319</v>
      </c>
      <c r="J1363" t="s">
        <v>366</v>
      </c>
      <c r="K1363" t="s">
        <v>766</v>
      </c>
      <c r="L1363" t="s">
        <v>599</v>
      </c>
      <c r="M1363" t="s">
        <v>116</v>
      </c>
      <c r="N1363" t="s">
        <v>764</v>
      </c>
      <c r="O1363" t="s">
        <v>765</v>
      </c>
      <c r="V1363" t="s">
        <v>4204</v>
      </c>
      <c r="X1363" t="s">
        <v>4267</v>
      </c>
      <c r="Y1363" t="s">
        <v>3695</v>
      </c>
      <c r="Z1363" t="s">
        <v>4268</v>
      </c>
      <c r="AB1363" t="s">
        <v>4269</v>
      </c>
      <c r="AE1363" t="s">
        <v>4267</v>
      </c>
      <c r="AG1363" t="s">
        <v>1303</v>
      </c>
      <c r="AI1363" t="s">
        <v>29</v>
      </c>
      <c r="AK1363" t="s">
        <v>5995</v>
      </c>
      <c r="AL1363" t="s">
        <v>3152</v>
      </c>
      <c r="AN1363">
        <v>0</v>
      </c>
      <c r="AO1363" t="s">
        <v>1834</v>
      </c>
      <c r="AP1363" t="s">
        <v>1834</v>
      </c>
      <c r="AQ1363">
        <v>0</v>
      </c>
      <c r="AR1363" t="s">
        <v>1758</v>
      </c>
    </row>
    <row r="1364" spans="1:44" x14ac:dyDescent="0.25">
      <c r="A1364" t="s">
        <v>3141</v>
      </c>
      <c r="D1364" t="s">
        <v>762</v>
      </c>
      <c r="E1364" t="s">
        <v>1055</v>
      </c>
      <c r="F1364" t="s">
        <v>1056</v>
      </c>
      <c r="G1364" t="str">
        <f>CONCATENATE(Master_Packing_Database[[#This Row],[Exp '#]],Master_Packing_Database[[#This Row],[Batch '#]])</f>
        <v>2426thPart load with 2359</v>
      </c>
      <c r="H1364" t="s">
        <v>1057</v>
      </c>
      <c r="I1364" t="s">
        <v>497</v>
      </c>
      <c r="J1364" t="s">
        <v>366</v>
      </c>
      <c r="K1364" t="s">
        <v>1059</v>
      </c>
      <c r="L1364" t="s">
        <v>116</v>
      </c>
      <c r="M1364" t="s">
        <v>116</v>
      </c>
      <c r="N1364" t="s">
        <v>764</v>
      </c>
      <c r="O1364" t="s">
        <v>1058</v>
      </c>
      <c r="V1364" t="s">
        <v>32</v>
      </c>
      <c r="X1364" t="s">
        <v>4311</v>
      </c>
      <c r="Z1364" t="s">
        <v>328</v>
      </c>
      <c r="AB1364" t="s">
        <v>4312</v>
      </c>
      <c r="AE1364" t="s">
        <v>4311</v>
      </c>
      <c r="AG1364" t="s">
        <v>1303</v>
      </c>
      <c r="AI1364" t="s">
        <v>29</v>
      </c>
      <c r="AK1364" t="s">
        <v>5995</v>
      </c>
      <c r="AL1364" t="s">
        <v>3152</v>
      </c>
      <c r="AN1364">
        <v>0</v>
      </c>
      <c r="AO1364" t="s">
        <v>1834</v>
      </c>
      <c r="AP1364" t="s">
        <v>1834</v>
      </c>
      <c r="AQ1364">
        <v>0</v>
      </c>
      <c r="AR1364" t="s">
        <v>1758</v>
      </c>
    </row>
    <row r="1365" spans="1:44" x14ac:dyDescent="0.25">
      <c r="A1365" t="s">
        <v>3141</v>
      </c>
      <c r="D1365" t="s">
        <v>824</v>
      </c>
      <c r="E1365" t="s">
        <v>822</v>
      </c>
      <c r="F1365" t="s">
        <v>823</v>
      </c>
      <c r="G1365" t="str">
        <f>CONCATENATE(Master_Packing_Database[[#This Row],[Exp '#]],Master_Packing_Database[[#This Row],[Batch '#]])</f>
        <v>2370thPart load with 2371</v>
      </c>
      <c r="H1365" t="s">
        <v>825</v>
      </c>
      <c r="I1365" t="s">
        <v>826</v>
      </c>
      <c r="J1365" t="s">
        <v>366</v>
      </c>
      <c r="K1365" t="s">
        <v>830</v>
      </c>
      <c r="L1365" t="s">
        <v>827</v>
      </c>
      <c r="M1365" t="s">
        <v>599</v>
      </c>
      <c r="N1365" t="s">
        <v>828</v>
      </c>
      <c r="O1365" t="s">
        <v>829</v>
      </c>
      <c r="V1365" t="s">
        <v>4199</v>
      </c>
      <c r="X1365" t="s">
        <v>4298</v>
      </c>
      <c r="Y1365" t="s">
        <v>328</v>
      </c>
      <c r="Z1365" t="s">
        <v>343</v>
      </c>
      <c r="AB1365" t="s">
        <v>5996</v>
      </c>
      <c r="AE1365" t="s">
        <v>4298</v>
      </c>
      <c r="AG1365" t="s">
        <v>1303</v>
      </c>
      <c r="AI1365" t="s">
        <v>29</v>
      </c>
      <c r="AK1365" t="s">
        <v>5995</v>
      </c>
      <c r="AL1365" t="s">
        <v>3152</v>
      </c>
      <c r="AN1365">
        <v>0</v>
      </c>
      <c r="AO1365" t="s">
        <v>1834</v>
      </c>
      <c r="AP1365" t="s">
        <v>1834</v>
      </c>
      <c r="AQ1365">
        <v>0</v>
      </c>
      <c r="AR1365" t="s">
        <v>1758</v>
      </c>
    </row>
    <row r="1366" spans="1:44" x14ac:dyDescent="0.25">
      <c r="A1366" t="s">
        <v>3141</v>
      </c>
      <c r="D1366" t="s">
        <v>27</v>
      </c>
      <c r="E1366" t="s">
        <v>1417</v>
      </c>
      <c r="F1366" t="s">
        <v>1755</v>
      </c>
      <c r="G1366" t="str">
        <f>CONCATENATE(Master_Packing_Database[[#This Row],[Exp '#]],Master_Packing_Database[[#This Row],[Batch '#]])</f>
        <v>MO-0145-</v>
      </c>
      <c r="H1366" t="s">
        <v>1418</v>
      </c>
      <c r="I1366" t="s">
        <v>846</v>
      </c>
      <c r="J1366" t="s">
        <v>1371</v>
      </c>
      <c r="K1366" t="s">
        <v>1147</v>
      </c>
      <c r="L1366" t="s">
        <v>1419</v>
      </c>
      <c r="M1366" t="s">
        <v>116</v>
      </c>
      <c r="N1366" t="s">
        <v>1420</v>
      </c>
      <c r="O1366" t="s">
        <v>1421</v>
      </c>
      <c r="V1366" t="s">
        <v>32</v>
      </c>
      <c r="X1366" t="s">
        <v>4311</v>
      </c>
      <c r="Z1366" t="s">
        <v>328</v>
      </c>
      <c r="AB1366" t="s">
        <v>4312</v>
      </c>
      <c r="AE1366" t="s">
        <v>4311</v>
      </c>
      <c r="AG1366" t="s">
        <v>1303</v>
      </c>
      <c r="AI1366" t="s">
        <v>29</v>
      </c>
      <c r="AK1366" t="s">
        <v>5995</v>
      </c>
      <c r="AL1366" t="s">
        <v>1268</v>
      </c>
      <c r="AN1366">
        <v>0</v>
      </c>
      <c r="AO1366" t="s">
        <v>1834</v>
      </c>
      <c r="AP1366" t="s">
        <v>1834</v>
      </c>
      <c r="AQ1366">
        <v>0</v>
      </c>
      <c r="AR1366" t="s">
        <v>1758</v>
      </c>
    </row>
    <row r="1367" spans="1:44" x14ac:dyDescent="0.25">
      <c r="A1367" t="s">
        <v>3141</v>
      </c>
      <c r="D1367" t="s">
        <v>27</v>
      </c>
      <c r="E1367" t="s">
        <v>1422</v>
      </c>
      <c r="F1367" t="s">
        <v>1755</v>
      </c>
      <c r="G1367" t="str">
        <f>CONCATENATE(Master_Packing_Database[[#This Row],[Exp '#]],Master_Packing_Database[[#This Row],[Batch '#]])</f>
        <v>MO-0146-</v>
      </c>
      <c r="H1367" t="s">
        <v>1423</v>
      </c>
      <c r="I1367" t="s">
        <v>846</v>
      </c>
      <c r="J1367" t="s">
        <v>1371</v>
      </c>
      <c r="K1367" t="s">
        <v>1147</v>
      </c>
      <c r="L1367" t="s">
        <v>1424</v>
      </c>
      <c r="M1367" t="s">
        <v>1425</v>
      </c>
      <c r="N1367" t="s">
        <v>1426</v>
      </c>
      <c r="O1367" t="s">
        <v>1427</v>
      </c>
      <c r="V1367" t="s">
        <v>32</v>
      </c>
      <c r="X1367" t="s">
        <v>4311</v>
      </c>
      <c r="Z1367" t="s">
        <v>328</v>
      </c>
      <c r="AB1367" t="s">
        <v>4312</v>
      </c>
      <c r="AE1367" t="s">
        <v>4311</v>
      </c>
      <c r="AG1367" t="s">
        <v>1303</v>
      </c>
      <c r="AI1367" t="s">
        <v>29</v>
      </c>
      <c r="AK1367" t="s">
        <v>5995</v>
      </c>
      <c r="AL1367" t="s">
        <v>1268</v>
      </c>
      <c r="AN1367">
        <v>0</v>
      </c>
      <c r="AO1367" t="s">
        <v>1834</v>
      </c>
      <c r="AP1367" t="s">
        <v>1834</v>
      </c>
      <c r="AQ1367">
        <v>0</v>
      </c>
      <c r="AR1367" t="s">
        <v>1758</v>
      </c>
    </row>
    <row r="1368" spans="1:44" x14ac:dyDescent="0.25">
      <c r="A1368" t="s">
        <v>3141</v>
      </c>
      <c r="D1368" t="s">
        <v>824</v>
      </c>
      <c r="E1368" t="s">
        <v>832</v>
      </c>
      <c r="F1368" t="s">
        <v>761</v>
      </c>
      <c r="G1368" t="str">
        <f>CONCATENATE(Master_Packing_Database[[#This Row],[Exp '#]],Master_Packing_Database[[#This Row],[Batch '#]])</f>
        <v>2371st1st</v>
      </c>
      <c r="H1368" t="s">
        <v>5997</v>
      </c>
      <c r="I1368" t="s">
        <v>156</v>
      </c>
      <c r="J1368" t="s">
        <v>117</v>
      </c>
      <c r="K1368" t="s">
        <v>5777</v>
      </c>
      <c r="L1368" t="s">
        <v>116</v>
      </c>
      <c r="M1368" t="s">
        <v>116</v>
      </c>
      <c r="N1368" t="s">
        <v>5998</v>
      </c>
      <c r="O1368" t="s">
        <v>5999</v>
      </c>
      <c r="V1368" t="s">
        <v>2676</v>
      </c>
      <c r="X1368" t="s">
        <v>2557</v>
      </c>
      <c r="Y1368" t="s">
        <v>4411</v>
      </c>
      <c r="AB1368" t="s">
        <v>2568</v>
      </c>
      <c r="AE1368" t="s">
        <v>1755</v>
      </c>
      <c r="AI1368" t="s">
        <v>29</v>
      </c>
      <c r="AK1368" t="s">
        <v>5995</v>
      </c>
      <c r="AL1368" t="s">
        <v>3152</v>
      </c>
      <c r="AN1368">
        <v>0</v>
      </c>
      <c r="AO1368" t="s">
        <v>1834</v>
      </c>
      <c r="AP1368" t="s">
        <v>1834</v>
      </c>
      <c r="AQ1368">
        <v>0</v>
      </c>
      <c r="AR1368" t="s">
        <v>1835</v>
      </c>
    </row>
    <row r="1369" spans="1:44" x14ac:dyDescent="0.25">
      <c r="A1369" t="s">
        <v>3141</v>
      </c>
      <c r="D1369" t="s">
        <v>560</v>
      </c>
      <c r="E1369" t="s">
        <v>1019</v>
      </c>
      <c r="F1369" t="s">
        <v>1020</v>
      </c>
      <c r="G1369" t="str">
        <f>CONCATENATE(Master_Packing_Database[[#This Row],[Exp '#]],Master_Packing_Database[[#This Row],[Batch '#]])</f>
        <v>2415thPart load with 2425</v>
      </c>
      <c r="H1369" t="s">
        <v>1021</v>
      </c>
      <c r="I1369" t="s">
        <v>375</v>
      </c>
      <c r="J1369" t="s">
        <v>117</v>
      </c>
      <c r="K1369" t="s">
        <v>6000</v>
      </c>
      <c r="L1369" t="s">
        <v>116</v>
      </c>
      <c r="M1369" t="s">
        <v>116</v>
      </c>
      <c r="N1369" t="s">
        <v>6001</v>
      </c>
      <c r="O1369" t="s">
        <v>6002</v>
      </c>
      <c r="V1369" t="s">
        <v>6003</v>
      </c>
      <c r="X1369" t="s">
        <v>2643</v>
      </c>
      <c r="Y1369" t="s">
        <v>6004</v>
      </c>
      <c r="Z1369" t="s">
        <v>1303</v>
      </c>
      <c r="AB1369" t="s">
        <v>2639</v>
      </c>
      <c r="AE1369" t="s">
        <v>6005</v>
      </c>
      <c r="AG1369" t="s">
        <v>6004</v>
      </c>
      <c r="AI1369" t="s">
        <v>29</v>
      </c>
      <c r="AK1369" t="s">
        <v>6006</v>
      </c>
      <c r="AL1369" t="s">
        <v>1268</v>
      </c>
      <c r="AN1369">
        <v>0</v>
      </c>
      <c r="AO1369" t="s">
        <v>1834</v>
      </c>
      <c r="AP1369" t="s">
        <v>1834</v>
      </c>
      <c r="AQ1369">
        <v>0</v>
      </c>
      <c r="AR1369" t="s">
        <v>1758</v>
      </c>
    </row>
    <row r="1370" spans="1:44" x14ac:dyDescent="0.25">
      <c r="A1370" t="s">
        <v>3141</v>
      </c>
      <c r="D1370" t="s">
        <v>560</v>
      </c>
      <c r="E1370" t="s">
        <v>1051</v>
      </c>
      <c r="F1370" t="s">
        <v>6007</v>
      </c>
      <c r="G1370" t="str">
        <f>CONCATENATE(Master_Packing_Database[[#This Row],[Exp '#]],Master_Packing_Database[[#This Row],[Batch '#]])</f>
        <v>2425th1st Part load with 2415</v>
      </c>
      <c r="H1370" t="s">
        <v>6008</v>
      </c>
      <c r="I1370" t="s">
        <v>120</v>
      </c>
      <c r="J1370" t="s">
        <v>117</v>
      </c>
      <c r="K1370" t="s">
        <v>6009</v>
      </c>
      <c r="L1370" t="s">
        <v>1016</v>
      </c>
      <c r="M1370" t="s">
        <v>1016</v>
      </c>
      <c r="N1370" t="s">
        <v>6010</v>
      </c>
      <c r="O1370" t="s">
        <v>6011</v>
      </c>
      <c r="V1370" t="s">
        <v>6003</v>
      </c>
      <c r="X1370" t="s">
        <v>2643</v>
      </c>
      <c r="Y1370" t="s">
        <v>6004</v>
      </c>
      <c r="Z1370" t="s">
        <v>1303</v>
      </c>
      <c r="AB1370" t="s">
        <v>2639</v>
      </c>
      <c r="AE1370" t="s">
        <v>6005</v>
      </c>
      <c r="AG1370" t="s">
        <v>6004</v>
      </c>
      <c r="AI1370" t="s">
        <v>29</v>
      </c>
      <c r="AK1370" t="s">
        <v>6006</v>
      </c>
      <c r="AL1370" t="s">
        <v>1268</v>
      </c>
      <c r="AN1370">
        <v>0</v>
      </c>
      <c r="AO1370" t="s">
        <v>1834</v>
      </c>
      <c r="AP1370" t="s">
        <v>1834</v>
      </c>
      <c r="AQ1370">
        <v>0</v>
      </c>
      <c r="AR1370" t="s">
        <v>1758</v>
      </c>
    </row>
    <row r="1371" spans="1:44" x14ac:dyDescent="0.25">
      <c r="A1371" t="s">
        <v>3141</v>
      </c>
      <c r="D1371" t="s">
        <v>1158</v>
      </c>
      <c r="E1371" t="s">
        <v>1157</v>
      </c>
      <c r="F1371" t="s">
        <v>422</v>
      </c>
      <c r="G1371" t="str">
        <f>CONCATENATE(Master_Packing_Database[[#This Row],[Exp '#]],Master_Packing_Database[[#This Row],[Batch '#]])</f>
        <v>25-0252nd</v>
      </c>
      <c r="H1371" t="s">
        <v>1159</v>
      </c>
      <c r="I1371" t="s">
        <v>1160</v>
      </c>
      <c r="J1371" t="s">
        <v>117</v>
      </c>
      <c r="K1371" t="s">
        <v>1147</v>
      </c>
      <c r="L1371" t="s">
        <v>599</v>
      </c>
      <c r="M1371" t="s">
        <v>116</v>
      </c>
      <c r="N1371" t="s">
        <v>1161</v>
      </c>
      <c r="O1371" t="s">
        <v>1162</v>
      </c>
      <c r="V1371" t="s">
        <v>32</v>
      </c>
      <c r="X1371" t="s">
        <v>6012</v>
      </c>
      <c r="Z1371" t="s">
        <v>6013</v>
      </c>
      <c r="AB1371" t="s">
        <v>4011</v>
      </c>
      <c r="AE1371" t="s">
        <v>6012</v>
      </c>
      <c r="AG1371" t="s">
        <v>1303</v>
      </c>
      <c r="AI1371" t="s">
        <v>29</v>
      </c>
      <c r="AK1371" t="s">
        <v>4321</v>
      </c>
      <c r="AL1371" t="s">
        <v>1268</v>
      </c>
      <c r="AN1371">
        <v>0</v>
      </c>
      <c r="AO1371" t="s">
        <v>1834</v>
      </c>
      <c r="AP1371" t="s">
        <v>1834</v>
      </c>
      <c r="AQ1371">
        <v>0</v>
      </c>
      <c r="AR1371" t="s">
        <v>1758</v>
      </c>
    </row>
    <row r="1372" spans="1:44" x14ac:dyDescent="0.25">
      <c r="A1372" t="s">
        <v>3141</v>
      </c>
      <c r="D1372" t="s">
        <v>1467</v>
      </c>
      <c r="E1372" t="s">
        <v>1466</v>
      </c>
      <c r="F1372" t="s">
        <v>1755</v>
      </c>
      <c r="G1372" t="str">
        <f>CONCATENATE(Master_Packing_Database[[#This Row],[Exp '#]],Master_Packing_Database[[#This Row],[Batch '#]])</f>
        <v>MO-0164-</v>
      </c>
      <c r="H1372" t="s">
        <v>1468</v>
      </c>
      <c r="I1372" t="s">
        <v>1469</v>
      </c>
      <c r="J1372" t="s">
        <v>1371</v>
      </c>
      <c r="K1372" t="s">
        <v>1147</v>
      </c>
      <c r="L1372" t="s">
        <v>835</v>
      </c>
      <c r="M1372" t="s">
        <v>116</v>
      </c>
      <c r="N1372" t="s">
        <v>333</v>
      </c>
      <c r="O1372" t="s">
        <v>6014</v>
      </c>
      <c r="V1372" t="s">
        <v>32</v>
      </c>
      <c r="X1372" t="s">
        <v>2557</v>
      </c>
      <c r="Z1372" t="s">
        <v>264</v>
      </c>
      <c r="AE1372" t="s">
        <v>2557</v>
      </c>
      <c r="AG1372" t="s">
        <v>1303</v>
      </c>
      <c r="AI1372" t="s">
        <v>29</v>
      </c>
      <c r="AK1372" t="s">
        <v>4321</v>
      </c>
      <c r="AL1372" t="s">
        <v>1268</v>
      </c>
      <c r="AN1372">
        <v>0</v>
      </c>
      <c r="AO1372" t="s">
        <v>1834</v>
      </c>
      <c r="AP1372" t="s">
        <v>1834</v>
      </c>
      <c r="AQ1372">
        <v>0</v>
      </c>
      <c r="AR1372" t="s">
        <v>1758</v>
      </c>
    </row>
    <row r="1373" spans="1:44" x14ac:dyDescent="0.25">
      <c r="A1373" t="s">
        <v>3141</v>
      </c>
      <c r="D1373" t="s">
        <v>1433</v>
      </c>
      <c r="E1373" t="s">
        <v>1440</v>
      </c>
      <c r="F1373" t="s">
        <v>1755</v>
      </c>
      <c r="G1373" t="str">
        <f>CONCATENATE(Master_Packing_Database[[#This Row],[Exp '#]],Master_Packing_Database[[#This Row],[Batch '#]])</f>
        <v>MO-0150-</v>
      </c>
      <c r="H1373" t="s">
        <v>1441</v>
      </c>
      <c r="I1373" t="s">
        <v>1227</v>
      </c>
      <c r="J1373" t="s">
        <v>366</v>
      </c>
      <c r="K1373" t="s">
        <v>1147</v>
      </c>
      <c r="L1373" t="s">
        <v>849</v>
      </c>
      <c r="M1373" t="s">
        <v>116</v>
      </c>
      <c r="N1373" t="s">
        <v>4215</v>
      </c>
      <c r="O1373" t="s">
        <v>5286</v>
      </c>
      <c r="V1373" t="s">
        <v>32</v>
      </c>
      <c r="X1373" t="s">
        <v>2639</v>
      </c>
      <c r="Z1373" t="s">
        <v>2640</v>
      </c>
      <c r="AE1373" t="s">
        <v>2639</v>
      </c>
      <c r="AG1373" t="s">
        <v>1303</v>
      </c>
      <c r="AI1373" t="s">
        <v>29</v>
      </c>
      <c r="AK1373" t="s">
        <v>4321</v>
      </c>
      <c r="AL1373" t="s">
        <v>1268</v>
      </c>
      <c r="AN1373">
        <v>0</v>
      </c>
      <c r="AO1373" t="s">
        <v>1834</v>
      </c>
      <c r="AP1373" t="s">
        <v>1834</v>
      </c>
      <c r="AQ1373">
        <v>0</v>
      </c>
      <c r="AR1373" t="s">
        <v>1758</v>
      </c>
    </row>
    <row r="1374" spans="1:44" x14ac:dyDescent="0.25">
      <c r="A1374" t="s">
        <v>3141</v>
      </c>
      <c r="D1374" t="s">
        <v>1158</v>
      </c>
      <c r="E1374" t="s">
        <v>1372</v>
      </c>
      <c r="F1374" t="s">
        <v>1755</v>
      </c>
      <c r="G1374" t="str">
        <f>CONCATENATE(Master_Packing_Database[[#This Row],[Exp '#]],Master_Packing_Database[[#This Row],[Batch '#]])</f>
        <v>MO-0136-</v>
      </c>
      <c r="H1374" t="s">
        <v>1373</v>
      </c>
      <c r="I1374" t="s">
        <v>1227</v>
      </c>
      <c r="J1374" t="s">
        <v>366</v>
      </c>
      <c r="K1374" t="s">
        <v>1147</v>
      </c>
      <c r="L1374" t="s">
        <v>226</v>
      </c>
      <c r="M1374" t="s">
        <v>599</v>
      </c>
      <c r="N1374" t="s">
        <v>1374</v>
      </c>
      <c r="O1374" t="s">
        <v>1375</v>
      </c>
      <c r="V1374" t="s">
        <v>32</v>
      </c>
      <c r="X1374" t="s">
        <v>4308</v>
      </c>
      <c r="Z1374" t="s">
        <v>4309</v>
      </c>
      <c r="AB1374" t="s">
        <v>3054</v>
      </c>
      <c r="AE1374" t="s">
        <v>4308</v>
      </c>
      <c r="AG1374" t="s">
        <v>1303</v>
      </c>
      <c r="AI1374" t="s">
        <v>29</v>
      </c>
      <c r="AK1374" t="s">
        <v>4321</v>
      </c>
      <c r="AL1374" t="s">
        <v>1268</v>
      </c>
      <c r="AN1374">
        <v>0</v>
      </c>
      <c r="AO1374" t="s">
        <v>1834</v>
      </c>
      <c r="AP1374" t="s">
        <v>1834</v>
      </c>
      <c r="AQ1374">
        <v>0</v>
      </c>
      <c r="AR1374" t="s">
        <v>1758</v>
      </c>
    </row>
    <row r="1375" spans="1:44" x14ac:dyDescent="0.25">
      <c r="A1375" t="s">
        <v>3141</v>
      </c>
      <c r="D1375" t="s">
        <v>281</v>
      </c>
      <c r="E1375" t="s">
        <v>967</v>
      </c>
      <c r="F1375" t="s">
        <v>1755</v>
      </c>
      <c r="G1375" t="str">
        <f>CONCATENATE(Master_Packing_Database[[#This Row],[Exp '#]],Master_Packing_Database[[#This Row],[Batch '#]])</f>
        <v>2403rd-</v>
      </c>
      <c r="H1375" t="s">
        <v>968</v>
      </c>
      <c r="I1375" t="s">
        <v>969</v>
      </c>
      <c r="J1375" t="s">
        <v>366</v>
      </c>
      <c r="K1375" t="s">
        <v>32</v>
      </c>
      <c r="L1375" t="s">
        <v>970</v>
      </c>
      <c r="M1375" t="s">
        <v>835</v>
      </c>
      <c r="N1375" t="s">
        <v>971</v>
      </c>
      <c r="O1375" t="s">
        <v>972</v>
      </c>
      <c r="V1375" t="s">
        <v>2656</v>
      </c>
      <c r="X1375" t="s">
        <v>2643</v>
      </c>
      <c r="Y1375" t="s">
        <v>3412</v>
      </c>
      <c r="Z1375" t="s">
        <v>1425</v>
      </c>
      <c r="AB1375" t="s">
        <v>2639</v>
      </c>
      <c r="AE1375" t="s">
        <v>2643</v>
      </c>
      <c r="AG1375" t="s">
        <v>1303</v>
      </c>
      <c r="AI1375" t="s">
        <v>29</v>
      </c>
      <c r="AK1375" t="s">
        <v>4321</v>
      </c>
      <c r="AL1375" t="s">
        <v>1268</v>
      </c>
      <c r="AN1375">
        <v>0</v>
      </c>
      <c r="AO1375" t="s">
        <v>1834</v>
      </c>
      <c r="AP1375" t="s">
        <v>1834</v>
      </c>
      <c r="AQ1375">
        <v>0</v>
      </c>
      <c r="AR1375" t="s">
        <v>1758</v>
      </c>
    </row>
    <row r="1376" spans="1:44" x14ac:dyDescent="0.25">
      <c r="A1376" t="s">
        <v>3141</v>
      </c>
      <c r="D1376" t="s">
        <v>1090</v>
      </c>
      <c r="E1376" t="s">
        <v>1114</v>
      </c>
      <c r="F1376" t="s">
        <v>1755</v>
      </c>
      <c r="G1376" t="str">
        <f>CONCATENATE(Master_Packing_Database[[#This Row],[Exp '#]],Master_Packing_Database[[#This Row],[Batch '#]])</f>
        <v>2446th-</v>
      </c>
      <c r="H1376" t="s">
        <v>1115</v>
      </c>
      <c r="I1376" t="s">
        <v>1116</v>
      </c>
      <c r="J1376" t="s">
        <v>366</v>
      </c>
      <c r="K1376" t="s">
        <v>3372</v>
      </c>
      <c r="L1376" t="s">
        <v>835</v>
      </c>
      <c r="M1376" t="s">
        <v>116</v>
      </c>
      <c r="N1376" t="s">
        <v>764</v>
      </c>
      <c r="O1376" t="s">
        <v>3341</v>
      </c>
      <c r="V1376" t="s">
        <v>32</v>
      </c>
      <c r="X1376" t="s">
        <v>2643</v>
      </c>
      <c r="Z1376" t="s">
        <v>1425</v>
      </c>
      <c r="AB1376" t="s">
        <v>2639</v>
      </c>
      <c r="AE1376" t="s">
        <v>2643</v>
      </c>
      <c r="AG1376" t="s">
        <v>1303</v>
      </c>
      <c r="AI1376" t="s">
        <v>29</v>
      </c>
      <c r="AK1376" t="s">
        <v>4321</v>
      </c>
      <c r="AL1376" t="s">
        <v>1268</v>
      </c>
      <c r="AN1376">
        <v>0</v>
      </c>
      <c r="AO1376" t="s">
        <v>1834</v>
      </c>
      <c r="AP1376" t="s">
        <v>1834</v>
      </c>
      <c r="AQ1376">
        <v>0</v>
      </c>
      <c r="AR1376" t="s">
        <v>1758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20"/>
  <sheetViews>
    <sheetView showGridLines="0" zoomScaleNormal="100" workbookViewId="0">
      <selection activeCell="G26" sqref="G26"/>
    </sheetView>
  </sheetViews>
  <sheetFormatPr defaultColWidth="8.5703125" defaultRowHeight="15" x14ac:dyDescent="0.25"/>
  <cols>
    <col min="1" max="1" width="5" customWidth="1"/>
    <col min="2" max="2" width="42" customWidth="1"/>
    <col min="3" max="5" width="12" customWidth="1"/>
  </cols>
  <sheetData>
    <row r="1" spans="1:6" ht="27.75" customHeight="1" x14ac:dyDescent="0.25">
      <c r="A1" s="20" t="s">
        <v>1566</v>
      </c>
      <c r="B1" s="20"/>
      <c r="C1" s="20"/>
      <c r="D1" s="20"/>
      <c r="E1" s="20"/>
      <c r="F1" s="20"/>
    </row>
    <row r="2" spans="1:6" ht="15" customHeight="1" x14ac:dyDescent="0.25">
      <c r="A2" s="21"/>
      <c r="B2" s="21"/>
      <c r="C2" s="21"/>
      <c r="D2" s="21"/>
      <c r="E2" s="21"/>
      <c r="F2" s="21"/>
    </row>
    <row r="4" spans="1:6" ht="15" customHeight="1" x14ac:dyDescent="0.25">
      <c r="A4" s="8" t="s">
        <v>1567</v>
      </c>
      <c r="B4" s="8" t="s">
        <v>1568</v>
      </c>
      <c r="C4" s="8" t="s">
        <v>1569</v>
      </c>
      <c r="D4" s="8" t="s">
        <v>1570</v>
      </c>
      <c r="E4" s="8" t="s">
        <v>1571</v>
      </c>
    </row>
    <row r="5" spans="1:6" ht="15" customHeight="1" x14ac:dyDescent="0.25">
      <c r="A5" s="4">
        <v>1</v>
      </c>
      <c r="B5" s="5" t="s">
        <v>1572</v>
      </c>
      <c r="C5" s="9">
        <f>COUNTA(#REF!)</f>
        <v>1</v>
      </c>
      <c r="D5" s="4" t="s">
        <v>1573</v>
      </c>
      <c r="E5" s="9" t="str">
        <f>"INFO"</f>
        <v>INFO</v>
      </c>
    </row>
    <row r="6" spans="1:6" ht="15" customHeight="1" x14ac:dyDescent="0.25">
      <c r="A6" s="4">
        <v>2</v>
      </c>
      <c r="B6" s="5" t="s">
        <v>1574</v>
      </c>
      <c r="C6" s="9" t="e">
        <f>SUMPRODUCT((COUNTIF(#REF!,#REF!)&gt;1)*1)/2</f>
        <v>#REF!</v>
      </c>
      <c r="D6" s="4" t="s">
        <v>1575</v>
      </c>
      <c r="E6" s="9" t="e">
        <f>IF(C6=0,"OK","CHECK")</f>
        <v>#REF!</v>
      </c>
    </row>
    <row r="7" spans="1:6" ht="15" customHeight="1" x14ac:dyDescent="0.25">
      <c r="A7" s="4">
        <v>3</v>
      </c>
      <c r="B7" s="5" t="s">
        <v>1576</v>
      </c>
      <c r="C7" s="9" t="e">
        <f>COUNTBLANK(#REF!)+COUNTIF(#REF!,"")</f>
        <v>#REF!</v>
      </c>
      <c r="D7" s="4" t="s">
        <v>1575</v>
      </c>
      <c r="E7" s="9" t="e">
        <f>IF(C7=0,"OK","CHECK")</f>
        <v>#REF!</v>
      </c>
    </row>
    <row r="8" spans="1:6" ht="15" customHeight="1" x14ac:dyDescent="0.25">
      <c r="A8" s="4">
        <v>4</v>
      </c>
      <c r="B8" s="5" t="s">
        <v>1577</v>
      </c>
      <c r="C8" s="9" t="e">
        <f>COUNTIF(#REF!,"")</f>
        <v>#REF!</v>
      </c>
      <c r="D8" s="4" t="s">
        <v>1578</v>
      </c>
      <c r="E8" s="9" t="e">
        <f>IF(C8=0,"OK","REVIEW")</f>
        <v>#REF!</v>
      </c>
    </row>
    <row r="9" spans="1:6" ht="15" customHeight="1" x14ac:dyDescent="0.25">
      <c r="A9" s="4">
        <v>5</v>
      </c>
      <c r="B9" s="5" t="s">
        <v>1579</v>
      </c>
      <c r="C9" s="9" t="e">
        <f>COUNTIFS(#REF!,"No")</f>
        <v>#REF!</v>
      </c>
      <c r="D9" s="4" t="s">
        <v>1578</v>
      </c>
      <c r="E9" s="9" t="e">
        <f>IF(C9=0,"OK","REVIEW")</f>
        <v>#REF!</v>
      </c>
    </row>
    <row r="10" spans="1:6" ht="15" customHeight="1" x14ac:dyDescent="0.25">
      <c r="A10" s="4">
        <v>6</v>
      </c>
      <c r="B10" s="5" t="s">
        <v>1580</v>
      </c>
      <c r="C10" s="9" t="e">
        <f>COUNTIFS(#REF!,"No")</f>
        <v>#REF!</v>
      </c>
      <c r="D10" s="4" t="s">
        <v>1578</v>
      </c>
      <c r="E10" s="9" t="e">
        <f>IF(C10=0,"OK","REVIEW")</f>
        <v>#REF!</v>
      </c>
    </row>
    <row r="11" spans="1:6" ht="15" customHeight="1" x14ac:dyDescent="0.25">
      <c r="A11" s="4">
        <v>7</v>
      </c>
      <c r="B11" s="5" t="s">
        <v>1581</v>
      </c>
      <c r="C11" s="9" t="e">
        <f>COUNTIFS(#REF!,"No")</f>
        <v>#REF!</v>
      </c>
      <c r="D11" s="4" t="s">
        <v>1578</v>
      </c>
      <c r="E11" s="9" t="e">
        <f>IF(C11=0,"OK","REVIEW")</f>
        <v>#REF!</v>
      </c>
    </row>
    <row r="12" spans="1:6" ht="15" customHeight="1" x14ac:dyDescent="0.25">
      <c r="A12" s="4">
        <v>8</v>
      </c>
      <c r="B12" s="5" t="s">
        <v>1582</v>
      </c>
      <c r="C12" s="9" t="e">
        <f>COUNTIFS(#REF!,1)</f>
        <v>#REF!</v>
      </c>
      <c r="D12" s="4" t="s">
        <v>1578</v>
      </c>
      <c r="E12" s="9" t="e">
        <f>IF(C12=0,"OK","REVIEW")</f>
        <v>#REF!</v>
      </c>
    </row>
    <row r="13" spans="1:6" ht="15" customHeight="1" x14ac:dyDescent="0.25">
      <c r="A13" s="4">
        <v>9</v>
      </c>
      <c r="B13" s="5" t="s">
        <v>1583</v>
      </c>
      <c r="C13" s="9" t="e">
        <f>COUNTIFS(#REF!,4)</f>
        <v>#REF!</v>
      </c>
      <c r="D13" s="4" t="s">
        <v>1573</v>
      </c>
      <c r="E13" s="9" t="str">
        <f>"INFO"</f>
        <v>INFO</v>
      </c>
    </row>
    <row r="14" spans="1:6" ht="15" customHeight="1" x14ac:dyDescent="0.25">
      <c r="A14" s="4">
        <v>10</v>
      </c>
      <c r="B14" s="5" t="s">
        <v>1584</v>
      </c>
      <c r="C14" s="9" t="e">
        <f>SUMPRODUCT((ISNUMBER(#REF!))*(ISNUMBER(#REF!))*(#REF!&gt;#REF!))</f>
        <v>#REF!</v>
      </c>
      <c r="D14" s="4" t="s">
        <v>1575</v>
      </c>
      <c r="E14" s="9" t="e">
        <f>IF(C14=0,"OK","CHECK")</f>
        <v>#REF!</v>
      </c>
    </row>
    <row r="15" spans="1:6" ht="15" customHeight="1" x14ac:dyDescent="0.25">
      <c r="A15" s="4">
        <v>11</v>
      </c>
      <c r="B15" s="5" t="s">
        <v>1585</v>
      </c>
      <c r="C15" s="9" t="e">
        <f>COUNTIFS(#REF!,"Pending")</f>
        <v>#REF!</v>
      </c>
      <c r="D15" s="4" t="s">
        <v>1578</v>
      </c>
      <c r="E15" s="9" t="e">
        <f>IF(C15=0,"OK","REVIEW")</f>
        <v>#REF!</v>
      </c>
    </row>
    <row r="16" spans="1:6" ht="15" customHeight="1" x14ac:dyDescent="0.25">
      <c r="A16" s="4">
        <v>12</v>
      </c>
      <c r="B16" s="5" t="s">
        <v>1586</v>
      </c>
      <c r="C16" s="9" t="e">
        <f>COUNTIFS(#REF!,"Pending")</f>
        <v>#REF!</v>
      </c>
      <c r="D16" s="4" t="s">
        <v>1578</v>
      </c>
      <c r="E16" s="9" t="e">
        <f>IF(C16=0,"OK","REVIEW")</f>
        <v>#REF!</v>
      </c>
    </row>
    <row r="19" spans="2:5" ht="15" customHeight="1" x14ac:dyDescent="0.25">
      <c r="B19" s="10" t="s">
        <v>1587</v>
      </c>
    </row>
    <row r="20" spans="2:5" ht="15" customHeight="1" x14ac:dyDescent="0.25">
      <c r="B20" s="22" t="str">
        <f ca="1">IFERROR(textjoin(", ",TRUE(),IF(COUNTIF(#REF!,#REF!)&gt;1,#REF!,"")),"None")</f>
        <v>None</v>
      </c>
      <c r="C20" s="22"/>
      <c r="D20" s="22"/>
      <c r="E20" s="22"/>
    </row>
  </sheetData>
  <mergeCells count="3">
    <mergeCell ref="A1:F1"/>
    <mergeCell ref="A2:F2"/>
    <mergeCell ref="B20:E20"/>
  </mergeCells>
  <conditionalFormatting sqref="E5:E16">
    <cfRule type="cellIs" dxfId="5" priority="2" operator="equal">
      <formula>"OK"</formula>
    </cfRule>
    <cfRule type="cellIs" dxfId="4" priority="3" operator="equal">
      <formula>"CHECK"</formula>
    </cfRule>
    <cfRule type="cellIs" dxfId="3" priority="4" operator="equal">
      <formula>"REVIEW"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12"/>
  <sheetViews>
    <sheetView showGridLines="0" zoomScaleNormal="100" workbookViewId="0">
      <selection activeCell="F15" sqref="F15"/>
    </sheetView>
  </sheetViews>
  <sheetFormatPr defaultColWidth="8.5703125" defaultRowHeight="15" x14ac:dyDescent="0.25"/>
  <cols>
    <col min="1" max="7" width="20" customWidth="1"/>
  </cols>
  <sheetData>
    <row r="1" spans="1:8" ht="25.5" customHeight="1" x14ac:dyDescent="0.35">
      <c r="A1" s="23" t="s">
        <v>1588</v>
      </c>
      <c r="B1" s="23"/>
      <c r="C1" s="23"/>
      <c r="D1" s="23"/>
      <c r="E1" s="23"/>
      <c r="F1" s="23"/>
      <c r="G1" s="23"/>
      <c r="H1" s="23"/>
    </row>
    <row r="3" spans="1:8" ht="15" customHeight="1" x14ac:dyDescent="0.25">
      <c r="A3" s="11" t="s">
        <v>1589</v>
      </c>
      <c r="B3" s="11" t="s">
        <v>1590</v>
      </c>
      <c r="C3" s="11" t="s">
        <v>1591</v>
      </c>
      <c r="D3" s="11" t="s">
        <v>64</v>
      </c>
      <c r="E3" s="11" t="s">
        <v>1592</v>
      </c>
      <c r="F3" s="11" t="s">
        <v>54</v>
      </c>
      <c r="G3" s="11" t="s">
        <v>1593</v>
      </c>
    </row>
    <row r="4" spans="1:8" ht="15" customHeight="1" x14ac:dyDescent="0.25">
      <c r="A4" s="3" t="s">
        <v>21</v>
      </c>
      <c r="B4" s="3" t="s">
        <v>32</v>
      </c>
      <c r="C4" s="3" t="s">
        <v>32</v>
      </c>
      <c r="D4" s="3" t="s">
        <v>125</v>
      </c>
      <c r="E4" s="3" t="s">
        <v>1594</v>
      </c>
      <c r="F4" s="3" t="s">
        <v>113</v>
      </c>
      <c r="G4" s="3" t="s">
        <v>107</v>
      </c>
    </row>
    <row r="5" spans="1:8" ht="15" customHeight="1" x14ac:dyDescent="0.25">
      <c r="A5" s="3" t="s">
        <v>25</v>
      </c>
      <c r="B5" s="3" t="s">
        <v>915</v>
      </c>
      <c r="C5" s="3" t="s">
        <v>28</v>
      </c>
      <c r="D5" s="3" t="s">
        <v>181</v>
      </c>
      <c r="E5" s="3" t="s">
        <v>1595</v>
      </c>
      <c r="F5" s="3" t="s">
        <v>1141</v>
      </c>
      <c r="G5" s="3" t="s">
        <v>106</v>
      </c>
    </row>
    <row r="6" spans="1:8" ht="15" customHeight="1" x14ac:dyDescent="0.25">
      <c r="A6" s="3" t="s">
        <v>29</v>
      </c>
      <c r="B6" s="3" t="s">
        <v>940</v>
      </c>
      <c r="C6" s="3" t="s">
        <v>24</v>
      </c>
      <c r="D6" s="3" t="s">
        <v>157</v>
      </c>
      <c r="E6" s="3" t="s">
        <v>631</v>
      </c>
      <c r="F6" s="3" t="s">
        <v>1596</v>
      </c>
      <c r="G6" s="3" t="s">
        <v>1147</v>
      </c>
    </row>
    <row r="7" spans="1:8" ht="15" customHeight="1" x14ac:dyDescent="0.25">
      <c r="A7" s="3" t="s">
        <v>33</v>
      </c>
      <c r="B7" s="3" t="s">
        <v>525</v>
      </c>
      <c r="C7" s="3" t="s">
        <v>1597</v>
      </c>
      <c r="D7" s="3" t="s">
        <v>1598</v>
      </c>
      <c r="E7" s="3" t="s">
        <v>1599</v>
      </c>
      <c r="F7" s="3" t="s">
        <v>1600</v>
      </c>
    </row>
    <row r="8" spans="1:8" ht="15" customHeight="1" x14ac:dyDescent="0.25">
      <c r="A8" s="3" t="s">
        <v>36</v>
      </c>
      <c r="B8" s="3" t="s">
        <v>889</v>
      </c>
      <c r="C8" s="3" t="s">
        <v>1601</v>
      </c>
      <c r="D8" s="3" t="s">
        <v>710</v>
      </c>
      <c r="F8" s="3" t="s">
        <v>1602</v>
      </c>
    </row>
    <row r="9" spans="1:8" ht="15" customHeight="1" x14ac:dyDescent="0.25">
      <c r="A9" s="3" t="s">
        <v>39</v>
      </c>
      <c r="B9" s="3" t="s">
        <v>29</v>
      </c>
      <c r="C9" s="3" t="s">
        <v>1603</v>
      </c>
      <c r="D9" s="3" t="s">
        <v>630</v>
      </c>
    </row>
    <row r="10" spans="1:8" ht="15" customHeight="1" x14ac:dyDescent="0.25">
      <c r="A10" s="3" t="s">
        <v>42</v>
      </c>
      <c r="D10" s="3" t="s">
        <v>118</v>
      </c>
    </row>
    <row r="11" spans="1:8" ht="15" customHeight="1" x14ac:dyDescent="0.25">
      <c r="A11" s="3" t="s">
        <v>45</v>
      </c>
      <c r="D11" s="3" t="s">
        <v>1604</v>
      </c>
    </row>
    <row r="12" spans="1:8" ht="15" customHeight="1" x14ac:dyDescent="0.25">
      <c r="A12" s="3" t="s">
        <v>47</v>
      </c>
      <c r="D12" s="3" t="s">
        <v>782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61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defaultColWidth="8.5703125" defaultRowHeight="15" x14ac:dyDescent="0.25"/>
  <cols>
    <col min="1" max="1" width="22" customWidth="1"/>
    <col min="2" max="2" width="20" customWidth="1"/>
    <col min="3" max="4" width="26" customWidth="1"/>
    <col min="5" max="5" width="20" customWidth="1"/>
    <col min="6" max="6" width="60" customWidth="1"/>
  </cols>
  <sheetData>
    <row r="1" spans="1:6" ht="25.5" customHeight="1" x14ac:dyDescent="0.25">
      <c r="A1" s="25" t="s">
        <v>1605</v>
      </c>
      <c r="B1" s="25"/>
      <c r="C1" s="25"/>
      <c r="D1" s="25"/>
      <c r="E1" s="25"/>
      <c r="F1" s="25"/>
    </row>
    <row r="2" spans="1:6" x14ac:dyDescent="0.25">
      <c r="A2" s="26" t="s">
        <v>1606</v>
      </c>
      <c r="B2" s="26"/>
      <c r="C2" s="26"/>
      <c r="D2" s="26"/>
      <c r="E2" s="26"/>
      <c r="F2" s="26"/>
    </row>
    <row r="4" spans="1:6" ht="21.75" customHeight="1" x14ac:dyDescent="0.25">
      <c r="A4" s="12" t="s">
        <v>1607</v>
      </c>
      <c r="B4" s="12" t="s">
        <v>1608</v>
      </c>
      <c r="C4" s="12" t="s">
        <v>1609</v>
      </c>
      <c r="D4" s="12" t="s">
        <v>1610</v>
      </c>
      <c r="E4" s="12" t="s">
        <v>1611</v>
      </c>
      <c r="F4" s="12" t="s">
        <v>1612</v>
      </c>
    </row>
    <row r="5" spans="1:6" ht="24" x14ac:dyDescent="0.25">
      <c r="A5" s="13" t="s">
        <v>51</v>
      </c>
      <c r="B5" s="13" t="s">
        <v>1613</v>
      </c>
      <c r="C5" s="13" t="s">
        <v>1573</v>
      </c>
      <c r="D5" s="13" t="s">
        <v>1573</v>
      </c>
      <c r="E5" s="13" t="s">
        <v>1573</v>
      </c>
      <c r="F5" s="13" t="s">
        <v>1614</v>
      </c>
    </row>
    <row r="6" spans="1:6" ht="24" x14ac:dyDescent="0.25">
      <c r="A6" s="14" t="s">
        <v>52</v>
      </c>
      <c r="B6" s="14" t="s">
        <v>1615</v>
      </c>
      <c r="C6" s="14" t="s">
        <v>1573</v>
      </c>
      <c r="D6" s="14" t="s">
        <v>1616</v>
      </c>
      <c r="E6" s="14" t="s">
        <v>1617</v>
      </c>
      <c r="F6" s="14" t="s">
        <v>1618</v>
      </c>
    </row>
    <row r="7" spans="1:6" ht="24" x14ac:dyDescent="0.25">
      <c r="A7" s="15" t="s">
        <v>53</v>
      </c>
      <c r="B7" s="15" t="s">
        <v>1619</v>
      </c>
      <c r="C7" s="15" t="s">
        <v>1620</v>
      </c>
      <c r="D7" s="15" t="s">
        <v>1621</v>
      </c>
      <c r="E7" s="15" t="s">
        <v>1622</v>
      </c>
      <c r="F7" s="15" t="s">
        <v>1623</v>
      </c>
    </row>
    <row r="8" spans="1:6" ht="24" x14ac:dyDescent="0.25">
      <c r="A8" s="16" t="s">
        <v>54</v>
      </c>
      <c r="B8" s="16" t="s">
        <v>25</v>
      </c>
      <c r="C8" s="16" t="s">
        <v>1624</v>
      </c>
      <c r="D8" s="16" t="s">
        <v>1625</v>
      </c>
      <c r="E8" s="16" t="s">
        <v>52</v>
      </c>
      <c r="F8" s="16" t="s">
        <v>1626</v>
      </c>
    </row>
    <row r="9" spans="1:6" ht="24" x14ac:dyDescent="0.25">
      <c r="A9" s="16" t="s">
        <v>55</v>
      </c>
      <c r="B9" s="16" t="s">
        <v>1627</v>
      </c>
      <c r="C9" s="16" t="s">
        <v>1624</v>
      </c>
      <c r="D9" s="16" t="s">
        <v>55</v>
      </c>
      <c r="E9" s="16" t="s">
        <v>52</v>
      </c>
      <c r="F9" s="16" t="s">
        <v>1628</v>
      </c>
    </row>
    <row r="10" spans="1:6" ht="24" x14ac:dyDescent="0.25">
      <c r="A10" s="16" t="s">
        <v>56</v>
      </c>
      <c r="B10" s="16" t="s">
        <v>1627</v>
      </c>
      <c r="C10" s="16" t="s">
        <v>1624</v>
      </c>
      <c r="D10" s="16" t="s">
        <v>1629</v>
      </c>
      <c r="E10" s="16" t="s">
        <v>52</v>
      </c>
      <c r="F10" s="16" t="s">
        <v>1630</v>
      </c>
    </row>
    <row r="11" spans="1:6" ht="24" x14ac:dyDescent="0.25">
      <c r="A11" s="16" t="s">
        <v>57</v>
      </c>
      <c r="B11" s="16" t="s">
        <v>1627</v>
      </c>
      <c r="C11" s="16" t="s">
        <v>1624</v>
      </c>
      <c r="D11" s="16" t="s">
        <v>57</v>
      </c>
      <c r="E11" s="16" t="s">
        <v>52</v>
      </c>
      <c r="F11" s="16" t="s">
        <v>1631</v>
      </c>
    </row>
    <row r="12" spans="1:6" ht="24" x14ac:dyDescent="0.25">
      <c r="A12" s="16" t="s">
        <v>58</v>
      </c>
      <c r="B12" s="16" t="s">
        <v>25</v>
      </c>
      <c r="C12" s="16" t="s">
        <v>1624</v>
      </c>
      <c r="D12" s="16" t="s">
        <v>1632</v>
      </c>
      <c r="E12" s="16" t="s">
        <v>52</v>
      </c>
      <c r="F12" s="16" t="s">
        <v>1633</v>
      </c>
    </row>
    <row r="13" spans="1:6" x14ac:dyDescent="0.25">
      <c r="A13" s="16" t="s">
        <v>59</v>
      </c>
      <c r="B13" s="16" t="s">
        <v>1627</v>
      </c>
      <c r="C13" s="16" t="s">
        <v>1624</v>
      </c>
      <c r="D13" s="16" t="s">
        <v>1634</v>
      </c>
      <c r="E13" s="16" t="s">
        <v>52</v>
      </c>
      <c r="F13" s="16" t="s">
        <v>1635</v>
      </c>
    </row>
    <row r="14" spans="1:6" ht="24" x14ac:dyDescent="0.25">
      <c r="A14" s="16" t="s">
        <v>60</v>
      </c>
      <c r="B14" s="16" t="s">
        <v>1627</v>
      </c>
      <c r="C14" s="16" t="s">
        <v>1624</v>
      </c>
      <c r="D14" s="16" t="s">
        <v>1636</v>
      </c>
      <c r="E14" s="16" t="s">
        <v>52</v>
      </c>
      <c r="F14" s="16" t="s">
        <v>1637</v>
      </c>
    </row>
    <row r="15" spans="1:6" ht="24" x14ac:dyDescent="0.25">
      <c r="A15" s="16" t="s">
        <v>61</v>
      </c>
      <c r="B15" s="16" t="s">
        <v>1627</v>
      </c>
      <c r="C15" s="16" t="s">
        <v>1624</v>
      </c>
      <c r="D15" s="16" t="s">
        <v>1638</v>
      </c>
      <c r="E15" s="16" t="s">
        <v>52</v>
      </c>
      <c r="F15" s="16" t="s">
        <v>1639</v>
      </c>
    </row>
    <row r="16" spans="1:6" x14ac:dyDescent="0.25">
      <c r="A16" s="16" t="s">
        <v>62</v>
      </c>
      <c r="B16" s="16" t="s">
        <v>1627</v>
      </c>
      <c r="C16" s="16" t="s">
        <v>1624</v>
      </c>
      <c r="D16" s="16" t="s">
        <v>62</v>
      </c>
      <c r="E16" s="16" t="s">
        <v>52</v>
      </c>
      <c r="F16" s="16" t="s">
        <v>1640</v>
      </c>
    </row>
    <row r="17" spans="1:6" x14ac:dyDescent="0.25">
      <c r="A17" s="16" t="s">
        <v>63</v>
      </c>
      <c r="B17" s="16" t="s">
        <v>25</v>
      </c>
      <c r="C17" s="16" t="s">
        <v>1624</v>
      </c>
      <c r="D17" s="16" t="s">
        <v>63</v>
      </c>
      <c r="E17" s="16" t="s">
        <v>52</v>
      </c>
      <c r="F17" s="16" t="s">
        <v>1641</v>
      </c>
    </row>
    <row r="18" spans="1:6" ht="24" x14ac:dyDescent="0.25">
      <c r="A18" s="16" t="s">
        <v>64</v>
      </c>
      <c r="B18" s="16" t="s">
        <v>1642</v>
      </c>
      <c r="C18" s="16" t="s">
        <v>1643</v>
      </c>
      <c r="D18" s="16" t="s">
        <v>1644</v>
      </c>
      <c r="E18" s="16" t="s">
        <v>52</v>
      </c>
      <c r="F18" s="16" t="s">
        <v>1645</v>
      </c>
    </row>
    <row r="19" spans="1:6" ht="36" x14ac:dyDescent="0.25">
      <c r="A19" s="16" t="s">
        <v>65</v>
      </c>
      <c r="B19" s="16" t="s">
        <v>1642</v>
      </c>
      <c r="C19" s="16" t="s">
        <v>1643</v>
      </c>
      <c r="D19" s="16" t="s">
        <v>1646</v>
      </c>
      <c r="E19" s="16" t="s">
        <v>52</v>
      </c>
      <c r="F19" s="16" t="s">
        <v>1647</v>
      </c>
    </row>
    <row r="20" spans="1:6" x14ac:dyDescent="0.25">
      <c r="A20" s="16" t="s">
        <v>66</v>
      </c>
      <c r="B20" s="16" t="s">
        <v>1648</v>
      </c>
      <c r="C20" s="16" t="s">
        <v>1643</v>
      </c>
      <c r="D20" s="16" t="s">
        <v>1565</v>
      </c>
      <c r="E20" s="16" t="s">
        <v>52</v>
      </c>
      <c r="F20" s="16" t="s">
        <v>1649</v>
      </c>
    </row>
    <row r="21" spans="1:6" x14ac:dyDescent="0.25">
      <c r="A21" s="16" t="s">
        <v>67</v>
      </c>
      <c r="B21" s="16" t="s">
        <v>1642</v>
      </c>
      <c r="C21" s="16" t="s">
        <v>1643</v>
      </c>
      <c r="D21" s="16" t="s">
        <v>67</v>
      </c>
      <c r="E21" s="16" t="s">
        <v>52</v>
      </c>
      <c r="F21" s="16" t="s">
        <v>1650</v>
      </c>
    </row>
    <row r="22" spans="1:6" x14ac:dyDescent="0.25">
      <c r="A22" s="16" t="s">
        <v>68</v>
      </c>
      <c r="B22" s="16" t="s">
        <v>25</v>
      </c>
      <c r="C22" s="16" t="s">
        <v>1624</v>
      </c>
      <c r="D22" s="16" t="s">
        <v>68</v>
      </c>
      <c r="E22" s="16" t="s">
        <v>52</v>
      </c>
      <c r="F22" s="16" t="s">
        <v>1651</v>
      </c>
    </row>
    <row r="23" spans="1:6" x14ac:dyDescent="0.25">
      <c r="A23" s="16" t="s">
        <v>69</v>
      </c>
      <c r="B23" s="16" t="s">
        <v>25</v>
      </c>
      <c r="C23" s="16" t="s">
        <v>1624</v>
      </c>
      <c r="D23" s="16" t="s">
        <v>1652</v>
      </c>
      <c r="E23" s="16" t="s">
        <v>52</v>
      </c>
      <c r="F23" s="16" t="s">
        <v>1653</v>
      </c>
    </row>
    <row r="24" spans="1:6" x14ac:dyDescent="0.25">
      <c r="A24" s="16" t="s">
        <v>70</v>
      </c>
      <c r="B24" s="16" t="s">
        <v>25</v>
      </c>
      <c r="C24" s="16" t="s">
        <v>1624</v>
      </c>
      <c r="D24" s="16" t="s">
        <v>1654</v>
      </c>
      <c r="E24" s="16" t="s">
        <v>52</v>
      </c>
      <c r="F24" s="16" t="s">
        <v>1655</v>
      </c>
    </row>
    <row r="25" spans="1:6" x14ac:dyDescent="0.25">
      <c r="A25" s="16" t="s">
        <v>71</v>
      </c>
      <c r="B25" s="16" t="s">
        <v>25</v>
      </c>
      <c r="C25" s="16" t="s">
        <v>1624</v>
      </c>
      <c r="D25" s="16" t="s">
        <v>71</v>
      </c>
      <c r="E25" s="16" t="s">
        <v>52</v>
      </c>
      <c r="F25" s="16" t="s">
        <v>1656</v>
      </c>
    </row>
    <row r="26" spans="1:6" ht="24" x14ac:dyDescent="0.25">
      <c r="A26" s="16" t="s">
        <v>72</v>
      </c>
      <c r="B26" s="16" t="s">
        <v>1657</v>
      </c>
      <c r="C26" s="16" t="s">
        <v>1624</v>
      </c>
      <c r="D26" s="16" t="s">
        <v>1658</v>
      </c>
      <c r="E26" s="16" t="s">
        <v>52</v>
      </c>
      <c r="F26" s="16" t="s">
        <v>1659</v>
      </c>
    </row>
    <row r="27" spans="1:6" x14ac:dyDescent="0.25">
      <c r="A27" s="16" t="s">
        <v>73</v>
      </c>
      <c r="B27" s="16" t="s">
        <v>25</v>
      </c>
      <c r="C27" s="16" t="s">
        <v>1624</v>
      </c>
      <c r="D27" s="16" t="s">
        <v>1660</v>
      </c>
      <c r="E27" s="16" t="s">
        <v>52</v>
      </c>
      <c r="F27" s="16" t="s">
        <v>1661</v>
      </c>
    </row>
    <row r="28" spans="1:6" ht="24" x14ac:dyDescent="0.25">
      <c r="A28" s="16" t="s">
        <v>74</v>
      </c>
      <c r="B28" s="16" t="s">
        <v>1662</v>
      </c>
      <c r="C28" s="16" t="s">
        <v>1663</v>
      </c>
      <c r="D28" s="16" t="s">
        <v>1664</v>
      </c>
      <c r="E28" s="16" t="s">
        <v>52</v>
      </c>
      <c r="F28" s="16" t="s">
        <v>1665</v>
      </c>
    </row>
    <row r="29" spans="1:6" ht="24" x14ac:dyDescent="0.25">
      <c r="A29" s="16" t="s">
        <v>75</v>
      </c>
      <c r="B29" s="16" t="s">
        <v>1666</v>
      </c>
      <c r="C29" s="16" t="s">
        <v>1663</v>
      </c>
      <c r="D29" s="16" t="s">
        <v>75</v>
      </c>
      <c r="E29" s="16" t="s">
        <v>52</v>
      </c>
      <c r="F29" s="16" t="s">
        <v>1667</v>
      </c>
    </row>
    <row r="30" spans="1:6" x14ac:dyDescent="0.25">
      <c r="A30" s="16" t="s">
        <v>76</v>
      </c>
      <c r="B30" s="16" t="s">
        <v>1642</v>
      </c>
      <c r="C30" s="16" t="s">
        <v>1643</v>
      </c>
      <c r="D30" s="16" t="s">
        <v>1668</v>
      </c>
      <c r="E30" s="16" t="s">
        <v>52</v>
      </c>
      <c r="F30" s="16" t="s">
        <v>1669</v>
      </c>
    </row>
    <row r="31" spans="1:6" x14ac:dyDescent="0.25">
      <c r="A31" s="16" t="s">
        <v>77</v>
      </c>
      <c r="B31" s="16" t="s">
        <v>1642</v>
      </c>
      <c r="C31" s="16" t="s">
        <v>1643</v>
      </c>
      <c r="D31" s="16" t="s">
        <v>1670</v>
      </c>
      <c r="E31" s="16" t="s">
        <v>52</v>
      </c>
      <c r="F31" s="16" t="s">
        <v>1671</v>
      </c>
    </row>
    <row r="32" spans="1:6" x14ac:dyDescent="0.25">
      <c r="A32" s="16" t="s">
        <v>78</v>
      </c>
      <c r="B32" s="16" t="s">
        <v>1642</v>
      </c>
      <c r="C32" s="16" t="s">
        <v>1643</v>
      </c>
      <c r="D32" s="16" t="s">
        <v>78</v>
      </c>
      <c r="E32" s="16" t="s">
        <v>52</v>
      </c>
      <c r="F32" s="16" t="s">
        <v>1650</v>
      </c>
    </row>
    <row r="33" spans="1:6" x14ac:dyDescent="0.25">
      <c r="A33" s="16" t="s">
        <v>79</v>
      </c>
      <c r="B33" s="16" t="s">
        <v>1642</v>
      </c>
      <c r="C33" s="16" t="s">
        <v>1643</v>
      </c>
      <c r="D33" s="16" t="s">
        <v>79</v>
      </c>
      <c r="E33" s="16" t="s">
        <v>52</v>
      </c>
      <c r="F33" s="16" t="s">
        <v>1672</v>
      </c>
    </row>
    <row r="34" spans="1:6" x14ac:dyDescent="0.25">
      <c r="A34" s="16" t="s">
        <v>80</v>
      </c>
      <c r="B34" s="16" t="s">
        <v>1642</v>
      </c>
      <c r="C34" s="16" t="s">
        <v>1643</v>
      </c>
      <c r="D34" s="16" t="s">
        <v>1673</v>
      </c>
      <c r="E34" s="16" t="s">
        <v>52</v>
      </c>
      <c r="F34" s="16" t="s">
        <v>1674</v>
      </c>
    </row>
    <row r="35" spans="1:6" x14ac:dyDescent="0.25">
      <c r="A35" s="16" t="s">
        <v>81</v>
      </c>
      <c r="B35" s="16" t="s">
        <v>1642</v>
      </c>
      <c r="C35" s="16" t="s">
        <v>1643</v>
      </c>
      <c r="D35" s="16" t="s">
        <v>81</v>
      </c>
      <c r="E35" s="16" t="s">
        <v>52</v>
      </c>
      <c r="F35" s="16" t="s">
        <v>1675</v>
      </c>
    </row>
    <row r="36" spans="1:6" x14ac:dyDescent="0.25">
      <c r="A36" s="16" t="s">
        <v>82</v>
      </c>
      <c r="B36" s="16" t="s">
        <v>1642</v>
      </c>
      <c r="C36" s="16" t="s">
        <v>1643</v>
      </c>
      <c r="D36" s="16" t="s">
        <v>1676</v>
      </c>
      <c r="E36" s="16" t="s">
        <v>52</v>
      </c>
      <c r="F36" s="16" t="s">
        <v>1677</v>
      </c>
    </row>
    <row r="37" spans="1:6" x14ac:dyDescent="0.25">
      <c r="A37" s="16" t="s">
        <v>83</v>
      </c>
      <c r="B37" s="16" t="s">
        <v>1642</v>
      </c>
      <c r="C37" s="16" t="s">
        <v>1643</v>
      </c>
      <c r="D37" s="16" t="s">
        <v>83</v>
      </c>
      <c r="E37" s="16" t="s">
        <v>52</v>
      </c>
      <c r="F37" s="16" t="s">
        <v>1678</v>
      </c>
    </row>
    <row r="38" spans="1:6" ht="24" x14ac:dyDescent="0.25">
      <c r="A38" s="16" t="s">
        <v>84</v>
      </c>
      <c r="B38" s="16" t="s">
        <v>1642</v>
      </c>
      <c r="C38" s="16" t="s">
        <v>1643</v>
      </c>
      <c r="D38" s="16" t="s">
        <v>84</v>
      </c>
      <c r="E38" s="16" t="s">
        <v>52</v>
      </c>
      <c r="F38" s="16" t="s">
        <v>1679</v>
      </c>
    </row>
    <row r="39" spans="1:6" ht="24" x14ac:dyDescent="0.25">
      <c r="A39" s="16" t="s">
        <v>85</v>
      </c>
      <c r="B39" s="16" t="s">
        <v>1680</v>
      </c>
      <c r="C39" s="16" t="s">
        <v>1663</v>
      </c>
      <c r="D39" s="16" t="s">
        <v>1681</v>
      </c>
      <c r="E39" s="16" t="s">
        <v>52</v>
      </c>
      <c r="F39" s="16" t="s">
        <v>1682</v>
      </c>
    </row>
    <row r="40" spans="1:6" ht="24" x14ac:dyDescent="0.25">
      <c r="A40" s="16" t="s">
        <v>86</v>
      </c>
      <c r="B40" s="16" t="s">
        <v>1680</v>
      </c>
      <c r="C40" s="16" t="s">
        <v>1663</v>
      </c>
      <c r="D40" s="16" t="s">
        <v>86</v>
      </c>
      <c r="E40" s="16" t="s">
        <v>52</v>
      </c>
      <c r="F40" s="16" t="s">
        <v>1683</v>
      </c>
    </row>
    <row r="41" spans="1:6" ht="24" x14ac:dyDescent="0.25">
      <c r="A41" s="16" t="s">
        <v>87</v>
      </c>
      <c r="B41" s="16" t="s">
        <v>1680</v>
      </c>
      <c r="C41" s="16" t="s">
        <v>1663</v>
      </c>
      <c r="D41" s="16" t="s">
        <v>1684</v>
      </c>
      <c r="E41" s="16" t="s">
        <v>52</v>
      </c>
      <c r="F41" s="16" t="s">
        <v>1685</v>
      </c>
    </row>
    <row r="42" spans="1:6" ht="24" x14ac:dyDescent="0.25">
      <c r="A42" s="16" t="s">
        <v>88</v>
      </c>
      <c r="B42" s="16" t="s">
        <v>1680</v>
      </c>
      <c r="C42" s="16" t="s">
        <v>1663</v>
      </c>
      <c r="D42" s="16" t="s">
        <v>1686</v>
      </c>
      <c r="E42" s="16" t="s">
        <v>52</v>
      </c>
      <c r="F42" s="16" t="s">
        <v>1687</v>
      </c>
    </row>
    <row r="43" spans="1:6" ht="24" x14ac:dyDescent="0.25">
      <c r="A43" s="16" t="s">
        <v>89</v>
      </c>
      <c r="B43" s="16" t="s">
        <v>1680</v>
      </c>
      <c r="C43" s="16" t="s">
        <v>1663</v>
      </c>
      <c r="D43" s="16" t="s">
        <v>1688</v>
      </c>
      <c r="E43" s="16" t="s">
        <v>52</v>
      </c>
      <c r="F43" s="16" t="s">
        <v>1689</v>
      </c>
    </row>
    <row r="44" spans="1:6" ht="24" x14ac:dyDescent="0.25">
      <c r="A44" s="16" t="s">
        <v>90</v>
      </c>
      <c r="B44" s="16" t="s">
        <v>1680</v>
      </c>
      <c r="C44" s="16" t="s">
        <v>1663</v>
      </c>
      <c r="D44" s="16" t="s">
        <v>90</v>
      </c>
      <c r="E44" s="16" t="s">
        <v>52</v>
      </c>
      <c r="F44" s="16" t="s">
        <v>1690</v>
      </c>
    </row>
    <row r="45" spans="1:6" ht="24" x14ac:dyDescent="0.25">
      <c r="A45" s="16" t="s">
        <v>91</v>
      </c>
      <c r="B45" s="16" t="s">
        <v>1680</v>
      </c>
      <c r="C45" s="16" t="s">
        <v>1663</v>
      </c>
      <c r="D45" s="16" t="s">
        <v>1691</v>
      </c>
      <c r="E45" s="16" t="s">
        <v>52</v>
      </c>
      <c r="F45" s="16" t="s">
        <v>1692</v>
      </c>
    </row>
    <row r="46" spans="1:6" ht="24" x14ac:dyDescent="0.25">
      <c r="A46" s="17" t="s">
        <v>92</v>
      </c>
      <c r="B46" s="17" t="s">
        <v>1693</v>
      </c>
      <c r="C46" s="17" t="s">
        <v>1694</v>
      </c>
      <c r="D46" s="17" t="s">
        <v>92</v>
      </c>
      <c r="E46" s="17" t="s">
        <v>1695</v>
      </c>
      <c r="F46" s="17" t="s">
        <v>1696</v>
      </c>
    </row>
    <row r="47" spans="1:6" ht="24" x14ac:dyDescent="0.25">
      <c r="A47" s="17" t="s">
        <v>93</v>
      </c>
      <c r="B47" s="17" t="s">
        <v>1693</v>
      </c>
      <c r="C47" s="17" t="s">
        <v>1694</v>
      </c>
      <c r="D47" s="17" t="s">
        <v>1697</v>
      </c>
      <c r="E47" s="17" t="s">
        <v>1698</v>
      </c>
      <c r="F47" s="17" t="s">
        <v>1699</v>
      </c>
    </row>
    <row r="48" spans="1:6" ht="24" x14ac:dyDescent="0.25">
      <c r="A48" s="17" t="s">
        <v>94</v>
      </c>
      <c r="B48" s="17" t="s">
        <v>1693</v>
      </c>
      <c r="C48" s="17" t="s">
        <v>1694</v>
      </c>
      <c r="D48" s="17" t="s">
        <v>1700</v>
      </c>
      <c r="E48" s="17" t="s">
        <v>1698</v>
      </c>
      <c r="F48" s="17" t="s">
        <v>1701</v>
      </c>
    </row>
    <row r="49" spans="1:6" ht="24" x14ac:dyDescent="0.25">
      <c r="A49" s="16" t="s">
        <v>95</v>
      </c>
      <c r="B49" s="16" t="s">
        <v>1662</v>
      </c>
      <c r="C49" s="16" t="s">
        <v>1663</v>
      </c>
      <c r="D49" s="16" t="s">
        <v>95</v>
      </c>
      <c r="E49" s="16" t="s">
        <v>52</v>
      </c>
      <c r="F49" s="16" t="s">
        <v>1702</v>
      </c>
    </row>
    <row r="50" spans="1:6" ht="24" x14ac:dyDescent="0.25">
      <c r="A50" s="16" t="s">
        <v>96</v>
      </c>
      <c r="B50" s="16" t="s">
        <v>1680</v>
      </c>
      <c r="C50" s="16" t="s">
        <v>1663</v>
      </c>
      <c r="D50" s="16" t="s">
        <v>96</v>
      </c>
      <c r="E50" s="16" t="s">
        <v>52</v>
      </c>
      <c r="F50" s="16" t="s">
        <v>1703</v>
      </c>
    </row>
    <row r="51" spans="1:6" ht="24" x14ac:dyDescent="0.25">
      <c r="A51" s="13" t="s">
        <v>97</v>
      </c>
      <c r="B51" s="13" t="s">
        <v>1704</v>
      </c>
      <c r="C51" s="13" t="s">
        <v>1573</v>
      </c>
      <c r="D51" s="13" t="s">
        <v>1573</v>
      </c>
      <c r="E51" s="13" t="s">
        <v>1573</v>
      </c>
      <c r="F51" s="13" t="s">
        <v>1705</v>
      </c>
    </row>
    <row r="52" spans="1:6" x14ac:dyDescent="0.25">
      <c r="A52" s="13" t="s">
        <v>98</v>
      </c>
      <c r="B52" s="13" t="s">
        <v>1704</v>
      </c>
      <c r="C52" s="13" t="s">
        <v>1573</v>
      </c>
      <c r="D52" s="13" t="s">
        <v>1573</v>
      </c>
      <c r="E52" s="13" t="s">
        <v>1573</v>
      </c>
      <c r="F52" s="13" t="s">
        <v>1706</v>
      </c>
    </row>
    <row r="53" spans="1:6" x14ac:dyDescent="0.25">
      <c r="A53" s="13" t="s">
        <v>99</v>
      </c>
      <c r="B53" s="13" t="s">
        <v>1704</v>
      </c>
      <c r="C53" s="13" t="s">
        <v>1573</v>
      </c>
      <c r="D53" s="13" t="s">
        <v>1573</v>
      </c>
      <c r="E53" s="13" t="s">
        <v>1573</v>
      </c>
      <c r="F53" s="13" t="s">
        <v>1707</v>
      </c>
    </row>
    <row r="54" spans="1:6" ht="24" x14ac:dyDescent="0.25">
      <c r="A54" s="13" t="s">
        <v>100</v>
      </c>
      <c r="B54" s="13" t="s">
        <v>1704</v>
      </c>
      <c r="C54" s="13" t="s">
        <v>1573</v>
      </c>
      <c r="D54" s="13" t="s">
        <v>1573</v>
      </c>
      <c r="E54" s="13" t="s">
        <v>1573</v>
      </c>
      <c r="F54" s="13" t="s">
        <v>1708</v>
      </c>
    </row>
    <row r="55" spans="1:6" ht="24" x14ac:dyDescent="0.25">
      <c r="A55" s="13" t="s">
        <v>101</v>
      </c>
      <c r="B55" s="13" t="s">
        <v>1704</v>
      </c>
      <c r="C55" s="13" t="s">
        <v>1573</v>
      </c>
      <c r="D55" s="13" t="s">
        <v>1573</v>
      </c>
      <c r="E55" s="13" t="s">
        <v>1573</v>
      </c>
      <c r="F55" s="13" t="s">
        <v>1709</v>
      </c>
    </row>
    <row r="57" spans="1:6" x14ac:dyDescent="0.25">
      <c r="A57" s="18" t="s">
        <v>1710</v>
      </c>
    </row>
    <row r="58" spans="1:6" x14ac:dyDescent="0.25">
      <c r="A58" s="27" t="s">
        <v>1711</v>
      </c>
      <c r="B58" s="27"/>
    </row>
    <row r="59" spans="1:6" x14ac:dyDescent="0.25">
      <c r="A59" s="28" t="s">
        <v>1712</v>
      </c>
      <c r="B59" s="28"/>
    </row>
    <row r="60" spans="1:6" x14ac:dyDescent="0.25">
      <c r="A60" s="29" t="s">
        <v>1713</v>
      </c>
      <c r="B60" s="29"/>
    </row>
    <row r="61" spans="1:6" x14ac:dyDescent="0.25">
      <c r="A61" s="24" t="s">
        <v>1714</v>
      </c>
      <c r="B61" s="24"/>
    </row>
  </sheetData>
  <mergeCells count="6">
    <mergeCell ref="A61:B61"/>
    <mergeCell ref="A1:F1"/>
    <mergeCell ref="A2:F2"/>
    <mergeCell ref="A58:B58"/>
    <mergeCell ref="A59:B59"/>
    <mergeCell ref="A60:B6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C3EF-0149-4A5C-BBCD-D67AE17BCA5D}">
  <sheetPr codeName="Sheet11"/>
  <dimension ref="A1:BA465"/>
  <sheetViews>
    <sheetView workbookViewId="0">
      <pane ySplit="1" topLeftCell="A2" activePane="bottomLeft" state="frozen"/>
      <selection pane="bottomLeft" activeCell="O1" sqref="A1:XFD1"/>
    </sheetView>
  </sheetViews>
  <sheetFormatPr defaultRowHeight="15" x14ac:dyDescent="0.25"/>
  <cols>
    <col min="1" max="1" width="19.140625" bestFit="1" customWidth="1"/>
    <col min="2" max="2" width="18.140625" bestFit="1" customWidth="1"/>
    <col min="3" max="3" width="44.140625" bestFit="1" customWidth="1"/>
    <col min="4" max="4" width="14.7109375" bestFit="1" customWidth="1"/>
    <col min="5" max="5" width="15.28515625" bestFit="1" customWidth="1"/>
    <col min="6" max="6" width="29.85546875" bestFit="1" customWidth="1"/>
    <col min="7" max="7" width="11.5703125" bestFit="1" customWidth="1"/>
    <col min="8" max="8" width="11.5703125" customWidth="1"/>
    <col min="9" max="9" width="15.42578125" bestFit="1" customWidth="1"/>
    <col min="10" max="10" width="22.42578125" bestFit="1" customWidth="1"/>
    <col min="11" max="11" width="24" bestFit="1" customWidth="1"/>
    <col min="12" max="12" width="15.85546875" bestFit="1" customWidth="1"/>
    <col min="13" max="13" width="19.42578125" bestFit="1" customWidth="1"/>
    <col min="14" max="14" width="12.5703125" bestFit="1" customWidth="1"/>
    <col min="15" max="15" width="17.5703125" bestFit="1" customWidth="1"/>
    <col min="16" max="16" width="13.140625" bestFit="1" customWidth="1"/>
    <col min="17" max="17" width="18.7109375" bestFit="1" customWidth="1"/>
    <col min="18" max="18" width="18.28515625" bestFit="1" customWidth="1"/>
    <col min="19" max="19" width="17.85546875" bestFit="1" customWidth="1"/>
    <col min="20" max="20" width="21" bestFit="1" customWidth="1"/>
    <col min="21" max="22" width="19.42578125" bestFit="1" customWidth="1"/>
    <col min="23" max="23" width="21.140625" bestFit="1" customWidth="1"/>
    <col min="24" max="24" width="26.140625" bestFit="1" customWidth="1"/>
    <col min="25" max="25" width="29.85546875" bestFit="1" customWidth="1"/>
    <col min="26" max="26" width="21.85546875" bestFit="1" customWidth="1"/>
    <col min="27" max="27" width="15.85546875" bestFit="1" customWidth="1"/>
    <col min="28" max="28" width="15.5703125" bestFit="1" customWidth="1"/>
    <col min="29" max="29" width="21.140625" bestFit="1" customWidth="1"/>
    <col min="30" max="30" width="22.42578125" bestFit="1" customWidth="1"/>
    <col min="31" max="31" width="15.5703125" bestFit="1" customWidth="1"/>
    <col min="32" max="32" width="21.140625" bestFit="1" customWidth="1"/>
    <col min="33" max="33" width="14.85546875" bestFit="1" customWidth="1"/>
    <col min="34" max="34" width="15.5703125" bestFit="1" customWidth="1"/>
    <col min="35" max="35" width="18.5703125" bestFit="1" customWidth="1"/>
    <col min="36" max="36" width="18.140625" bestFit="1" customWidth="1"/>
    <col min="37" max="37" width="19.140625" bestFit="1" customWidth="1"/>
    <col min="38" max="38" width="21.7109375" bestFit="1" customWidth="1"/>
    <col min="39" max="39" width="22.42578125" bestFit="1" customWidth="1"/>
    <col min="40" max="40" width="12.5703125" bestFit="1" customWidth="1"/>
    <col min="41" max="41" width="19" bestFit="1" customWidth="1"/>
    <col min="42" max="42" width="13.42578125" bestFit="1" customWidth="1"/>
    <col min="43" max="43" width="15.140625" bestFit="1" customWidth="1"/>
    <col min="44" max="44" width="19.140625" bestFit="1" customWidth="1"/>
    <col min="45" max="45" width="14.42578125" bestFit="1" customWidth="1"/>
    <col min="46" max="46" width="21.140625" bestFit="1" customWidth="1"/>
  </cols>
  <sheetData>
    <row r="1" spans="1:53" x14ac:dyDescent="0.25">
      <c r="A1" s="6" t="s">
        <v>6265</v>
      </c>
      <c r="B1" s="6" t="s">
        <v>6266</v>
      </c>
      <c r="C1" s="6" t="s">
        <v>6267</v>
      </c>
      <c r="D1" s="6" t="s">
        <v>6268</v>
      </c>
      <c r="E1" s="6" t="s">
        <v>6269</v>
      </c>
      <c r="F1" s="6" t="s">
        <v>55</v>
      </c>
      <c r="G1" s="6" t="s">
        <v>53</v>
      </c>
      <c r="H1" s="6" t="s">
        <v>7057</v>
      </c>
      <c r="I1" s="6" t="s">
        <v>7056</v>
      </c>
      <c r="J1" s="6" t="s">
        <v>6270</v>
      </c>
      <c r="K1" s="6" t="s">
        <v>6271</v>
      </c>
      <c r="L1" s="7" t="s">
        <v>6272</v>
      </c>
      <c r="M1" s="6" t="s">
        <v>6273</v>
      </c>
      <c r="N1" s="6" t="s">
        <v>6274</v>
      </c>
      <c r="O1" s="6" t="s">
        <v>92</v>
      </c>
      <c r="P1" s="6" t="s">
        <v>6275</v>
      </c>
      <c r="Q1" s="6" t="s">
        <v>1697</v>
      </c>
      <c r="R1" s="6" t="s">
        <v>6276</v>
      </c>
      <c r="S1" s="6" t="s">
        <v>6277</v>
      </c>
      <c r="T1" s="6" t="s">
        <v>6278</v>
      </c>
      <c r="U1" s="6" t="s">
        <v>6279</v>
      </c>
      <c r="V1" s="6" t="s">
        <v>6280</v>
      </c>
      <c r="W1" s="6" t="s">
        <v>1638</v>
      </c>
      <c r="X1" s="6" t="s">
        <v>6281</v>
      </c>
      <c r="Y1" s="6" t="s">
        <v>6282</v>
      </c>
      <c r="Z1" s="6" t="s">
        <v>6283</v>
      </c>
      <c r="AA1" s="6" t="s">
        <v>1718</v>
      </c>
      <c r="AB1" s="6" t="s">
        <v>6284</v>
      </c>
      <c r="AC1" s="6" t="s">
        <v>6285</v>
      </c>
      <c r="AD1" s="6" t="s">
        <v>6286</v>
      </c>
      <c r="AE1" s="6" t="s">
        <v>6287</v>
      </c>
      <c r="AF1" s="6" t="s">
        <v>6288</v>
      </c>
      <c r="AG1" s="6" t="s">
        <v>6289</v>
      </c>
      <c r="AH1" s="6" t="s">
        <v>6290</v>
      </c>
      <c r="AI1" s="6" t="s">
        <v>6291</v>
      </c>
      <c r="AJ1" s="6" t="s">
        <v>6292</v>
      </c>
      <c r="AK1" s="6" t="s">
        <v>6293</v>
      </c>
      <c r="AL1" s="6" t="s">
        <v>6294</v>
      </c>
      <c r="AM1" s="6" t="s">
        <v>6295</v>
      </c>
      <c r="AN1" s="6" t="s">
        <v>6296</v>
      </c>
      <c r="AO1" s="6" t="s">
        <v>6050</v>
      </c>
      <c r="AP1" s="6" t="s">
        <v>6297</v>
      </c>
      <c r="AQ1" s="6" t="s">
        <v>6052</v>
      </c>
      <c r="AR1" s="6" t="s">
        <v>1821</v>
      </c>
      <c r="AS1" s="6" t="s">
        <v>6298</v>
      </c>
      <c r="AT1" s="6" t="s">
        <v>6299</v>
      </c>
      <c r="AU1" s="6"/>
      <c r="AV1" s="6"/>
      <c r="AW1" s="6"/>
      <c r="AX1" s="6"/>
      <c r="AY1" s="6"/>
      <c r="AZ1" s="6"/>
      <c r="BA1" s="6"/>
    </row>
    <row r="2" spans="1:53" x14ac:dyDescent="0.25">
      <c r="A2" t="s">
        <v>6300</v>
      </c>
      <c r="B2" s="19">
        <v>46023</v>
      </c>
      <c r="C2" t="s">
        <v>6301</v>
      </c>
      <c r="D2" t="s">
        <v>6302</v>
      </c>
      <c r="E2" t="s">
        <v>1268</v>
      </c>
      <c r="F2" t="s">
        <v>117</v>
      </c>
      <c r="G2" t="s">
        <v>1755</v>
      </c>
      <c r="I2" t="str">
        <f>CONCATENATE(Inbound___Outbound_Shifting[[#This Row],[Batch '#]],"-",Inbound___Outbound_Shifting[[#This Row],[Exp '# or Key]])</f>
        <v>--</v>
      </c>
      <c r="J2" t="s">
        <v>6303</v>
      </c>
      <c r="K2" t="s">
        <v>2248</v>
      </c>
      <c r="L2" t="s">
        <v>1755</v>
      </c>
      <c r="M2" t="s">
        <v>1755</v>
      </c>
      <c r="N2" t="s">
        <v>1755</v>
      </c>
      <c r="O2" t="s">
        <v>6304</v>
      </c>
      <c r="P2" t="s">
        <v>6305</v>
      </c>
      <c r="Q2" t="s">
        <v>6306</v>
      </c>
      <c r="R2" t="s">
        <v>6307</v>
      </c>
      <c r="S2">
        <v>1</v>
      </c>
      <c r="T2" t="s">
        <v>1755</v>
      </c>
      <c r="U2" t="s">
        <v>1755</v>
      </c>
      <c r="V2" t="s">
        <v>1755</v>
      </c>
      <c r="W2">
        <v>39220</v>
      </c>
      <c r="X2">
        <v>39220</v>
      </c>
      <c r="Y2">
        <v>46026</v>
      </c>
      <c r="Z2" t="s">
        <v>1755</v>
      </c>
      <c r="AA2" t="s">
        <v>1755</v>
      </c>
      <c r="AB2">
        <v>3</v>
      </c>
      <c r="AC2">
        <v>499000</v>
      </c>
      <c r="AD2">
        <v>588300</v>
      </c>
      <c r="AE2">
        <v>89300</v>
      </c>
      <c r="AG2">
        <v>12.723100458949515</v>
      </c>
      <c r="AH2">
        <v>409.35192780968009</v>
      </c>
      <c r="AI2" t="s">
        <v>6308</v>
      </c>
      <c r="AJ2" t="s">
        <v>47</v>
      </c>
      <c r="AK2" t="s">
        <v>107</v>
      </c>
      <c r="AL2" t="s">
        <v>107</v>
      </c>
      <c r="AM2" t="s">
        <v>107</v>
      </c>
      <c r="AO2">
        <v>-89300</v>
      </c>
      <c r="AP2">
        <v>0.15179330273669897</v>
      </c>
      <c r="AQ2">
        <v>12.723100458949515</v>
      </c>
      <c r="AR2" t="s">
        <v>47</v>
      </c>
      <c r="AT2" t="s">
        <v>47</v>
      </c>
    </row>
    <row r="3" spans="1:53" x14ac:dyDescent="0.25">
      <c r="A3" t="s">
        <v>6300</v>
      </c>
      <c r="B3" s="19">
        <v>46023</v>
      </c>
      <c r="C3" t="s">
        <v>6301</v>
      </c>
      <c r="D3" t="s">
        <v>6302</v>
      </c>
      <c r="E3" t="s">
        <v>1268</v>
      </c>
      <c r="F3" t="s">
        <v>117</v>
      </c>
      <c r="G3" t="s">
        <v>1755</v>
      </c>
      <c r="I3" t="str">
        <f>CONCATENATE(Inbound___Outbound_Shifting[[#This Row],[Batch '#]],"-",Inbound___Outbound_Shifting[[#This Row],[Exp '# or Key]])</f>
        <v>--</v>
      </c>
      <c r="J3" t="s">
        <v>6303</v>
      </c>
      <c r="K3" t="s">
        <v>1979</v>
      </c>
      <c r="L3" t="s">
        <v>1755</v>
      </c>
      <c r="M3" t="s">
        <v>1755</v>
      </c>
      <c r="N3" t="s">
        <v>1755</v>
      </c>
      <c r="O3" t="s">
        <v>6309</v>
      </c>
      <c r="P3" t="s">
        <v>6310</v>
      </c>
      <c r="Q3" t="s">
        <v>6311</v>
      </c>
      <c r="R3" t="s">
        <v>6307</v>
      </c>
      <c r="S3">
        <v>1</v>
      </c>
      <c r="T3" t="s">
        <v>1755</v>
      </c>
      <c r="U3" t="s">
        <v>1755</v>
      </c>
      <c r="V3" t="s">
        <v>1755</v>
      </c>
      <c r="W3">
        <v>14395</v>
      </c>
      <c r="X3">
        <v>32670</v>
      </c>
      <c r="Y3">
        <v>46027</v>
      </c>
      <c r="Z3" t="s">
        <v>1755</v>
      </c>
      <c r="AA3" t="s">
        <v>1755</v>
      </c>
      <c r="AB3">
        <v>4</v>
      </c>
      <c r="AC3">
        <v>440000</v>
      </c>
      <c r="AD3">
        <v>490050</v>
      </c>
      <c r="AE3">
        <v>50050</v>
      </c>
      <c r="AF3" t="s">
        <v>1755</v>
      </c>
      <c r="AG3">
        <v>13.468013468013469</v>
      </c>
      <c r="AH3">
        <v>360.9515996718622</v>
      </c>
      <c r="AI3" t="s">
        <v>6308</v>
      </c>
      <c r="AJ3" t="s">
        <v>47</v>
      </c>
      <c r="AK3" t="s">
        <v>107</v>
      </c>
      <c r="AL3" t="s">
        <v>107</v>
      </c>
      <c r="AM3" t="s">
        <v>107</v>
      </c>
      <c r="AO3">
        <v>-50050</v>
      </c>
      <c r="AP3">
        <v>0.10213243546576879</v>
      </c>
      <c r="AQ3">
        <v>13.468013468013469</v>
      </c>
      <c r="AR3" t="s">
        <v>47</v>
      </c>
      <c r="AT3" t="s">
        <v>47</v>
      </c>
    </row>
    <row r="4" spans="1:53" x14ac:dyDescent="0.25">
      <c r="A4" t="s">
        <v>1755</v>
      </c>
      <c r="B4" s="19">
        <v>46023</v>
      </c>
      <c r="C4" t="s">
        <v>6312</v>
      </c>
      <c r="D4" t="s">
        <v>6302</v>
      </c>
      <c r="E4" t="s">
        <v>1268</v>
      </c>
      <c r="F4" t="s">
        <v>117</v>
      </c>
      <c r="G4" t="s">
        <v>1755</v>
      </c>
      <c r="I4" t="str">
        <f>CONCATENATE(Inbound___Outbound_Shifting[[#This Row],[Batch '#]],"-",Inbound___Outbound_Shifting[[#This Row],[Exp '# or Key]])</f>
        <v>--</v>
      </c>
      <c r="J4" t="s">
        <v>6313</v>
      </c>
      <c r="K4" t="s">
        <v>6314</v>
      </c>
      <c r="L4" t="s">
        <v>1755</v>
      </c>
      <c r="M4" t="s">
        <v>1755</v>
      </c>
      <c r="N4" t="s">
        <v>1755</v>
      </c>
      <c r="O4" t="s">
        <v>1755</v>
      </c>
      <c r="P4" t="s">
        <v>1755</v>
      </c>
      <c r="Q4" t="s">
        <v>1755</v>
      </c>
      <c r="R4" t="s">
        <v>1755</v>
      </c>
      <c r="S4" t="s">
        <v>1755</v>
      </c>
      <c r="T4" t="s">
        <v>1755</v>
      </c>
      <c r="U4" t="s">
        <v>1755</v>
      </c>
      <c r="V4" t="s">
        <v>1755</v>
      </c>
      <c r="W4">
        <v>125</v>
      </c>
      <c r="X4" t="s">
        <v>1755</v>
      </c>
      <c r="Y4">
        <v>46027</v>
      </c>
      <c r="Z4" t="s">
        <v>1755</v>
      </c>
      <c r="AA4" t="s">
        <v>1755</v>
      </c>
      <c r="AB4">
        <v>4</v>
      </c>
      <c r="AC4" t="s">
        <v>1755</v>
      </c>
      <c r="AE4">
        <v>0</v>
      </c>
      <c r="AF4" t="s">
        <v>1755</v>
      </c>
      <c r="AI4" t="s">
        <v>1755</v>
      </c>
      <c r="AJ4" t="s">
        <v>1755</v>
      </c>
      <c r="AK4" t="s">
        <v>1755</v>
      </c>
      <c r="AL4" t="s">
        <v>1755</v>
      </c>
      <c r="AM4" t="s">
        <v>1755</v>
      </c>
      <c r="AO4">
        <v>0</v>
      </c>
    </row>
    <row r="5" spans="1:53" x14ac:dyDescent="0.25">
      <c r="A5" t="s">
        <v>1755</v>
      </c>
      <c r="B5" s="19">
        <v>46023</v>
      </c>
      <c r="C5" t="s">
        <v>6315</v>
      </c>
      <c r="D5" t="s">
        <v>6302</v>
      </c>
      <c r="E5" t="s">
        <v>1268</v>
      </c>
      <c r="F5" t="s">
        <v>1371</v>
      </c>
      <c r="G5" t="s">
        <v>1755</v>
      </c>
      <c r="I5" t="str">
        <f>CONCATENATE(Inbound___Outbound_Shifting[[#This Row],[Batch '#]],"-",Inbound___Outbound_Shifting[[#This Row],[Exp '# or Key]])</f>
        <v>--</v>
      </c>
      <c r="J5" t="s">
        <v>6316</v>
      </c>
      <c r="K5" t="s">
        <v>6317</v>
      </c>
      <c r="L5" t="s">
        <v>1755</v>
      </c>
      <c r="M5" t="s">
        <v>1755</v>
      </c>
      <c r="N5" t="s">
        <v>1755</v>
      </c>
      <c r="O5" t="s">
        <v>1755</v>
      </c>
      <c r="P5" t="s">
        <v>1755</v>
      </c>
      <c r="Q5" t="s">
        <v>1755</v>
      </c>
      <c r="R5" t="s">
        <v>1755</v>
      </c>
      <c r="S5" t="s">
        <v>1755</v>
      </c>
      <c r="T5" t="s">
        <v>1755</v>
      </c>
      <c r="U5" t="s">
        <v>1755</v>
      </c>
      <c r="V5" t="s">
        <v>1755</v>
      </c>
      <c r="W5">
        <v>1000</v>
      </c>
      <c r="X5" t="s">
        <v>1755</v>
      </c>
      <c r="Y5">
        <v>46027</v>
      </c>
      <c r="Z5" t="s">
        <v>1755</v>
      </c>
      <c r="AA5" t="s">
        <v>1755</v>
      </c>
      <c r="AB5">
        <v>4</v>
      </c>
      <c r="AC5" t="s">
        <v>1755</v>
      </c>
      <c r="AE5">
        <v>0</v>
      </c>
      <c r="AF5" t="s">
        <v>1755</v>
      </c>
      <c r="AI5" t="s">
        <v>1755</v>
      </c>
      <c r="AJ5" t="s">
        <v>1755</v>
      </c>
      <c r="AK5" t="s">
        <v>1755</v>
      </c>
      <c r="AL5" t="s">
        <v>1755</v>
      </c>
      <c r="AM5" t="s">
        <v>1755</v>
      </c>
      <c r="AO5">
        <v>0</v>
      </c>
    </row>
    <row r="6" spans="1:53" x14ac:dyDescent="0.25">
      <c r="A6" t="s">
        <v>1755</v>
      </c>
      <c r="B6" s="19">
        <v>46023</v>
      </c>
      <c r="C6" t="s">
        <v>6318</v>
      </c>
      <c r="D6" t="s">
        <v>6302</v>
      </c>
      <c r="E6" t="s">
        <v>1268</v>
      </c>
      <c r="F6" t="s">
        <v>6319</v>
      </c>
      <c r="G6" t="s">
        <v>1755</v>
      </c>
      <c r="I6" t="str">
        <f>CONCATENATE(Inbound___Outbound_Shifting[[#This Row],[Batch '#]],"-",Inbound___Outbound_Shifting[[#This Row],[Exp '# or Key]])</f>
        <v>--</v>
      </c>
      <c r="J6" t="s">
        <v>6320</v>
      </c>
      <c r="K6" t="s">
        <v>6321</v>
      </c>
      <c r="L6" t="s">
        <v>1755</v>
      </c>
      <c r="M6" t="s">
        <v>1755</v>
      </c>
      <c r="N6" t="s">
        <v>1755</v>
      </c>
      <c r="O6" t="s">
        <v>1755</v>
      </c>
      <c r="P6" t="s">
        <v>1755</v>
      </c>
      <c r="Q6" t="s">
        <v>1755</v>
      </c>
      <c r="R6" t="s">
        <v>1755</v>
      </c>
      <c r="S6" t="s">
        <v>1755</v>
      </c>
      <c r="T6" t="s">
        <v>1755</v>
      </c>
      <c r="U6" t="s">
        <v>1755</v>
      </c>
      <c r="V6" t="s">
        <v>1755</v>
      </c>
      <c r="W6">
        <v>5100</v>
      </c>
      <c r="X6" t="s">
        <v>1755</v>
      </c>
      <c r="Y6">
        <v>46027</v>
      </c>
      <c r="Z6" t="s">
        <v>1755</v>
      </c>
      <c r="AA6" t="s">
        <v>1755</v>
      </c>
      <c r="AB6">
        <v>4</v>
      </c>
      <c r="AC6" t="s">
        <v>1755</v>
      </c>
      <c r="AE6">
        <v>0</v>
      </c>
      <c r="AF6" t="s">
        <v>1755</v>
      </c>
      <c r="AI6" t="s">
        <v>1755</v>
      </c>
      <c r="AJ6" t="s">
        <v>1755</v>
      </c>
      <c r="AK6" t="s">
        <v>1755</v>
      </c>
      <c r="AL6" t="s">
        <v>1755</v>
      </c>
      <c r="AM6" t="s">
        <v>1755</v>
      </c>
      <c r="AO6">
        <v>0</v>
      </c>
    </row>
    <row r="7" spans="1:53" x14ac:dyDescent="0.25">
      <c r="A7" t="s">
        <v>1755</v>
      </c>
      <c r="B7" s="19">
        <v>46023</v>
      </c>
      <c r="C7" t="s">
        <v>6322</v>
      </c>
      <c r="D7" t="s">
        <v>6302</v>
      </c>
      <c r="E7" t="s">
        <v>1268</v>
      </c>
      <c r="F7" t="s">
        <v>1371</v>
      </c>
      <c r="G7" t="s">
        <v>1755</v>
      </c>
      <c r="I7" t="str">
        <f>CONCATENATE(Inbound___Outbound_Shifting[[#This Row],[Batch '#]],"-",Inbound___Outbound_Shifting[[#This Row],[Exp '# or Key]])</f>
        <v>--</v>
      </c>
      <c r="J7" t="s">
        <v>6323</v>
      </c>
      <c r="K7" t="s">
        <v>6324</v>
      </c>
      <c r="L7" t="s">
        <v>1755</v>
      </c>
      <c r="M7" t="s">
        <v>1755</v>
      </c>
      <c r="N7" t="s">
        <v>1755</v>
      </c>
      <c r="O7" t="s">
        <v>1755</v>
      </c>
      <c r="P7" t="s">
        <v>1755</v>
      </c>
      <c r="Q7" t="s">
        <v>1755</v>
      </c>
      <c r="R7" t="s">
        <v>1755</v>
      </c>
      <c r="S7" t="s">
        <v>1755</v>
      </c>
      <c r="T7" t="s">
        <v>1755</v>
      </c>
      <c r="U7" t="s">
        <v>1755</v>
      </c>
      <c r="V7" t="s">
        <v>1755</v>
      </c>
      <c r="W7">
        <v>10730</v>
      </c>
      <c r="X7" t="s">
        <v>1755</v>
      </c>
      <c r="Y7">
        <v>46027</v>
      </c>
      <c r="Z7" t="s">
        <v>1755</v>
      </c>
      <c r="AA7" t="s">
        <v>1755</v>
      </c>
      <c r="AB7">
        <v>4</v>
      </c>
      <c r="AC7" t="s">
        <v>1755</v>
      </c>
      <c r="AE7">
        <v>0</v>
      </c>
      <c r="AF7" t="s">
        <v>1755</v>
      </c>
      <c r="AI7" t="s">
        <v>1755</v>
      </c>
      <c r="AJ7" t="s">
        <v>1755</v>
      </c>
      <c r="AK7" t="s">
        <v>1755</v>
      </c>
      <c r="AL7" t="s">
        <v>1755</v>
      </c>
      <c r="AM7" t="s">
        <v>1755</v>
      </c>
      <c r="AO7">
        <v>0</v>
      </c>
    </row>
    <row r="8" spans="1:53" x14ac:dyDescent="0.25">
      <c r="A8" t="s">
        <v>1755</v>
      </c>
      <c r="B8" s="19">
        <v>46023</v>
      </c>
      <c r="C8" t="s">
        <v>6325</v>
      </c>
      <c r="D8" t="s">
        <v>6302</v>
      </c>
      <c r="E8" t="s">
        <v>1268</v>
      </c>
      <c r="F8" t="s">
        <v>117</v>
      </c>
      <c r="G8" t="s">
        <v>1755</v>
      </c>
      <c r="I8" t="str">
        <f>CONCATENATE(Inbound___Outbound_Shifting[[#This Row],[Batch '#]],"-",Inbound___Outbound_Shifting[[#This Row],[Exp '# or Key]])</f>
        <v>--</v>
      </c>
      <c r="J8" t="s">
        <v>6326</v>
      </c>
      <c r="K8" t="s">
        <v>6314</v>
      </c>
      <c r="L8" t="s">
        <v>1755</v>
      </c>
      <c r="M8" t="s">
        <v>1755</v>
      </c>
      <c r="N8" t="s">
        <v>1755</v>
      </c>
      <c r="O8" t="s">
        <v>1755</v>
      </c>
      <c r="P8" t="s">
        <v>1755</v>
      </c>
      <c r="Q8" t="s">
        <v>1755</v>
      </c>
      <c r="R8" t="s">
        <v>1755</v>
      </c>
      <c r="S8" t="s">
        <v>1755</v>
      </c>
      <c r="T8" t="s">
        <v>1755</v>
      </c>
      <c r="U8" t="s">
        <v>1755</v>
      </c>
      <c r="V8" t="s">
        <v>1755</v>
      </c>
      <c r="W8">
        <v>320</v>
      </c>
      <c r="X8" t="s">
        <v>1755</v>
      </c>
      <c r="Y8">
        <v>46027</v>
      </c>
      <c r="Z8" t="s">
        <v>1755</v>
      </c>
      <c r="AA8" t="s">
        <v>1755</v>
      </c>
      <c r="AB8">
        <v>4</v>
      </c>
      <c r="AC8" t="s">
        <v>1755</v>
      </c>
      <c r="AE8">
        <v>0</v>
      </c>
      <c r="AF8" t="s">
        <v>1755</v>
      </c>
      <c r="AI8" t="s">
        <v>1755</v>
      </c>
      <c r="AJ8" t="s">
        <v>1755</v>
      </c>
      <c r="AK8" t="s">
        <v>1755</v>
      </c>
      <c r="AL8" t="s">
        <v>1755</v>
      </c>
      <c r="AM8" t="s">
        <v>1755</v>
      </c>
      <c r="AO8">
        <v>0</v>
      </c>
    </row>
    <row r="9" spans="1:53" x14ac:dyDescent="0.25">
      <c r="A9" t="s">
        <v>1755</v>
      </c>
      <c r="B9" s="19">
        <v>46023</v>
      </c>
      <c r="C9" t="s">
        <v>6327</v>
      </c>
      <c r="D9" t="s">
        <v>6302</v>
      </c>
      <c r="E9" t="s">
        <v>1268</v>
      </c>
      <c r="F9" t="s">
        <v>117</v>
      </c>
      <c r="G9" t="s">
        <v>1755</v>
      </c>
      <c r="I9" t="str">
        <f>CONCATENATE(Inbound___Outbound_Shifting[[#This Row],[Batch '#]],"-",Inbound___Outbound_Shifting[[#This Row],[Exp '# or Key]])</f>
        <v>--</v>
      </c>
      <c r="J9" t="s">
        <v>6328</v>
      </c>
      <c r="K9" t="s">
        <v>6317</v>
      </c>
      <c r="L9" t="s">
        <v>1755</v>
      </c>
      <c r="M9" t="s">
        <v>1755</v>
      </c>
      <c r="N9" t="s">
        <v>1755</v>
      </c>
      <c r="O9" t="s">
        <v>1755</v>
      </c>
      <c r="P9" t="s">
        <v>1755</v>
      </c>
      <c r="Q9" t="s">
        <v>1755</v>
      </c>
      <c r="R9" t="s">
        <v>1755</v>
      </c>
      <c r="S9" t="s">
        <v>1755</v>
      </c>
      <c r="T9" t="s">
        <v>1755</v>
      </c>
      <c r="U9" t="s">
        <v>1755</v>
      </c>
      <c r="V9" t="s">
        <v>1755</v>
      </c>
      <c r="W9">
        <v>1000</v>
      </c>
      <c r="X9" t="s">
        <v>1755</v>
      </c>
      <c r="Y9">
        <v>46027</v>
      </c>
      <c r="Z9" t="s">
        <v>1755</v>
      </c>
      <c r="AA9" t="s">
        <v>1755</v>
      </c>
      <c r="AB9">
        <v>4</v>
      </c>
      <c r="AC9" t="s">
        <v>1755</v>
      </c>
      <c r="AE9">
        <v>0</v>
      </c>
      <c r="AF9" t="s">
        <v>1755</v>
      </c>
      <c r="AI9" t="s">
        <v>1755</v>
      </c>
      <c r="AJ9" t="s">
        <v>1755</v>
      </c>
      <c r="AK9" t="s">
        <v>1755</v>
      </c>
      <c r="AL9" t="s">
        <v>1755</v>
      </c>
      <c r="AM9" t="s">
        <v>1755</v>
      </c>
      <c r="AO9">
        <v>0</v>
      </c>
    </row>
    <row r="10" spans="1:53" x14ac:dyDescent="0.25">
      <c r="A10" t="s">
        <v>6329</v>
      </c>
      <c r="B10" s="19">
        <v>46023</v>
      </c>
      <c r="C10" t="s">
        <v>629</v>
      </c>
      <c r="D10" t="s">
        <v>6330</v>
      </c>
      <c r="E10" t="s">
        <v>366</v>
      </c>
      <c r="F10" t="s">
        <v>35</v>
      </c>
      <c r="G10" t="s">
        <v>1755</v>
      </c>
      <c r="I10" t="str">
        <f>CONCATENATE(Inbound___Outbound_Shifting[[#This Row],[Batch '#]],"-",Inbound___Outbound_Shifting[[#This Row],[Exp '# or Key]])</f>
        <v>--</v>
      </c>
      <c r="J10" t="s">
        <v>1755</v>
      </c>
      <c r="K10">
        <v>1</v>
      </c>
      <c r="L10" t="s">
        <v>366</v>
      </c>
      <c r="M10" t="s">
        <v>6331</v>
      </c>
      <c r="N10" t="s">
        <v>1755</v>
      </c>
      <c r="O10" t="s">
        <v>128</v>
      </c>
      <c r="P10" t="s">
        <v>6332</v>
      </c>
      <c r="Q10" t="s">
        <v>633</v>
      </c>
      <c r="R10" t="s">
        <v>6333</v>
      </c>
      <c r="S10" t="s">
        <v>1755</v>
      </c>
      <c r="T10" t="s">
        <v>1755</v>
      </c>
      <c r="U10" t="s">
        <v>1755</v>
      </c>
      <c r="V10" t="s">
        <v>1755</v>
      </c>
      <c r="W10">
        <v>25</v>
      </c>
      <c r="X10">
        <v>25</v>
      </c>
      <c r="Y10">
        <v>46023</v>
      </c>
      <c r="Z10">
        <v>46023</v>
      </c>
      <c r="AA10" t="s">
        <v>1755</v>
      </c>
      <c r="AB10">
        <v>0</v>
      </c>
      <c r="AC10">
        <v>8000</v>
      </c>
      <c r="AD10">
        <v>187.5</v>
      </c>
      <c r="AE10">
        <v>-7812.5</v>
      </c>
      <c r="AF10" t="s">
        <v>1755</v>
      </c>
      <c r="AG10">
        <v>320</v>
      </c>
      <c r="AI10" t="s">
        <v>6334</v>
      </c>
      <c r="AJ10" t="s">
        <v>47</v>
      </c>
      <c r="AK10" t="s">
        <v>6335</v>
      </c>
      <c r="AL10" t="s">
        <v>6335</v>
      </c>
      <c r="AM10" t="s">
        <v>6335</v>
      </c>
      <c r="AO10">
        <v>7812.5</v>
      </c>
      <c r="AP10">
        <v>-41.666666666666664</v>
      </c>
      <c r="AQ10">
        <v>320</v>
      </c>
      <c r="AR10" t="s">
        <v>47</v>
      </c>
      <c r="AT10" t="s">
        <v>47</v>
      </c>
    </row>
    <row r="11" spans="1:53" x14ac:dyDescent="0.25">
      <c r="A11" t="s">
        <v>6329</v>
      </c>
      <c r="B11" s="19">
        <v>46025</v>
      </c>
      <c r="C11" t="s">
        <v>954</v>
      </c>
      <c r="D11" t="s">
        <v>1600</v>
      </c>
      <c r="E11" t="s">
        <v>366</v>
      </c>
      <c r="F11" t="s">
        <v>955</v>
      </c>
      <c r="G11" t="s">
        <v>1755</v>
      </c>
      <c r="I11" t="str">
        <f>CONCATENATE(Inbound___Outbound_Shifting[[#This Row],[Batch '#]],"-",Inbound___Outbound_Shifting[[#This Row],[Exp '# or Key]])</f>
        <v>--</v>
      </c>
      <c r="J11" t="s">
        <v>1755</v>
      </c>
      <c r="K11">
        <v>40</v>
      </c>
      <c r="L11" t="s">
        <v>366</v>
      </c>
      <c r="M11" t="s">
        <v>6336</v>
      </c>
      <c r="N11" t="s">
        <v>1755</v>
      </c>
      <c r="O11" t="s">
        <v>956</v>
      </c>
      <c r="P11" t="s">
        <v>1755</v>
      </c>
      <c r="Q11" t="s">
        <v>1755</v>
      </c>
      <c r="R11" t="s">
        <v>6337</v>
      </c>
      <c r="S11" t="s">
        <v>1755</v>
      </c>
      <c r="T11" t="s">
        <v>1755</v>
      </c>
      <c r="U11" t="s">
        <v>1755</v>
      </c>
      <c r="V11" t="s">
        <v>1755</v>
      </c>
      <c r="W11">
        <v>250</v>
      </c>
      <c r="X11">
        <v>250</v>
      </c>
      <c r="Y11">
        <v>46026</v>
      </c>
      <c r="Z11">
        <v>46024</v>
      </c>
      <c r="AA11" t="s">
        <v>1755</v>
      </c>
      <c r="AB11">
        <v>1</v>
      </c>
      <c r="AC11">
        <v>0</v>
      </c>
      <c r="AD11">
        <v>1875</v>
      </c>
      <c r="AE11">
        <v>1875</v>
      </c>
      <c r="AF11" t="s">
        <v>1755</v>
      </c>
      <c r="AG11">
        <v>0</v>
      </c>
      <c r="AI11" t="s">
        <v>6334</v>
      </c>
      <c r="AJ11" t="s">
        <v>47</v>
      </c>
      <c r="AK11" t="s">
        <v>6335</v>
      </c>
      <c r="AL11" t="s">
        <v>6335</v>
      </c>
      <c r="AM11" t="s">
        <v>6335</v>
      </c>
      <c r="AO11">
        <v>-1875</v>
      </c>
      <c r="AP11">
        <v>1</v>
      </c>
      <c r="AQ11">
        <v>0</v>
      </c>
      <c r="AR11" t="s">
        <v>47</v>
      </c>
      <c r="AT11" t="s">
        <v>47</v>
      </c>
    </row>
    <row r="12" spans="1:53" x14ac:dyDescent="0.25">
      <c r="A12" t="s">
        <v>6300</v>
      </c>
      <c r="B12" s="19">
        <v>46026</v>
      </c>
      <c r="C12" t="s">
        <v>6338</v>
      </c>
      <c r="D12" t="s">
        <v>6302</v>
      </c>
      <c r="E12" t="s">
        <v>6086</v>
      </c>
      <c r="F12" t="s">
        <v>1371</v>
      </c>
      <c r="G12" t="s">
        <v>1755</v>
      </c>
      <c r="I12" t="str">
        <f>CONCATENATE(Inbound___Outbound_Shifting[[#This Row],[Batch '#]],"-",Inbound___Outbound_Shifting[[#This Row],[Exp '# or Key]])</f>
        <v>--</v>
      </c>
      <c r="J12" t="s">
        <v>6339</v>
      </c>
      <c r="K12" t="s">
        <v>6340</v>
      </c>
      <c r="L12" t="s">
        <v>1755</v>
      </c>
      <c r="M12" t="s">
        <v>1755</v>
      </c>
      <c r="N12" t="s">
        <v>1755</v>
      </c>
      <c r="O12" t="s">
        <v>6341</v>
      </c>
      <c r="P12" t="s">
        <v>6342</v>
      </c>
      <c r="Q12" t="s">
        <v>6343</v>
      </c>
      <c r="R12" t="s">
        <v>6344</v>
      </c>
      <c r="S12">
        <v>1</v>
      </c>
      <c r="T12" t="s">
        <v>6345</v>
      </c>
      <c r="U12">
        <v>1</v>
      </c>
      <c r="V12" t="s">
        <v>1755</v>
      </c>
      <c r="W12">
        <v>27440</v>
      </c>
      <c r="X12">
        <v>27440</v>
      </c>
      <c r="Y12">
        <v>46029</v>
      </c>
      <c r="Z12" t="s">
        <v>1755</v>
      </c>
      <c r="AA12" t="s">
        <v>1755</v>
      </c>
      <c r="AB12">
        <v>3</v>
      </c>
      <c r="AC12">
        <v>345000</v>
      </c>
      <c r="AD12">
        <v>411600</v>
      </c>
      <c r="AE12">
        <v>66600</v>
      </c>
      <c r="AF12" t="s">
        <v>1755</v>
      </c>
      <c r="AG12">
        <v>12.572886297376094</v>
      </c>
      <c r="AH12">
        <v>283.01886792452831</v>
      </c>
      <c r="AI12" t="s">
        <v>6308</v>
      </c>
      <c r="AJ12" t="s">
        <v>47</v>
      </c>
      <c r="AK12" t="s">
        <v>107</v>
      </c>
      <c r="AL12" t="s">
        <v>107</v>
      </c>
      <c r="AM12" t="s">
        <v>107</v>
      </c>
      <c r="AO12">
        <v>-66600</v>
      </c>
      <c r="AP12">
        <v>0.16180758017492711</v>
      </c>
      <c r="AQ12">
        <v>12.572886297376094</v>
      </c>
      <c r="AR12" t="s">
        <v>47</v>
      </c>
      <c r="AT12" t="s">
        <v>47</v>
      </c>
    </row>
    <row r="13" spans="1:53" x14ac:dyDescent="0.25">
      <c r="A13" t="s">
        <v>6300</v>
      </c>
      <c r="B13" s="19">
        <v>46026</v>
      </c>
      <c r="C13" t="s">
        <v>6338</v>
      </c>
      <c r="D13" t="s">
        <v>6302</v>
      </c>
      <c r="E13" t="s">
        <v>6086</v>
      </c>
      <c r="F13" t="s">
        <v>1371</v>
      </c>
      <c r="G13" t="s">
        <v>1755</v>
      </c>
      <c r="I13" t="str">
        <f>CONCATENATE(Inbound___Outbound_Shifting[[#This Row],[Batch '#]],"-",Inbound___Outbound_Shifting[[#This Row],[Exp '# or Key]])</f>
        <v>--</v>
      </c>
      <c r="J13" t="s">
        <v>6339</v>
      </c>
      <c r="K13" t="s">
        <v>6340</v>
      </c>
      <c r="L13" t="s">
        <v>1755</v>
      </c>
      <c r="M13" t="s">
        <v>1755</v>
      </c>
      <c r="N13" t="s">
        <v>1755</v>
      </c>
      <c r="O13" t="s">
        <v>6341</v>
      </c>
      <c r="P13" t="s">
        <v>6346</v>
      </c>
      <c r="Q13" t="s">
        <v>6347</v>
      </c>
      <c r="R13" t="s">
        <v>6344</v>
      </c>
      <c r="S13">
        <v>1</v>
      </c>
      <c r="T13" t="s">
        <v>6348</v>
      </c>
      <c r="U13">
        <v>1</v>
      </c>
      <c r="V13" t="s">
        <v>1755</v>
      </c>
      <c r="W13">
        <v>27490</v>
      </c>
      <c r="X13">
        <v>27490</v>
      </c>
      <c r="Y13">
        <v>46029</v>
      </c>
      <c r="Z13" t="s">
        <v>1755</v>
      </c>
      <c r="AA13" t="s">
        <v>1755</v>
      </c>
      <c r="AB13">
        <v>3</v>
      </c>
      <c r="AC13">
        <v>345000</v>
      </c>
      <c r="AD13">
        <v>412350</v>
      </c>
      <c r="AE13">
        <v>67350</v>
      </c>
      <c r="AF13" t="s">
        <v>1755</v>
      </c>
      <c r="AG13">
        <v>12.550018188432157</v>
      </c>
      <c r="AH13">
        <v>283.01886792452831</v>
      </c>
      <c r="AI13" t="s">
        <v>6308</v>
      </c>
      <c r="AJ13" t="s">
        <v>47</v>
      </c>
      <c r="AK13" t="s">
        <v>107</v>
      </c>
      <c r="AL13" t="s">
        <v>107</v>
      </c>
      <c r="AM13" t="s">
        <v>107</v>
      </c>
      <c r="AO13">
        <v>-67350</v>
      </c>
      <c r="AP13">
        <v>0.16333212077118953</v>
      </c>
      <c r="AQ13">
        <v>12.550018188432157</v>
      </c>
      <c r="AR13" t="s">
        <v>47</v>
      </c>
      <c r="AT13" t="s">
        <v>47</v>
      </c>
    </row>
    <row r="14" spans="1:53" x14ac:dyDescent="0.25">
      <c r="A14" t="s">
        <v>6300</v>
      </c>
      <c r="B14" s="19">
        <v>46026</v>
      </c>
      <c r="C14" t="s">
        <v>6338</v>
      </c>
      <c r="D14" t="s">
        <v>6302</v>
      </c>
      <c r="E14" t="s">
        <v>6086</v>
      </c>
      <c r="F14" t="s">
        <v>1371</v>
      </c>
      <c r="G14" t="s">
        <v>1755</v>
      </c>
      <c r="I14" t="str">
        <f>CONCATENATE(Inbound___Outbound_Shifting[[#This Row],[Batch '#]],"-",Inbound___Outbound_Shifting[[#This Row],[Exp '# or Key]])</f>
        <v>--</v>
      </c>
      <c r="J14" t="s">
        <v>6339</v>
      </c>
      <c r="K14" t="s">
        <v>6340</v>
      </c>
      <c r="L14" t="s">
        <v>1755</v>
      </c>
      <c r="M14" t="s">
        <v>1755</v>
      </c>
      <c r="N14" t="s">
        <v>1755</v>
      </c>
      <c r="O14" t="s">
        <v>6341</v>
      </c>
      <c r="P14" t="s">
        <v>6349</v>
      </c>
      <c r="Q14" t="s">
        <v>6350</v>
      </c>
      <c r="R14" t="s">
        <v>6344</v>
      </c>
      <c r="S14">
        <v>1</v>
      </c>
      <c r="T14" t="s">
        <v>6351</v>
      </c>
      <c r="U14">
        <v>1</v>
      </c>
      <c r="V14" t="s">
        <v>1755</v>
      </c>
      <c r="W14">
        <v>27960</v>
      </c>
      <c r="X14">
        <v>27960</v>
      </c>
      <c r="Y14">
        <v>46029</v>
      </c>
      <c r="Z14" t="s">
        <v>1755</v>
      </c>
      <c r="AA14" t="s">
        <v>1755</v>
      </c>
      <c r="AB14">
        <v>3</v>
      </c>
      <c r="AC14">
        <v>345000</v>
      </c>
      <c r="AD14">
        <v>419400</v>
      </c>
      <c r="AE14">
        <v>74400</v>
      </c>
      <c r="AF14" t="s">
        <v>1755</v>
      </c>
      <c r="AG14">
        <v>12.339055793991417</v>
      </c>
      <c r="AH14">
        <v>283.01886792452831</v>
      </c>
      <c r="AI14" t="s">
        <v>6308</v>
      </c>
      <c r="AJ14" t="s">
        <v>47</v>
      </c>
      <c r="AK14" t="s">
        <v>107</v>
      </c>
      <c r="AL14" t="s">
        <v>107</v>
      </c>
      <c r="AM14" t="s">
        <v>107</v>
      </c>
      <c r="AO14">
        <v>-74400</v>
      </c>
      <c r="AP14">
        <v>0.17739628040057226</v>
      </c>
      <c r="AQ14">
        <v>12.339055793991417</v>
      </c>
      <c r="AR14" t="s">
        <v>47</v>
      </c>
      <c r="AT14" t="s">
        <v>47</v>
      </c>
    </row>
    <row r="15" spans="1:53" x14ac:dyDescent="0.25">
      <c r="A15" t="s">
        <v>6300</v>
      </c>
      <c r="B15" s="19">
        <v>46026</v>
      </c>
      <c r="C15" t="s">
        <v>6338</v>
      </c>
      <c r="D15" t="s">
        <v>6302</v>
      </c>
      <c r="E15" t="s">
        <v>6086</v>
      </c>
      <c r="F15" t="s">
        <v>1371</v>
      </c>
      <c r="G15" t="s">
        <v>1755</v>
      </c>
      <c r="I15" t="str">
        <f>CONCATENATE(Inbound___Outbound_Shifting[[#This Row],[Batch '#]],"-",Inbound___Outbound_Shifting[[#This Row],[Exp '# or Key]])</f>
        <v>--</v>
      </c>
      <c r="J15" t="s">
        <v>6339</v>
      </c>
      <c r="K15" t="s">
        <v>6340</v>
      </c>
      <c r="L15" t="s">
        <v>1755</v>
      </c>
      <c r="M15" t="s">
        <v>1755</v>
      </c>
      <c r="N15" t="s">
        <v>1755</v>
      </c>
      <c r="O15" t="s">
        <v>6341</v>
      </c>
      <c r="P15" t="s">
        <v>6352</v>
      </c>
      <c r="Q15" t="s">
        <v>6353</v>
      </c>
      <c r="R15" t="s">
        <v>6344</v>
      </c>
      <c r="S15">
        <v>1</v>
      </c>
      <c r="T15" t="s">
        <v>6354</v>
      </c>
      <c r="U15">
        <v>1</v>
      </c>
      <c r="V15" t="s">
        <v>1755</v>
      </c>
      <c r="W15">
        <v>27630</v>
      </c>
      <c r="X15">
        <v>27630</v>
      </c>
      <c r="Y15">
        <v>46029</v>
      </c>
      <c r="Z15" t="s">
        <v>1755</v>
      </c>
      <c r="AA15" t="s">
        <v>1755</v>
      </c>
      <c r="AB15">
        <v>3</v>
      </c>
      <c r="AC15">
        <v>345000</v>
      </c>
      <c r="AD15">
        <v>414450</v>
      </c>
      <c r="AE15">
        <v>69450</v>
      </c>
      <c r="AF15" t="s">
        <v>1755</v>
      </c>
      <c r="AG15">
        <v>12.48642779587405</v>
      </c>
      <c r="AH15">
        <v>283.01886792452831</v>
      </c>
      <c r="AI15" t="s">
        <v>6308</v>
      </c>
      <c r="AJ15" t="s">
        <v>47</v>
      </c>
      <c r="AK15" t="s">
        <v>107</v>
      </c>
      <c r="AL15" t="s">
        <v>107</v>
      </c>
      <c r="AM15" t="s">
        <v>107</v>
      </c>
      <c r="AO15">
        <v>-69450</v>
      </c>
      <c r="AP15">
        <v>0.16757148027506333</v>
      </c>
      <c r="AQ15">
        <v>12.48642779587405</v>
      </c>
      <c r="AR15" t="s">
        <v>47</v>
      </c>
      <c r="AT15" t="s">
        <v>47</v>
      </c>
    </row>
    <row r="16" spans="1:53" x14ac:dyDescent="0.25">
      <c r="A16" t="s">
        <v>6300</v>
      </c>
      <c r="B16" s="19">
        <v>46026</v>
      </c>
      <c r="C16" t="s">
        <v>6338</v>
      </c>
      <c r="D16" t="s">
        <v>6302</v>
      </c>
      <c r="E16" t="s">
        <v>6086</v>
      </c>
      <c r="F16" t="s">
        <v>1371</v>
      </c>
      <c r="G16" t="s">
        <v>1755</v>
      </c>
      <c r="I16" t="str">
        <f>CONCATENATE(Inbound___Outbound_Shifting[[#This Row],[Batch '#]],"-",Inbound___Outbound_Shifting[[#This Row],[Exp '# or Key]])</f>
        <v>--</v>
      </c>
      <c r="J16" t="s">
        <v>6339</v>
      </c>
      <c r="K16" t="s">
        <v>6340</v>
      </c>
      <c r="L16" t="s">
        <v>1755</v>
      </c>
      <c r="M16" t="s">
        <v>1755</v>
      </c>
      <c r="N16" t="s">
        <v>1755</v>
      </c>
      <c r="O16" t="s">
        <v>6341</v>
      </c>
      <c r="P16" t="s">
        <v>6355</v>
      </c>
      <c r="Q16" t="s">
        <v>6356</v>
      </c>
      <c r="R16" t="s">
        <v>6344</v>
      </c>
      <c r="S16">
        <v>1</v>
      </c>
      <c r="T16" t="s">
        <v>6357</v>
      </c>
      <c r="U16">
        <v>1</v>
      </c>
      <c r="V16" t="s">
        <v>1755</v>
      </c>
      <c r="W16">
        <v>27320</v>
      </c>
      <c r="X16">
        <v>27320</v>
      </c>
      <c r="Y16">
        <v>46029</v>
      </c>
      <c r="Z16" t="s">
        <v>1755</v>
      </c>
      <c r="AA16" t="s">
        <v>1755</v>
      </c>
      <c r="AB16">
        <v>3</v>
      </c>
      <c r="AC16">
        <v>345000</v>
      </c>
      <c r="AD16">
        <v>409800</v>
      </c>
      <c r="AE16">
        <v>64800</v>
      </c>
      <c r="AF16" t="s">
        <v>1755</v>
      </c>
      <c r="AG16">
        <v>12.628111273792094</v>
      </c>
      <c r="AH16">
        <v>283.01886792452831</v>
      </c>
      <c r="AI16" t="s">
        <v>6308</v>
      </c>
      <c r="AJ16" t="s">
        <v>47</v>
      </c>
      <c r="AK16" t="s">
        <v>107</v>
      </c>
      <c r="AL16" t="s">
        <v>107</v>
      </c>
      <c r="AM16" t="s">
        <v>107</v>
      </c>
      <c r="AO16">
        <v>-64800</v>
      </c>
      <c r="AP16">
        <v>0.15812591508052709</v>
      </c>
      <c r="AQ16">
        <v>12.628111273792094</v>
      </c>
      <c r="AR16" t="s">
        <v>47</v>
      </c>
      <c r="AT16" t="s">
        <v>47</v>
      </c>
    </row>
    <row r="17" spans="1:46" x14ac:dyDescent="0.25">
      <c r="A17" t="s">
        <v>6300</v>
      </c>
      <c r="B17" s="19">
        <v>46026</v>
      </c>
      <c r="C17" t="s">
        <v>6338</v>
      </c>
      <c r="D17" t="s">
        <v>6302</v>
      </c>
      <c r="E17" t="s">
        <v>6086</v>
      </c>
      <c r="F17" t="s">
        <v>1371</v>
      </c>
      <c r="G17" t="s">
        <v>1755</v>
      </c>
      <c r="I17" t="str">
        <f>CONCATENATE(Inbound___Outbound_Shifting[[#This Row],[Batch '#]],"-",Inbound___Outbound_Shifting[[#This Row],[Exp '# or Key]])</f>
        <v>--</v>
      </c>
      <c r="J17" t="s">
        <v>6339</v>
      </c>
      <c r="K17" t="s">
        <v>6340</v>
      </c>
      <c r="L17" t="s">
        <v>1755</v>
      </c>
      <c r="M17" t="s">
        <v>1755</v>
      </c>
      <c r="N17" t="s">
        <v>1755</v>
      </c>
      <c r="O17" t="s">
        <v>6341</v>
      </c>
      <c r="P17" t="s">
        <v>6358</v>
      </c>
      <c r="Q17" t="s">
        <v>6359</v>
      </c>
      <c r="R17" t="s">
        <v>6344</v>
      </c>
      <c r="S17">
        <v>1</v>
      </c>
      <c r="T17" t="s">
        <v>6360</v>
      </c>
      <c r="U17">
        <v>1</v>
      </c>
      <c r="V17" t="s">
        <v>1755</v>
      </c>
      <c r="W17">
        <v>28070</v>
      </c>
      <c r="X17">
        <v>28070</v>
      </c>
      <c r="Y17">
        <v>46029</v>
      </c>
      <c r="Z17" t="s">
        <v>1755</v>
      </c>
      <c r="AA17" t="s">
        <v>1755</v>
      </c>
      <c r="AB17">
        <v>3</v>
      </c>
      <c r="AC17">
        <v>345000</v>
      </c>
      <c r="AD17">
        <v>421050</v>
      </c>
      <c r="AE17">
        <v>76050</v>
      </c>
      <c r="AF17" t="s">
        <v>1755</v>
      </c>
      <c r="AG17">
        <v>12.290701816886356</v>
      </c>
      <c r="AH17">
        <v>283.01886792452831</v>
      </c>
      <c r="AI17" t="s">
        <v>6308</v>
      </c>
      <c r="AJ17" t="s">
        <v>47</v>
      </c>
      <c r="AK17" t="s">
        <v>107</v>
      </c>
      <c r="AL17" t="s">
        <v>107</v>
      </c>
      <c r="AM17" t="s">
        <v>107</v>
      </c>
      <c r="AO17">
        <v>-76050</v>
      </c>
      <c r="AP17">
        <v>0.18061987887424297</v>
      </c>
      <c r="AQ17">
        <v>12.290701816886356</v>
      </c>
      <c r="AR17" t="s">
        <v>47</v>
      </c>
      <c r="AT17" t="s">
        <v>47</v>
      </c>
    </row>
    <row r="18" spans="1:46" x14ac:dyDescent="0.25">
      <c r="A18" t="s">
        <v>6300</v>
      </c>
      <c r="B18" s="19">
        <v>46026</v>
      </c>
      <c r="C18" t="s">
        <v>6338</v>
      </c>
      <c r="D18" t="s">
        <v>6302</v>
      </c>
      <c r="E18" t="s">
        <v>6086</v>
      </c>
      <c r="F18" t="s">
        <v>1371</v>
      </c>
      <c r="G18" t="s">
        <v>1755</v>
      </c>
      <c r="I18" t="str">
        <f>CONCATENATE(Inbound___Outbound_Shifting[[#This Row],[Batch '#]],"-",Inbound___Outbound_Shifting[[#This Row],[Exp '# or Key]])</f>
        <v>--</v>
      </c>
      <c r="J18" t="s">
        <v>6339</v>
      </c>
      <c r="K18" t="s">
        <v>6340</v>
      </c>
      <c r="L18" t="s">
        <v>1755</v>
      </c>
      <c r="M18" t="s">
        <v>1755</v>
      </c>
      <c r="N18" t="s">
        <v>1755</v>
      </c>
      <c r="O18" t="s">
        <v>6341</v>
      </c>
      <c r="P18" t="s">
        <v>6361</v>
      </c>
      <c r="Q18" t="s">
        <v>6362</v>
      </c>
      <c r="R18" t="s">
        <v>6344</v>
      </c>
      <c r="S18">
        <v>1</v>
      </c>
      <c r="T18" t="s">
        <v>6363</v>
      </c>
      <c r="U18">
        <v>1</v>
      </c>
      <c r="V18" t="s">
        <v>1755</v>
      </c>
      <c r="W18">
        <v>27620</v>
      </c>
      <c r="X18">
        <v>27620</v>
      </c>
      <c r="Y18">
        <v>46029</v>
      </c>
      <c r="Z18" t="s">
        <v>1755</v>
      </c>
      <c r="AA18" t="s">
        <v>1755</v>
      </c>
      <c r="AB18">
        <v>3</v>
      </c>
      <c r="AC18">
        <v>345000</v>
      </c>
      <c r="AD18">
        <v>414300</v>
      </c>
      <c r="AE18">
        <v>69300</v>
      </c>
      <c r="AF18" t="s">
        <v>1755</v>
      </c>
      <c r="AG18">
        <v>12.490948587979725</v>
      </c>
      <c r="AH18">
        <v>283.01886792452831</v>
      </c>
      <c r="AI18" t="s">
        <v>6308</v>
      </c>
      <c r="AJ18" t="s">
        <v>47</v>
      </c>
      <c r="AK18" t="s">
        <v>107</v>
      </c>
      <c r="AL18" t="s">
        <v>107</v>
      </c>
      <c r="AM18" t="s">
        <v>107</v>
      </c>
      <c r="AO18">
        <v>-69300</v>
      </c>
      <c r="AP18">
        <v>0.16727009413468502</v>
      </c>
      <c r="AQ18">
        <v>12.490948587979725</v>
      </c>
      <c r="AR18" t="s">
        <v>47</v>
      </c>
      <c r="AT18" t="s">
        <v>47</v>
      </c>
    </row>
    <row r="19" spans="1:46" x14ac:dyDescent="0.25">
      <c r="A19" t="s">
        <v>6329</v>
      </c>
      <c r="B19" s="19">
        <v>46027</v>
      </c>
      <c r="C19" t="s">
        <v>367</v>
      </c>
      <c r="D19" t="s">
        <v>6330</v>
      </c>
      <c r="E19" t="s">
        <v>117</v>
      </c>
      <c r="F19" t="s">
        <v>368</v>
      </c>
      <c r="G19" t="s">
        <v>1755</v>
      </c>
      <c r="I19" t="str">
        <f>CONCATENATE(Inbound___Outbound_Shifting[[#This Row],[Batch '#]],"-",Inbound___Outbound_Shifting[[#This Row],[Exp '# or Key]])</f>
        <v>--</v>
      </c>
      <c r="J19" t="s">
        <v>1755</v>
      </c>
      <c r="K19">
        <v>1</v>
      </c>
      <c r="L19" t="s">
        <v>117</v>
      </c>
      <c r="M19" t="s">
        <v>6364</v>
      </c>
      <c r="N19" t="s">
        <v>1755</v>
      </c>
      <c r="O19" t="s">
        <v>134</v>
      </c>
      <c r="P19" t="s">
        <v>6365</v>
      </c>
      <c r="Q19" t="s">
        <v>372</v>
      </c>
      <c r="R19" t="s">
        <v>6307</v>
      </c>
      <c r="S19" t="s">
        <v>1755</v>
      </c>
      <c r="T19" t="s">
        <v>1755</v>
      </c>
      <c r="U19" t="s">
        <v>1755</v>
      </c>
      <c r="V19" t="s">
        <v>1755</v>
      </c>
      <c r="W19">
        <v>21000</v>
      </c>
      <c r="X19">
        <v>43000</v>
      </c>
      <c r="Y19">
        <v>46030</v>
      </c>
      <c r="Z19">
        <v>46027</v>
      </c>
      <c r="AA19" t="s">
        <v>1755</v>
      </c>
      <c r="AB19">
        <v>3</v>
      </c>
      <c r="AC19">
        <v>210000</v>
      </c>
      <c r="AD19">
        <v>322500</v>
      </c>
      <c r="AE19">
        <v>112500</v>
      </c>
      <c r="AF19" t="s">
        <v>1755</v>
      </c>
      <c r="AG19">
        <v>4.8837209302325579</v>
      </c>
      <c r="AI19" t="s">
        <v>6308</v>
      </c>
      <c r="AJ19" t="s">
        <v>47</v>
      </c>
      <c r="AK19" t="s">
        <v>107</v>
      </c>
      <c r="AL19" t="s">
        <v>107</v>
      </c>
      <c r="AM19" t="s">
        <v>107</v>
      </c>
      <c r="AO19">
        <v>-112500</v>
      </c>
      <c r="AP19">
        <v>0.34883720930232559</v>
      </c>
      <c r="AQ19">
        <v>4.8837209302325579</v>
      </c>
      <c r="AR19" t="s">
        <v>47</v>
      </c>
      <c r="AT19" t="s">
        <v>47</v>
      </c>
    </row>
    <row r="20" spans="1:46" x14ac:dyDescent="0.25">
      <c r="A20" t="s">
        <v>1755</v>
      </c>
      <c r="B20" s="19">
        <v>46027</v>
      </c>
      <c r="C20" t="s">
        <v>384</v>
      </c>
      <c r="D20" t="s">
        <v>6330</v>
      </c>
      <c r="E20" t="s">
        <v>1755</v>
      </c>
      <c r="F20" t="s">
        <v>385</v>
      </c>
      <c r="G20" t="s">
        <v>1755</v>
      </c>
      <c r="I20" t="str">
        <f>CONCATENATE(Inbound___Outbound_Shifting[[#This Row],[Batch '#]],"-",Inbound___Outbound_Shifting[[#This Row],[Exp '# or Key]])</f>
        <v>--</v>
      </c>
      <c r="J20" t="s">
        <v>1755</v>
      </c>
      <c r="K20">
        <v>1</v>
      </c>
      <c r="L20" t="s">
        <v>1755</v>
      </c>
      <c r="M20" t="s">
        <v>1755</v>
      </c>
      <c r="N20" t="s">
        <v>1755</v>
      </c>
      <c r="O20" t="s">
        <v>1755</v>
      </c>
      <c r="P20" t="s">
        <v>1755</v>
      </c>
      <c r="Q20" t="s">
        <v>1755</v>
      </c>
      <c r="R20" t="s">
        <v>1755</v>
      </c>
      <c r="S20" t="s">
        <v>1755</v>
      </c>
      <c r="T20" t="s">
        <v>1755</v>
      </c>
      <c r="U20" t="s">
        <v>1755</v>
      </c>
      <c r="V20" t="s">
        <v>1755</v>
      </c>
      <c r="W20">
        <v>21000</v>
      </c>
      <c r="X20" t="s">
        <v>1755</v>
      </c>
      <c r="Y20" t="s">
        <v>1755</v>
      </c>
      <c r="Z20" t="s">
        <v>1755</v>
      </c>
      <c r="AA20" t="s">
        <v>1755</v>
      </c>
      <c r="AC20" t="s">
        <v>1755</v>
      </c>
      <c r="AE20">
        <v>0</v>
      </c>
      <c r="AF20" t="s">
        <v>1755</v>
      </c>
      <c r="AI20" t="s">
        <v>1755</v>
      </c>
      <c r="AJ20" t="s">
        <v>1755</v>
      </c>
      <c r="AK20" t="s">
        <v>1755</v>
      </c>
      <c r="AL20" t="s">
        <v>1755</v>
      </c>
      <c r="AM20" t="s">
        <v>1755</v>
      </c>
      <c r="AO20">
        <v>0</v>
      </c>
    </row>
    <row r="21" spans="1:46" x14ac:dyDescent="0.25">
      <c r="A21" t="s">
        <v>1755</v>
      </c>
      <c r="B21" s="19">
        <v>46027</v>
      </c>
      <c r="C21" t="s">
        <v>1755</v>
      </c>
      <c r="D21" t="s">
        <v>6366</v>
      </c>
      <c r="E21" t="s">
        <v>1755</v>
      </c>
      <c r="F21" t="s">
        <v>1755</v>
      </c>
      <c r="G21" t="s">
        <v>1755</v>
      </c>
      <c r="I21" t="str">
        <f>CONCATENATE(Inbound___Outbound_Shifting[[#This Row],[Batch '#]],"-",Inbound___Outbound_Shifting[[#This Row],[Exp '# or Key]])</f>
        <v>--</v>
      </c>
      <c r="J21" t="s">
        <v>1755</v>
      </c>
      <c r="K21">
        <v>2</v>
      </c>
      <c r="L21" t="s">
        <v>1755</v>
      </c>
      <c r="M21" t="s">
        <v>1755</v>
      </c>
      <c r="N21" t="s">
        <v>1755</v>
      </c>
      <c r="O21" t="s">
        <v>1755</v>
      </c>
      <c r="P21" t="s">
        <v>1755</v>
      </c>
      <c r="Q21" t="s">
        <v>1755</v>
      </c>
      <c r="R21" t="s">
        <v>1755</v>
      </c>
      <c r="S21" t="s">
        <v>1755</v>
      </c>
      <c r="T21" t="s">
        <v>1755</v>
      </c>
      <c r="U21" t="s">
        <v>1755</v>
      </c>
      <c r="V21" t="s">
        <v>1755</v>
      </c>
      <c r="W21">
        <v>1000</v>
      </c>
      <c r="X21" t="s">
        <v>1755</v>
      </c>
      <c r="Y21" t="s">
        <v>1755</v>
      </c>
      <c r="Z21" t="s">
        <v>1755</v>
      </c>
      <c r="AA21" t="s">
        <v>1755</v>
      </c>
      <c r="AC21" t="s">
        <v>1755</v>
      </c>
      <c r="AE21">
        <v>0</v>
      </c>
      <c r="AF21" t="s">
        <v>1755</v>
      </c>
      <c r="AI21" t="s">
        <v>1755</v>
      </c>
      <c r="AJ21" t="s">
        <v>1755</v>
      </c>
      <c r="AK21" t="s">
        <v>1755</v>
      </c>
      <c r="AL21" t="s">
        <v>1755</v>
      </c>
      <c r="AM21" t="s">
        <v>1755</v>
      </c>
      <c r="AO21">
        <v>0</v>
      </c>
    </row>
    <row r="22" spans="1:46" x14ac:dyDescent="0.25">
      <c r="A22" t="s">
        <v>6329</v>
      </c>
      <c r="B22" s="19">
        <v>46029</v>
      </c>
      <c r="C22" t="s">
        <v>1193</v>
      </c>
      <c r="D22" t="s">
        <v>1141</v>
      </c>
      <c r="E22" t="s">
        <v>366</v>
      </c>
      <c r="F22" t="s">
        <v>35</v>
      </c>
      <c r="G22" t="s">
        <v>1755</v>
      </c>
      <c r="I22" t="str">
        <f>CONCATENATE(Inbound___Outbound_Shifting[[#This Row],[Batch '#]],"-",Inbound___Outbound_Shifting[[#This Row],[Exp '# or Key]])</f>
        <v>--</v>
      </c>
      <c r="J22" t="s">
        <v>1755</v>
      </c>
      <c r="K22">
        <v>1</v>
      </c>
      <c r="L22" t="s">
        <v>366</v>
      </c>
      <c r="M22" t="s">
        <v>6331</v>
      </c>
      <c r="N22" t="s">
        <v>1755</v>
      </c>
      <c r="O22" t="s">
        <v>128</v>
      </c>
      <c r="P22" t="s">
        <v>1755</v>
      </c>
      <c r="Q22" t="s">
        <v>1755</v>
      </c>
      <c r="R22" t="s">
        <v>6333</v>
      </c>
      <c r="S22" t="s">
        <v>1755</v>
      </c>
      <c r="T22" t="s">
        <v>1755</v>
      </c>
      <c r="U22" t="s">
        <v>1755</v>
      </c>
      <c r="V22" t="s">
        <v>1755</v>
      </c>
      <c r="W22">
        <v>170</v>
      </c>
      <c r="X22">
        <v>170</v>
      </c>
      <c r="Y22">
        <v>46029</v>
      </c>
      <c r="Z22">
        <v>46029</v>
      </c>
      <c r="AA22" t="s">
        <v>1755</v>
      </c>
      <c r="AB22">
        <v>0</v>
      </c>
      <c r="AC22" t="s">
        <v>1755</v>
      </c>
      <c r="AD22">
        <v>1275</v>
      </c>
      <c r="AE22">
        <v>0</v>
      </c>
      <c r="AF22" t="s">
        <v>1755</v>
      </c>
      <c r="AI22" t="s">
        <v>6334</v>
      </c>
      <c r="AJ22" t="s">
        <v>47</v>
      </c>
      <c r="AK22" t="s">
        <v>6335</v>
      </c>
      <c r="AL22" t="s">
        <v>6335</v>
      </c>
      <c r="AM22" t="s">
        <v>6335</v>
      </c>
      <c r="AO22">
        <v>-1275</v>
      </c>
      <c r="AP22">
        <v>1</v>
      </c>
      <c r="AQ22">
        <v>0</v>
      </c>
      <c r="AR22" t="s">
        <v>47</v>
      </c>
      <c r="AT22" t="s">
        <v>47</v>
      </c>
    </row>
    <row r="23" spans="1:46" x14ac:dyDescent="0.25">
      <c r="A23" t="s">
        <v>6329</v>
      </c>
      <c r="B23" s="19">
        <v>46029</v>
      </c>
      <c r="C23">
        <v>155</v>
      </c>
      <c r="D23" t="s">
        <v>1602</v>
      </c>
      <c r="E23" t="s">
        <v>1371</v>
      </c>
      <c r="F23" t="s">
        <v>103</v>
      </c>
      <c r="G23" t="s">
        <v>1755</v>
      </c>
      <c r="I23" t="str">
        <f>CONCATENATE(Inbound___Outbound_Shifting[[#This Row],[Batch '#]],"-",Inbound___Outbound_Shifting[[#This Row],[Exp '# or Key]])</f>
        <v>--</v>
      </c>
      <c r="J23" t="s">
        <v>1755</v>
      </c>
      <c r="K23">
        <v>295</v>
      </c>
      <c r="L23" t="s">
        <v>1371</v>
      </c>
      <c r="M23" t="s">
        <v>6367</v>
      </c>
      <c r="N23" t="s">
        <v>1755</v>
      </c>
      <c r="O23" t="s">
        <v>104</v>
      </c>
      <c r="P23" t="s">
        <v>6368</v>
      </c>
      <c r="Q23" t="s">
        <v>105</v>
      </c>
      <c r="R23" t="s">
        <v>6333</v>
      </c>
      <c r="S23" t="s">
        <v>1755</v>
      </c>
      <c r="T23" t="s">
        <v>1755</v>
      </c>
      <c r="U23" t="s">
        <v>1755</v>
      </c>
      <c r="V23" t="s">
        <v>1755</v>
      </c>
      <c r="W23">
        <v>2000</v>
      </c>
      <c r="X23">
        <v>2000</v>
      </c>
      <c r="Y23">
        <v>46030</v>
      </c>
      <c r="Z23">
        <v>46029</v>
      </c>
      <c r="AA23" t="s">
        <v>1755</v>
      </c>
      <c r="AB23">
        <v>1</v>
      </c>
      <c r="AC23">
        <v>40000</v>
      </c>
      <c r="AD23">
        <v>15000</v>
      </c>
      <c r="AE23">
        <v>-25000</v>
      </c>
      <c r="AF23" t="s">
        <v>1755</v>
      </c>
      <c r="AG23">
        <v>20</v>
      </c>
      <c r="AI23" t="s">
        <v>6369</v>
      </c>
      <c r="AJ23" t="s">
        <v>47</v>
      </c>
      <c r="AK23" t="s">
        <v>6335</v>
      </c>
      <c r="AL23" t="s">
        <v>6335</v>
      </c>
      <c r="AM23" t="s">
        <v>6335</v>
      </c>
      <c r="AO23">
        <v>25000</v>
      </c>
      <c r="AP23">
        <v>-1.6666666666666667</v>
      </c>
      <c r="AQ23">
        <v>20</v>
      </c>
      <c r="AR23" t="s">
        <v>47</v>
      </c>
      <c r="AT23" t="s">
        <v>47</v>
      </c>
    </row>
    <row r="24" spans="1:46" x14ac:dyDescent="0.25">
      <c r="A24" t="s">
        <v>6329</v>
      </c>
      <c r="B24" s="19">
        <v>46029</v>
      </c>
      <c r="C24" t="s">
        <v>367</v>
      </c>
      <c r="D24" t="s">
        <v>6330</v>
      </c>
      <c r="E24" t="s">
        <v>117</v>
      </c>
      <c r="F24" t="s">
        <v>368</v>
      </c>
      <c r="G24" t="s">
        <v>1755</v>
      </c>
      <c r="I24" t="str">
        <f>CONCATENATE(Inbound___Outbound_Shifting[[#This Row],[Batch '#]],"-",Inbound___Outbound_Shifting[[#This Row],[Exp '# or Key]])</f>
        <v>--</v>
      </c>
      <c r="J24" t="s">
        <v>1755</v>
      </c>
      <c r="K24">
        <v>2</v>
      </c>
      <c r="L24" t="s">
        <v>117</v>
      </c>
      <c r="M24" t="s">
        <v>6364</v>
      </c>
      <c r="N24" t="s">
        <v>1755</v>
      </c>
      <c r="O24" t="s">
        <v>175</v>
      </c>
      <c r="P24" t="s">
        <v>6370</v>
      </c>
      <c r="Q24" t="s">
        <v>6371</v>
      </c>
      <c r="R24" t="s">
        <v>6307</v>
      </c>
      <c r="S24" t="s">
        <v>1755</v>
      </c>
      <c r="T24" t="s">
        <v>1755</v>
      </c>
      <c r="U24" t="s">
        <v>1755</v>
      </c>
      <c r="V24" t="s">
        <v>1755</v>
      </c>
      <c r="W24">
        <v>42000</v>
      </c>
      <c r="X24">
        <v>43000</v>
      </c>
      <c r="Y24">
        <v>46032</v>
      </c>
      <c r="Z24">
        <v>46029</v>
      </c>
      <c r="AA24" t="s">
        <v>1755</v>
      </c>
      <c r="AB24">
        <v>3</v>
      </c>
      <c r="AC24">
        <v>210000</v>
      </c>
      <c r="AD24">
        <v>322500</v>
      </c>
      <c r="AE24">
        <v>112500</v>
      </c>
      <c r="AF24" t="s">
        <v>1755</v>
      </c>
      <c r="AG24">
        <v>4.8837209302325579</v>
      </c>
      <c r="AI24" t="s">
        <v>6308</v>
      </c>
      <c r="AJ24" t="s">
        <v>47</v>
      </c>
      <c r="AK24" t="s">
        <v>107</v>
      </c>
      <c r="AL24" t="s">
        <v>107</v>
      </c>
      <c r="AM24" t="s">
        <v>107</v>
      </c>
      <c r="AO24">
        <v>-112500</v>
      </c>
      <c r="AP24">
        <v>0.34883720930232559</v>
      </c>
      <c r="AQ24">
        <v>4.8837209302325579</v>
      </c>
      <c r="AR24" t="s">
        <v>47</v>
      </c>
      <c r="AT24" t="s">
        <v>47</v>
      </c>
    </row>
    <row r="25" spans="1:46" x14ac:dyDescent="0.25">
      <c r="A25" t="s">
        <v>1755</v>
      </c>
      <c r="B25" s="19">
        <v>46029</v>
      </c>
      <c r="C25" t="s">
        <v>1296</v>
      </c>
      <c r="D25" t="s">
        <v>1600</v>
      </c>
      <c r="E25" t="s">
        <v>1755</v>
      </c>
      <c r="F25" t="s">
        <v>1297</v>
      </c>
      <c r="G25" t="s">
        <v>1755</v>
      </c>
      <c r="I25" t="str">
        <f>CONCATENATE(Inbound___Outbound_Shifting[[#This Row],[Batch '#]],"-",Inbound___Outbound_Shifting[[#This Row],[Exp '# or Key]])</f>
        <v>--</v>
      </c>
      <c r="J25" t="s">
        <v>1755</v>
      </c>
      <c r="K25">
        <v>3</v>
      </c>
      <c r="L25" t="s">
        <v>1755</v>
      </c>
      <c r="M25" t="s">
        <v>1755</v>
      </c>
      <c r="N25" t="s">
        <v>1755</v>
      </c>
      <c r="R25" t="s">
        <v>1755</v>
      </c>
      <c r="S25" t="s">
        <v>1755</v>
      </c>
      <c r="T25" t="s">
        <v>1755</v>
      </c>
      <c r="U25" t="s">
        <v>1755</v>
      </c>
      <c r="V25" t="s">
        <v>1755</v>
      </c>
      <c r="W25">
        <v>1000</v>
      </c>
      <c r="X25" t="s">
        <v>1755</v>
      </c>
      <c r="Y25" t="s">
        <v>1755</v>
      </c>
      <c r="Z25" t="s">
        <v>1755</v>
      </c>
      <c r="AA25" t="s">
        <v>1755</v>
      </c>
      <c r="AC25" t="s">
        <v>1755</v>
      </c>
      <c r="AE25">
        <v>0</v>
      </c>
      <c r="AF25" t="s">
        <v>1755</v>
      </c>
      <c r="AI25" t="s">
        <v>1755</v>
      </c>
      <c r="AJ25" t="s">
        <v>1755</v>
      </c>
      <c r="AK25" t="s">
        <v>1755</v>
      </c>
      <c r="AL25" t="s">
        <v>1755</v>
      </c>
      <c r="AM25" t="s">
        <v>1755</v>
      </c>
      <c r="AO25">
        <v>0</v>
      </c>
    </row>
    <row r="26" spans="1:46" x14ac:dyDescent="0.25">
      <c r="A26" t="s">
        <v>6329</v>
      </c>
      <c r="B26" s="19">
        <v>46030</v>
      </c>
      <c r="C26" t="s">
        <v>301</v>
      </c>
      <c r="D26" t="s">
        <v>6330</v>
      </c>
      <c r="E26" t="s">
        <v>117</v>
      </c>
      <c r="F26" t="s">
        <v>44</v>
      </c>
      <c r="G26" t="s">
        <v>1755</v>
      </c>
      <c r="I26" t="str">
        <f>CONCATENATE(Inbound___Outbound_Shifting[[#This Row],[Batch '#]],"-",Inbound___Outbound_Shifting[[#This Row],[Exp '# or Key]])</f>
        <v>--</v>
      </c>
      <c r="J26" t="s">
        <v>1755</v>
      </c>
      <c r="K26">
        <v>4</v>
      </c>
      <c r="L26" t="s">
        <v>117</v>
      </c>
      <c r="M26" t="s">
        <v>6364</v>
      </c>
      <c r="N26" t="s">
        <v>1755</v>
      </c>
      <c r="O26" t="s">
        <v>134</v>
      </c>
      <c r="P26" t="s">
        <v>6372</v>
      </c>
      <c r="Q26" t="s">
        <v>309</v>
      </c>
      <c r="R26" t="s">
        <v>6307</v>
      </c>
      <c r="S26" t="s">
        <v>1755</v>
      </c>
      <c r="T26" t="s">
        <v>1755</v>
      </c>
      <c r="U26" t="s">
        <v>1755</v>
      </c>
      <c r="V26" t="s">
        <v>1755</v>
      </c>
      <c r="W26">
        <v>52000</v>
      </c>
      <c r="X26">
        <v>52000</v>
      </c>
      <c r="Y26">
        <v>46033</v>
      </c>
      <c r="Z26">
        <v>46030</v>
      </c>
      <c r="AA26" t="s">
        <v>1755</v>
      </c>
      <c r="AB26">
        <v>3</v>
      </c>
      <c r="AC26">
        <v>260000</v>
      </c>
      <c r="AD26">
        <v>390000</v>
      </c>
      <c r="AE26">
        <v>130000</v>
      </c>
      <c r="AF26" t="s">
        <v>1755</v>
      </c>
      <c r="AG26">
        <v>5</v>
      </c>
      <c r="AI26" t="s">
        <v>6308</v>
      </c>
      <c r="AJ26" t="s">
        <v>47</v>
      </c>
      <c r="AK26" t="s">
        <v>107</v>
      </c>
      <c r="AL26" t="s">
        <v>107</v>
      </c>
      <c r="AM26" t="s">
        <v>107</v>
      </c>
      <c r="AO26">
        <v>-130000</v>
      </c>
      <c r="AP26">
        <v>0.33333333333333331</v>
      </c>
      <c r="AQ26">
        <v>5</v>
      </c>
      <c r="AR26" t="s">
        <v>47</v>
      </c>
      <c r="AT26" t="s">
        <v>47</v>
      </c>
    </row>
    <row r="27" spans="1:46" x14ac:dyDescent="0.25">
      <c r="A27" t="s">
        <v>6300</v>
      </c>
      <c r="B27" s="19">
        <v>46031</v>
      </c>
      <c r="C27" t="s">
        <v>6373</v>
      </c>
      <c r="D27" t="s">
        <v>6302</v>
      </c>
      <c r="E27" t="s">
        <v>1268</v>
      </c>
      <c r="F27" t="s">
        <v>1371</v>
      </c>
      <c r="G27" t="s">
        <v>1755</v>
      </c>
      <c r="I27" t="str">
        <f>CONCATENATE(Inbound___Outbound_Shifting[[#This Row],[Batch '#]],"-",Inbound___Outbound_Shifting[[#This Row],[Exp '# or Key]])</f>
        <v>--</v>
      </c>
      <c r="J27" t="s">
        <v>6374</v>
      </c>
      <c r="K27" t="s">
        <v>6375</v>
      </c>
      <c r="L27" t="s">
        <v>1755</v>
      </c>
      <c r="M27" t="s">
        <v>1755</v>
      </c>
      <c r="N27" t="s">
        <v>1755</v>
      </c>
      <c r="O27" t="s">
        <v>455</v>
      </c>
      <c r="P27" t="s">
        <v>6376</v>
      </c>
      <c r="Q27" t="s">
        <v>6377</v>
      </c>
      <c r="R27" t="s">
        <v>6307</v>
      </c>
      <c r="S27">
        <v>1</v>
      </c>
      <c r="T27" t="s">
        <v>1755</v>
      </c>
      <c r="U27" t="s">
        <v>1755</v>
      </c>
      <c r="V27" t="s">
        <v>1755</v>
      </c>
      <c r="W27">
        <v>29000</v>
      </c>
      <c r="X27">
        <v>29000</v>
      </c>
      <c r="Y27">
        <v>46035</v>
      </c>
      <c r="Z27" t="s">
        <v>1755</v>
      </c>
      <c r="AA27" t="s">
        <v>1755</v>
      </c>
      <c r="AB27">
        <v>4</v>
      </c>
      <c r="AC27">
        <v>380000</v>
      </c>
      <c r="AD27">
        <v>435000</v>
      </c>
      <c r="AE27">
        <v>55000</v>
      </c>
      <c r="AF27" t="s">
        <v>1755</v>
      </c>
      <c r="AG27">
        <v>13.103448275862069</v>
      </c>
      <c r="AH27">
        <v>311.7309269893355</v>
      </c>
      <c r="AI27" t="s">
        <v>6308</v>
      </c>
      <c r="AJ27" t="s">
        <v>47</v>
      </c>
      <c r="AK27" t="s">
        <v>107</v>
      </c>
      <c r="AL27" t="s">
        <v>107</v>
      </c>
      <c r="AM27" t="s">
        <v>107</v>
      </c>
      <c r="AO27">
        <v>-55000</v>
      </c>
      <c r="AP27">
        <v>0.12643678160919541</v>
      </c>
      <c r="AQ27">
        <v>13.103448275862069</v>
      </c>
      <c r="AR27" t="s">
        <v>47</v>
      </c>
      <c r="AT27" t="s">
        <v>47</v>
      </c>
    </row>
    <row r="28" spans="1:46" x14ac:dyDescent="0.25">
      <c r="A28" t="s">
        <v>1755</v>
      </c>
      <c r="B28" s="19">
        <v>46031</v>
      </c>
      <c r="C28" t="s">
        <v>6378</v>
      </c>
      <c r="D28" t="s">
        <v>6302</v>
      </c>
      <c r="E28" t="s">
        <v>1268</v>
      </c>
      <c r="F28" t="s">
        <v>6319</v>
      </c>
      <c r="G28" t="s">
        <v>1755</v>
      </c>
      <c r="I28" t="str">
        <f>CONCATENATE(Inbound___Outbound_Shifting[[#This Row],[Batch '#]],"-",Inbound___Outbound_Shifting[[#This Row],[Exp '# or Key]])</f>
        <v>--</v>
      </c>
      <c r="J28" t="s">
        <v>6379</v>
      </c>
      <c r="K28" t="s">
        <v>6380</v>
      </c>
      <c r="L28" t="s">
        <v>1755</v>
      </c>
      <c r="M28" t="s">
        <v>1755</v>
      </c>
      <c r="N28" t="s">
        <v>1755</v>
      </c>
      <c r="O28" t="s">
        <v>1755</v>
      </c>
      <c r="P28" t="s">
        <v>1755</v>
      </c>
      <c r="Q28" t="s">
        <v>1755</v>
      </c>
      <c r="R28" t="s">
        <v>1755</v>
      </c>
      <c r="S28" t="s">
        <v>1755</v>
      </c>
      <c r="T28" t="s">
        <v>1755</v>
      </c>
      <c r="U28" t="s">
        <v>1755</v>
      </c>
      <c r="V28" t="s">
        <v>1755</v>
      </c>
      <c r="W28" t="s">
        <v>1755</v>
      </c>
      <c r="X28" t="s">
        <v>1755</v>
      </c>
      <c r="Y28">
        <v>46035</v>
      </c>
      <c r="Z28" t="s">
        <v>1755</v>
      </c>
      <c r="AA28" t="s">
        <v>1755</v>
      </c>
      <c r="AB28">
        <v>4</v>
      </c>
      <c r="AC28">
        <v>0</v>
      </c>
      <c r="AE28">
        <v>0</v>
      </c>
      <c r="AF28" t="s">
        <v>1755</v>
      </c>
      <c r="AH28">
        <v>0</v>
      </c>
      <c r="AI28" t="s">
        <v>1755</v>
      </c>
      <c r="AJ28" t="s">
        <v>1755</v>
      </c>
      <c r="AK28" t="s">
        <v>1755</v>
      </c>
      <c r="AL28" t="s">
        <v>1755</v>
      </c>
      <c r="AM28" t="s">
        <v>1755</v>
      </c>
      <c r="AO28">
        <v>0</v>
      </c>
    </row>
    <row r="29" spans="1:46" x14ac:dyDescent="0.25">
      <c r="A29" t="s">
        <v>1755</v>
      </c>
      <c r="B29" s="19">
        <v>46031</v>
      </c>
      <c r="C29" t="s">
        <v>6381</v>
      </c>
      <c r="D29" t="s">
        <v>6302</v>
      </c>
      <c r="E29" t="s">
        <v>1268</v>
      </c>
      <c r="F29" t="s">
        <v>117</v>
      </c>
      <c r="G29" t="s">
        <v>1755</v>
      </c>
      <c r="I29" t="str">
        <f>CONCATENATE(Inbound___Outbound_Shifting[[#This Row],[Batch '#]],"-",Inbound___Outbound_Shifting[[#This Row],[Exp '# or Key]])</f>
        <v>--</v>
      </c>
      <c r="J29" t="s">
        <v>6382</v>
      </c>
      <c r="K29" t="s">
        <v>6383</v>
      </c>
      <c r="L29" t="s">
        <v>1755</v>
      </c>
      <c r="M29" t="s">
        <v>1755</v>
      </c>
      <c r="N29" t="s">
        <v>1755</v>
      </c>
      <c r="O29" t="s">
        <v>1755</v>
      </c>
      <c r="P29" t="s">
        <v>1755</v>
      </c>
      <c r="Q29" t="s">
        <v>1755</v>
      </c>
      <c r="R29" t="s">
        <v>1755</v>
      </c>
      <c r="S29" t="s">
        <v>1755</v>
      </c>
      <c r="T29" t="s">
        <v>1755</v>
      </c>
      <c r="U29" t="s">
        <v>1755</v>
      </c>
      <c r="V29" t="s">
        <v>1755</v>
      </c>
      <c r="W29" t="s">
        <v>1755</v>
      </c>
      <c r="X29" t="s">
        <v>1755</v>
      </c>
      <c r="Y29">
        <v>46035</v>
      </c>
      <c r="Z29" t="s">
        <v>1755</v>
      </c>
      <c r="AA29" t="s">
        <v>1755</v>
      </c>
      <c r="AB29">
        <v>4</v>
      </c>
      <c r="AC29">
        <v>0</v>
      </c>
      <c r="AE29">
        <v>0</v>
      </c>
      <c r="AF29" t="s">
        <v>1755</v>
      </c>
      <c r="AH29">
        <v>0</v>
      </c>
      <c r="AI29" t="s">
        <v>1755</v>
      </c>
      <c r="AJ29" t="s">
        <v>1755</v>
      </c>
      <c r="AK29" t="s">
        <v>1755</v>
      </c>
      <c r="AL29" t="s">
        <v>1755</v>
      </c>
      <c r="AM29" t="s">
        <v>1755</v>
      </c>
      <c r="AO29">
        <v>0</v>
      </c>
    </row>
    <row r="30" spans="1:46" x14ac:dyDescent="0.25">
      <c r="A30" t="s">
        <v>6329</v>
      </c>
      <c r="B30" s="19">
        <v>46034</v>
      </c>
      <c r="C30" t="s">
        <v>1755</v>
      </c>
      <c r="D30" t="s">
        <v>1600</v>
      </c>
      <c r="E30" t="s">
        <v>366</v>
      </c>
      <c r="F30" t="s">
        <v>1292</v>
      </c>
      <c r="G30" t="s">
        <v>1755</v>
      </c>
      <c r="I30" t="str">
        <f>CONCATENATE(Inbound___Outbound_Shifting[[#This Row],[Batch '#]],"-",Inbound___Outbound_Shifting[[#This Row],[Exp '# or Key]])</f>
        <v>--</v>
      </c>
      <c r="J30" t="s">
        <v>1755</v>
      </c>
      <c r="K30">
        <v>2</v>
      </c>
      <c r="L30" t="s">
        <v>366</v>
      </c>
      <c r="M30" t="s">
        <v>6384</v>
      </c>
      <c r="N30" t="s">
        <v>1755</v>
      </c>
      <c r="O30" t="s">
        <v>455</v>
      </c>
      <c r="P30" t="s">
        <v>6385</v>
      </c>
      <c r="Q30" t="s">
        <v>6386</v>
      </c>
      <c r="R30" t="s">
        <v>6333</v>
      </c>
      <c r="S30" t="s">
        <v>1755</v>
      </c>
      <c r="T30" t="s">
        <v>1755</v>
      </c>
      <c r="U30" t="s">
        <v>1755</v>
      </c>
      <c r="V30" t="s">
        <v>1755</v>
      </c>
      <c r="W30">
        <v>25000</v>
      </c>
      <c r="X30">
        <v>200</v>
      </c>
      <c r="Y30">
        <v>46034</v>
      </c>
      <c r="Z30">
        <v>46034</v>
      </c>
      <c r="AA30" t="s">
        <v>1755</v>
      </c>
      <c r="AB30">
        <v>0</v>
      </c>
      <c r="AC30">
        <v>26000</v>
      </c>
      <c r="AD30">
        <v>1500</v>
      </c>
      <c r="AE30">
        <v>-24500</v>
      </c>
      <c r="AF30" t="s">
        <v>1755</v>
      </c>
      <c r="AG30">
        <v>130</v>
      </c>
      <c r="AI30" t="s">
        <v>6334</v>
      </c>
      <c r="AJ30" t="s">
        <v>47</v>
      </c>
      <c r="AK30" t="s">
        <v>6335</v>
      </c>
      <c r="AL30" t="s">
        <v>6335</v>
      </c>
      <c r="AM30" t="s">
        <v>6335</v>
      </c>
      <c r="AO30">
        <v>24500</v>
      </c>
      <c r="AP30">
        <v>-16.333333333333332</v>
      </c>
      <c r="AQ30">
        <v>130</v>
      </c>
      <c r="AR30" t="s">
        <v>47</v>
      </c>
      <c r="AT30" t="s">
        <v>47</v>
      </c>
    </row>
    <row r="31" spans="1:46" x14ac:dyDescent="0.25">
      <c r="A31" t="s">
        <v>6329</v>
      </c>
      <c r="B31" s="19">
        <v>46034</v>
      </c>
      <c r="C31" t="s">
        <v>640</v>
      </c>
      <c r="D31" t="s">
        <v>6330</v>
      </c>
      <c r="E31" t="s">
        <v>117</v>
      </c>
      <c r="F31" t="s">
        <v>6387</v>
      </c>
      <c r="G31" t="s">
        <v>1755</v>
      </c>
      <c r="I31" t="str">
        <f>CONCATENATE(Inbound___Outbound_Shifting[[#This Row],[Batch '#]],"-",Inbound___Outbound_Shifting[[#This Row],[Exp '# or Key]])</f>
        <v>--</v>
      </c>
      <c r="J31" t="s">
        <v>1755</v>
      </c>
      <c r="K31">
        <v>1</v>
      </c>
      <c r="L31" t="s">
        <v>117</v>
      </c>
      <c r="M31" t="s">
        <v>6364</v>
      </c>
      <c r="N31" t="s">
        <v>1755</v>
      </c>
      <c r="O31" t="s">
        <v>175</v>
      </c>
      <c r="P31" t="s">
        <v>6388</v>
      </c>
      <c r="Q31" t="s">
        <v>645</v>
      </c>
      <c r="R31" t="s">
        <v>6307</v>
      </c>
      <c r="S31" t="s">
        <v>1755</v>
      </c>
      <c r="T31" t="s">
        <v>1755</v>
      </c>
      <c r="U31" t="s">
        <v>1755</v>
      </c>
      <c r="V31" t="s">
        <v>1755</v>
      </c>
      <c r="W31">
        <v>15000</v>
      </c>
      <c r="X31">
        <v>15000</v>
      </c>
      <c r="Y31">
        <v>46037</v>
      </c>
      <c r="Z31">
        <v>46034</v>
      </c>
      <c r="AA31" t="s">
        <v>1755</v>
      </c>
      <c r="AB31">
        <v>3</v>
      </c>
      <c r="AC31">
        <v>110000</v>
      </c>
      <c r="AD31">
        <v>112500</v>
      </c>
      <c r="AE31">
        <v>2500</v>
      </c>
      <c r="AF31" t="s">
        <v>1755</v>
      </c>
      <c r="AG31">
        <v>7.333333333333333</v>
      </c>
      <c r="AI31" t="s">
        <v>6308</v>
      </c>
      <c r="AJ31" t="s">
        <v>47</v>
      </c>
      <c r="AK31" t="s">
        <v>107</v>
      </c>
      <c r="AL31" t="s">
        <v>107</v>
      </c>
      <c r="AM31" t="s">
        <v>107</v>
      </c>
      <c r="AO31">
        <v>-2500</v>
      </c>
      <c r="AP31">
        <v>2.2222222222222223E-2</v>
      </c>
      <c r="AQ31">
        <v>7.333333333333333</v>
      </c>
      <c r="AR31" t="s">
        <v>47</v>
      </c>
      <c r="AT31" t="s">
        <v>47</v>
      </c>
    </row>
    <row r="32" spans="1:46" x14ac:dyDescent="0.25">
      <c r="A32" t="s">
        <v>6329</v>
      </c>
      <c r="B32" s="19">
        <v>46035</v>
      </c>
      <c r="C32" t="s">
        <v>237</v>
      </c>
      <c r="D32" t="s">
        <v>6330</v>
      </c>
      <c r="E32" t="s">
        <v>117</v>
      </c>
      <c r="F32" t="s">
        <v>238</v>
      </c>
      <c r="G32" t="s">
        <v>1755</v>
      </c>
      <c r="I32" t="str">
        <f>CONCATENATE(Inbound___Outbound_Shifting[[#This Row],[Batch '#]],"-",Inbound___Outbound_Shifting[[#This Row],[Exp '# or Key]])</f>
        <v>--</v>
      </c>
      <c r="J32" t="s">
        <v>1755</v>
      </c>
      <c r="K32">
        <v>8</v>
      </c>
      <c r="L32" t="s">
        <v>117</v>
      </c>
      <c r="M32" t="s">
        <v>6364</v>
      </c>
      <c r="N32" t="s">
        <v>1755</v>
      </c>
      <c r="O32" t="s">
        <v>134</v>
      </c>
      <c r="P32" t="s">
        <v>6389</v>
      </c>
      <c r="Q32" t="s">
        <v>247</v>
      </c>
      <c r="R32" t="s">
        <v>6307</v>
      </c>
      <c r="S32" t="s">
        <v>1755</v>
      </c>
      <c r="T32" t="s">
        <v>1755</v>
      </c>
      <c r="U32" t="s">
        <v>1755</v>
      </c>
      <c r="V32" t="s">
        <v>1755</v>
      </c>
      <c r="W32">
        <v>60500</v>
      </c>
      <c r="X32">
        <v>65000</v>
      </c>
      <c r="Y32">
        <v>46038</v>
      </c>
      <c r="Z32">
        <v>46035</v>
      </c>
      <c r="AA32" t="s">
        <v>1755</v>
      </c>
      <c r="AB32">
        <v>3</v>
      </c>
      <c r="AC32">
        <v>320000</v>
      </c>
      <c r="AD32">
        <v>487500</v>
      </c>
      <c r="AE32">
        <v>167500</v>
      </c>
      <c r="AF32" t="s">
        <v>1755</v>
      </c>
      <c r="AG32">
        <v>4.9230769230769234</v>
      </c>
      <c r="AI32" t="s">
        <v>6308</v>
      </c>
      <c r="AJ32" t="s">
        <v>47</v>
      </c>
      <c r="AK32" t="s">
        <v>107</v>
      </c>
      <c r="AL32" t="s">
        <v>107</v>
      </c>
      <c r="AM32" t="s">
        <v>107</v>
      </c>
      <c r="AO32">
        <v>-167500</v>
      </c>
      <c r="AP32">
        <v>0.34358974358974359</v>
      </c>
      <c r="AQ32">
        <v>4.9230769230769234</v>
      </c>
      <c r="AR32" t="s">
        <v>47</v>
      </c>
      <c r="AT32" t="s">
        <v>47</v>
      </c>
    </row>
    <row r="33" spans="1:46" x14ac:dyDescent="0.25">
      <c r="A33" t="s">
        <v>1755</v>
      </c>
      <c r="B33" s="19">
        <v>46035</v>
      </c>
      <c r="C33" t="s">
        <v>1231</v>
      </c>
      <c r="D33" t="s">
        <v>1141</v>
      </c>
      <c r="E33" t="s">
        <v>2766</v>
      </c>
      <c r="F33" t="s">
        <v>1138</v>
      </c>
      <c r="G33" t="s">
        <v>1755</v>
      </c>
      <c r="I33" t="str">
        <f>CONCATENATE(Inbound___Outbound_Shifting[[#This Row],[Batch '#]],"-",Inbound___Outbound_Shifting[[#This Row],[Exp '# or Key]])</f>
        <v>--</v>
      </c>
      <c r="J33" t="s">
        <v>1755</v>
      </c>
      <c r="K33">
        <v>3</v>
      </c>
      <c r="L33" t="s">
        <v>2766</v>
      </c>
      <c r="M33" t="s">
        <v>1755</v>
      </c>
      <c r="N33" t="s">
        <v>1755</v>
      </c>
      <c r="O33" t="s">
        <v>1755</v>
      </c>
      <c r="P33" t="s">
        <v>1755</v>
      </c>
      <c r="Q33" t="s">
        <v>1755</v>
      </c>
      <c r="R33" t="s">
        <v>1755</v>
      </c>
      <c r="S33" t="s">
        <v>1755</v>
      </c>
      <c r="T33" t="s">
        <v>1755</v>
      </c>
      <c r="U33" t="s">
        <v>1755</v>
      </c>
      <c r="V33" t="s">
        <v>1755</v>
      </c>
      <c r="W33">
        <v>2500</v>
      </c>
      <c r="X33" t="s">
        <v>1755</v>
      </c>
      <c r="Y33" t="s">
        <v>1755</v>
      </c>
      <c r="Z33" t="s">
        <v>1755</v>
      </c>
      <c r="AA33" t="s">
        <v>1755</v>
      </c>
      <c r="AC33" t="s">
        <v>1755</v>
      </c>
      <c r="AE33">
        <v>0</v>
      </c>
      <c r="AF33" t="s">
        <v>1755</v>
      </c>
      <c r="AI33" t="s">
        <v>1755</v>
      </c>
      <c r="AJ33" t="s">
        <v>1755</v>
      </c>
      <c r="AK33" t="s">
        <v>1755</v>
      </c>
      <c r="AL33" t="s">
        <v>1755</v>
      </c>
      <c r="AM33" t="s">
        <v>1755</v>
      </c>
      <c r="AO33">
        <v>0</v>
      </c>
    </row>
    <row r="34" spans="1:46" x14ac:dyDescent="0.25">
      <c r="A34" t="s">
        <v>1755</v>
      </c>
      <c r="B34" s="19">
        <v>46035</v>
      </c>
      <c r="C34" t="s">
        <v>1137</v>
      </c>
      <c r="D34" t="s">
        <v>1141</v>
      </c>
      <c r="E34" t="s">
        <v>117</v>
      </c>
      <c r="F34" t="s">
        <v>1138</v>
      </c>
      <c r="G34" t="s">
        <v>1755</v>
      </c>
      <c r="I34" t="str">
        <f>CONCATENATE(Inbound___Outbound_Shifting[[#This Row],[Batch '#]],"-",Inbound___Outbound_Shifting[[#This Row],[Exp '# or Key]])</f>
        <v>--</v>
      </c>
      <c r="J34" t="s">
        <v>1755</v>
      </c>
      <c r="K34">
        <v>1</v>
      </c>
      <c r="L34" t="s">
        <v>117</v>
      </c>
      <c r="M34" t="s">
        <v>1755</v>
      </c>
      <c r="N34" t="s">
        <v>1755</v>
      </c>
      <c r="O34" t="s">
        <v>1755</v>
      </c>
      <c r="P34" t="s">
        <v>1755</v>
      </c>
      <c r="Q34" t="s">
        <v>1755</v>
      </c>
      <c r="R34" t="s">
        <v>1755</v>
      </c>
      <c r="S34" t="s">
        <v>1755</v>
      </c>
      <c r="T34" t="s">
        <v>1755</v>
      </c>
      <c r="U34" t="s">
        <v>1755</v>
      </c>
      <c r="V34" t="s">
        <v>1755</v>
      </c>
      <c r="W34">
        <v>1000</v>
      </c>
      <c r="X34" t="s">
        <v>1755</v>
      </c>
      <c r="Y34" t="s">
        <v>1755</v>
      </c>
      <c r="Z34" t="s">
        <v>1755</v>
      </c>
      <c r="AA34" t="s">
        <v>1755</v>
      </c>
      <c r="AC34" t="s">
        <v>1755</v>
      </c>
      <c r="AE34">
        <v>0</v>
      </c>
      <c r="AF34" t="s">
        <v>1755</v>
      </c>
      <c r="AI34" t="s">
        <v>1755</v>
      </c>
      <c r="AJ34" t="s">
        <v>1755</v>
      </c>
      <c r="AK34" t="s">
        <v>1755</v>
      </c>
      <c r="AL34" t="s">
        <v>1755</v>
      </c>
      <c r="AM34" t="s">
        <v>1755</v>
      </c>
      <c r="AO34">
        <v>0</v>
      </c>
    </row>
    <row r="35" spans="1:46" x14ac:dyDescent="0.25">
      <c r="A35" t="s">
        <v>1755</v>
      </c>
      <c r="B35" s="19">
        <v>46035</v>
      </c>
      <c r="C35" t="s">
        <v>1755</v>
      </c>
      <c r="D35" t="s">
        <v>6366</v>
      </c>
      <c r="E35" t="s">
        <v>117</v>
      </c>
      <c r="F35" t="s">
        <v>1755</v>
      </c>
      <c r="G35" t="s">
        <v>1755</v>
      </c>
      <c r="I35" t="str">
        <f>CONCATENATE(Inbound___Outbound_Shifting[[#This Row],[Batch '#]],"-",Inbound___Outbound_Shifting[[#This Row],[Exp '# or Key]])</f>
        <v>--</v>
      </c>
      <c r="J35" t="s">
        <v>1755</v>
      </c>
      <c r="L35" t="s">
        <v>117</v>
      </c>
      <c r="M35" t="s">
        <v>1755</v>
      </c>
      <c r="N35" t="s">
        <v>1755</v>
      </c>
      <c r="O35" t="s">
        <v>1755</v>
      </c>
      <c r="P35" t="s">
        <v>1755</v>
      </c>
      <c r="Q35" t="s">
        <v>1755</v>
      </c>
      <c r="R35" t="s">
        <v>1755</v>
      </c>
      <c r="S35" t="s">
        <v>1755</v>
      </c>
      <c r="T35" t="s">
        <v>1755</v>
      </c>
      <c r="U35" t="s">
        <v>1755</v>
      </c>
      <c r="V35" t="s">
        <v>1755</v>
      </c>
      <c r="W35">
        <v>1000</v>
      </c>
      <c r="X35" t="s">
        <v>1755</v>
      </c>
      <c r="Y35" t="s">
        <v>1755</v>
      </c>
      <c r="Z35" t="s">
        <v>1755</v>
      </c>
      <c r="AA35" t="s">
        <v>1755</v>
      </c>
      <c r="AC35" t="s">
        <v>1755</v>
      </c>
      <c r="AE35">
        <v>0</v>
      </c>
      <c r="AF35" t="s">
        <v>1755</v>
      </c>
      <c r="AI35" t="s">
        <v>1755</v>
      </c>
      <c r="AJ35" t="s">
        <v>1755</v>
      </c>
      <c r="AK35" t="s">
        <v>1755</v>
      </c>
      <c r="AL35" t="s">
        <v>1755</v>
      </c>
      <c r="AM35" t="s">
        <v>1755</v>
      </c>
      <c r="AO35">
        <v>0</v>
      </c>
    </row>
    <row r="36" spans="1:46" x14ac:dyDescent="0.25">
      <c r="A36" t="s">
        <v>6329</v>
      </c>
      <c r="B36" s="19">
        <v>46035</v>
      </c>
      <c r="C36" t="s">
        <v>301</v>
      </c>
      <c r="D36" t="s">
        <v>6330</v>
      </c>
      <c r="E36" t="s">
        <v>117</v>
      </c>
      <c r="F36" t="s">
        <v>44</v>
      </c>
      <c r="G36" t="s">
        <v>1755</v>
      </c>
      <c r="I36" t="str">
        <f>CONCATENATE(Inbound___Outbound_Shifting[[#This Row],[Batch '#]],"-",Inbound___Outbound_Shifting[[#This Row],[Exp '# or Key]])</f>
        <v>--</v>
      </c>
      <c r="J36" t="s">
        <v>1755</v>
      </c>
      <c r="K36">
        <v>1</v>
      </c>
      <c r="L36" t="s">
        <v>117</v>
      </c>
      <c r="M36" t="s">
        <v>6364</v>
      </c>
      <c r="N36" t="s">
        <v>1755</v>
      </c>
      <c r="O36" t="s">
        <v>175</v>
      </c>
      <c r="P36" t="s">
        <v>6390</v>
      </c>
      <c r="Q36" t="s">
        <v>247</v>
      </c>
      <c r="R36" t="s">
        <v>6307</v>
      </c>
      <c r="S36" t="s">
        <v>1755</v>
      </c>
      <c r="T36" t="s">
        <v>1755</v>
      </c>
      <c r="U36" t="s">
        <v>1755</v>
      </c>
      <c r="V36" t="s">
        <v>1755</v>
      </c>
      <c r="W36">
        <v>40000</v>
      </c>
      <c r="X36">
        <v>40000</v>
      </c>
      <c r="Y36">
        <v>46038</v>
      </c>
      <c r="Z36">
        <v>46035</v>
      </c>
      <c r="AA36" t="s">
        <v>1755</v>
      </c>
      <c r="AB36">
        <v>3</v>
      </c>
      <c r="AC36">
        <v>180000</v>
      </c>
      <c r="AD36">
        <v>300000</v>
      </c>
      <c r="AE36">
        <v>120000</v>
      </c>
      <c r="AF36" t="s">
        <v>1755</v>
      </c>
      <c r="AG36">
        <v>4.5</v>
      </c>
      <c r="AI36" t="s">
        <v>6308</v>
      </c>
      <c r="AJ36" t="s">
        <v>47</v>
      </c>
      <c r="AK36" t="s">
        <v>107</v>
      </c>
      <c r="AL36" t="s">
        <v>107</v>
      </c>
      <c r="AM36" t="s">
        <v>107</v>
      </c>
      <c r="AO36">
        <v>-120000</v>
      </c>
      <c r="AP36">
        <v>0.4</v>
      </c>
      <c r="AQ36">
        <v>4.5</v>
      </c>
      <c r="AR36" t="s">
        <v>47</v>
      </c>
      <c r="AT36" t="s">
        <v>47</v>
      </c>
    </row>
    <row r="37" spans="1:46" x14ac:dyDescent="0.25">
      <c r="A37" t="s">
        <v>1755</v>
      </c>
      <c r="B37" s="19">
        <v>46035</v>
      </c>
      <c r="C37" t="s">
        <v>1755</v>
      </c>
      <c r="D37" t="s">
        <v>1600</v>
      </c>
      <c r="E37" t="s">
        <v>117</v>
      </c>
      <c r="F37" t="s">
        <v>6391</v>
      </c>
      <c r="G37" t="s">
        <v>1755</v>
      </c>
      <c r="I37" t="str">
        <f>CONCATENATE(Inbound___Outbound_Shifting[[#This Row],[Batch '#]],"-",Inbound___Outbound_Shifting[[#This Row],[Exp '# or Key]])</f>
        <v>--</v>
      </c>
      <c r="J37" t="s">
        <v>1755</v>
      </c>
      <c r="K37">
        <v>5</v>
      </c>
      <c r="L37" t="s">
        <v>117</v>
      </c>
      <c r="M37" t="s">
        <v>1755</v>
      </c>
      <c r="N37" t="s">
        <v>1755</v>
      </c>
      <c r="O37" t="s">
        <v>1755</v>
      </c>
      <c r="P37" t="s">
        <v>1755</v>
      </c>
      <c r="Q37" t="s">
        <v>1755</v>
      </c>
      <c r="R37" t="s">
        <v>1755</v>
      </c>
      <c r="S37" t="s">
        <v>1755</v>
      </c>
      <c r="T37" t="s">
        <v>1755</v>
      </c>
      <c r="U37" t="s">
        <v>1755</v>
      </c>
      <c r="V37" t="s">
        <v>1755</v>
      </c>
      <c r="W37">
        <v>7000</v>
      </c>
      <c r="X37" t="s">
        <v>1755</v>
      </c>
      <c r="Y37" t="s">
        <v>1755</v>
      </c>
      <c r="Z37" t="s">
        <v>1755</v>
      </c>
      <c r="AA37" t="s">
        <v>1755</v>
      </c>
      <c r="AC37" t="s">
        <v>1755</v>
      </c>
      <c r="AE37">
        <v>0</v>
      </c>
      <c r="AF37" t="s">
        <v>1755</v>
      </c>
      <c r="AI37" t="s">
        <v>1755</v>
      </c>
      <c r="AJ37" t="s">
        <v>1755</v>
      </c>
      <c r="AK37" t="s">
        <v>1755</v>
      </c>
      <c r="AL37" t="s">
        <v>1755</v>
      </c>
      <c r="AM37" t="s">
        <v>1755</v>
      </c>
      <c r="AO37">
        <v>0</v>
      </c>
    </row>
    <row r="38" spans="1:46" x14ac:dyDescent="0.25">
      <c r="A38" t="s">
        <v>1755</v>
      </c>
      <c r="B38" s="19">
        <v>46035</v>
      </c>
      <c r="C38" t="s">
        <v>1755</v>
      </c>
      <c r="D38" t="s">
        <v>1602</v>
      </c>
      <c r="E38" t="s">
        <v>366</v>
      </c>
      <c r="F38" t="s">
        <v>6392</v>
      </c>
      <c r="G38" t="s">
        <v>1755</v>
      </c>
      <c r="I38" t="str">
        <f>CONCATENATE(Inbound___Outbound_Shifting[[#This Row],[Batch '#]],"-",Inbound___Outbound_Shifting[[#This Row],[Exp '# or Key]])</f>
        <v>--</v>
      </c>
      <c r="J38" t="s">
        <v>1755</v>
      </c>
      <c r="K38">
        <v>4</v>
      </c>
      <c r="L38" t="s">
        <v>366</v>
      </c>
      <c r="M38" t="s">
        <v>1755</v>
      </c>
      <c r="N38" t="s">
        <v>1755</v>
      </c>
      <c r="O38" t="s">
        <v>1755</v>
      </c>
      <c r="P38" t="s">
        <v>1755</v>
      </c>
      <c r="Q38" t="s">
        <v>1755</v>
      </c>
      <c r="R38" t="s">
        <v>6337</v>
      </c>
      <c r="S38" t="s">
        <v>1755</v>
      </c>
      <c r="T38" t="s">
        <v>1755</v>
      </c>
      <c r="U38" t="s">
        <v>1755</v>
      </c>
      <c r="V38" t="s">
        <v>1755</v>
      </c>
      <c r="W38">
        <v>2000</v>
      </c>
      <c r="X38" t="s">
        <v>1755</v>
      </c>
      <c r="Y38">
        <v>46036</v>
      </c>
      <c r="Z38">
        <v>46035</v>
      </c>
      <c r="AA38" t="s">
        <v>1755</v>
      </c>
      <c r="AB38">
        <v>1</v>
      </c>
      <c r="AC38" t="s">
        <v>1755</v>
      </c>
      <c r="AE38">
        <v>0</v>
      </c>
      <c r="AF38" t="s">
        <v>1755</v>
      </c>
      <c r="AI38" t="s">
        <v>1755</v>
      </c>
      <c r="AJ38" t="s">
        <v>1755</v>
      </c>
      <c r="AK38" t="s">
        <v>6335</v>
      </c>
      <c r="AL38" t="s">
        <v>6335</v>
      </c>
      <c r="AM38" t="s">
        <v>1755</v>
      </c>
      <c r="AO38">
        <v>0</v>
      </c>
    </row>
    <row r="39" spans="1:46" x14ac:dyDescent="0.25">
      <c r="A39" t="s">
        <v>6300</v>
      </c>
      <c r="B39" s="19">
        <v>46036</v>
      </c>
      <c r="C39" t="s">
        <v>6393</v>
      </c>
      <c r="D39" t="s">
        <v>6302</v>
      </c>
      <c r="E39" t="s">
        <v>1268</v>
      </c>
      <c r="F39" t="s">
        <v>1371</v>
      </c>
      <c r="G39" t="s">
        <v>1755</v>
      </c>
      <c r="I39" t="str">
        <f>CONCATENATE(Inbound___Outbound_Shifting[[#This Row],[Batch '#]],"-",Inbound___Outbound_Shifting[[#This Row],[Exp '# or Key]])</f>
        <v>--</v>
      </c>
      <c r="J39" t="s">
        <v>6394</v>
      </c>
      <c r="K39" t="s">
        <v>6395</v>
      </c>
      <c r="L39" t="s">
        <v>1755</v>
      </c>
      <c r="M39" t="s">
        <v>1755</v>
      </c>
      <c r="N39" t="s">
        <v>1755</v>
      </c>
      <c r="O39" t="s">
        <v>6341</v>
      </c>
      <c r="P39" t="s">
        <v>6396</v>
      </c>
      <c r="Q39" t="s">
        <v>6397</v>
      </c>
      <c r="R39" t="s">
        <v>6398</v>
      </c>
      <c r="S39">
        <v>1</v>
      </c>
      <c r="T39" t="s">
        <v>6399</v>
      </c>
      <c r="U39" t="s">
        <v>1755</v>
      </c>
      <c r="V39">
        <v>1</v>
      </c>
      <c r="W39">
        <v>14000</v>
      </c>
      <c r="X39">
        <v>14000</v>
      </c>
      <c r="Y39">
        <v>46039</v>
      </c>
      <c r="Z39" t="s">
        <v>1755</v>
      </c>
      <c r="AA39" t="s">
        <v>1755</v>
      </c>
      <c r="AB39">
        <v>3</v>
      </c>
      <c r="AC39">
        <v>345000</v>
      </c>
      <c r="AD39">
        <v>210000</v>
      </c>
      <c r="AE39">
        <v>-135000</v>
      </c>
      <c r="AF39" t="s">
        <v>1755</v>
      </c>
      <c r="AG39">
        <v>24.642857142857142</v>
      </c>
      <c r="AH39">
        <v>283.01886792452831</v>
      </c>
      <c r="AI39" t="s">
        <v>6308</v>
      </c>
      <c r="AJ39" t="s">
        <v>47</v>
      </c>
      <c r="AK39" t="s">
        <v>107</v>
      </c>
      <c r="AL39" t="s">
        <v>107</v>
      </c>
      <c r="AM39" t="s">
        <v>107</v>
      </c>
      <c r="AO39">
        <v>135000</v>
      </c>
      <c r="AP39">
        <v>-0.6428571428571429</v>
      </c>
      <c r="AQ39">
        <v>24.642857142857142</v>
      </c>
      <c r="AR39" t="s">
        <v>47</v>
      </c>
      <c r="AT39" t="s">
        <v>47</v>
      </c>
    </row>
    <row r="40" spans="1:46" x14ac:dyDescent="0.25">
      <c r="A40" t="s">
        <v>6329</v>
      </c>
      <c r="B40" s="19">
        <v>46036</v>
      </c>
      <c r="C40" t="s">
        <v>663</v>
      </c>
      <c r="D40" t="s">
        <v>6330</v>
      </c>
      <c r="E40" t="s">
        <v>366</v>
      </c>
      <c r="F40" t="s">
        <v>664</v>
      </c>
      <c r="G40" t="s">
        <v>1755</v>
      </c>
      <c r="I40" t="str">
        <f>CONCATENATE(Inbound___Outbound_Shifting[[#This Row],[Batch '#]],"-",Inbound___Outbound_Shifting[[#This Row],[Exp '# or Key]])</f>
        <v>--</v>
      </c>
      <c r="J40" t="s">
        <v>1755</v>
      </c>
      <c r="K40">
        <v>1</v>
      </c>
      <c r="L40" t="s">
        <v>366</v>
      </c>
      <c r="M40" t="s">
        <v>6364</v>
      </c>
      <c r="N40" t="s">
        <v>1755</v>
      </c>
      <c r="O40" t="s">
        <v>175</v>
      </c>
      <c r="P40" t="s">
        <v>1755</v>
      </c>
      <c r="Q40" t="s">
        <v>673</v>
      </c>
      <c r="R40" t="s">
        <v>6307</v>
      </c>
      <c r="S40" t="s">
        <v>1755</v>
      </c>
      <c r="T40" t="s">
        <v>1755</v>
      </c>
      <c r="U40" t="s">
        <v>1755</v>
      </c>
      <c r="V40" t="s">
        <v>1755</v>
      </c>
      <c r="W40">
        <v>2000</v>
      </c>
      <c r="X40">
        <v>9165</v>
      </c>
      <c r="Y40">
        <v>46036</v>
      </c>
      <c r="Z40">
        <v>46036</v>
      </c>
      <c r="AA40" t="s">
        <v>1755</v>
      </c>
      <c r="AB40">
        <v>0</v>
      </c>
      <c r="AC40">
        <v>140000</v>
      </c>
      <c r="AD40">
        <v>68737.5</v>
      </c>
      <c r="AE40">
        <v>-71262.5</v>
      </c>
      <c r="AF40" t="s">
        <v>1755</v>
      </c>
      <c r="AG40">
        <v>15.275504637206765</v>
      </c>
      <c r="AI40" t="s">
        <v>6308</v>
      </c>
      <c r="AJ40" t="s">
        <v>47</v>
      </c>
      <c r="AK40" t="s">
        <v>107</v>
      </c>
      <c r="AL40" t="s">
        <v>107</v>
      </c>
      <c r="AM40" t="s">
        <v>107</v>
      </c>
      <c r="AO40">
        <v>71262.5</v>
      </c>
      <c r="AP40">
        <v>-1.0367339516275687</v>
      </c>
      <c r="AQ40">
        <v>15.275504637206765</v>
      </c>
      <c r="AR40" t="s">
        <v>47</v>
      </c>
      <c r="AT40" t="s">
        <v>47</v>
      </c>
    </row>
    <row r="41" spans="1:46" x14ac:dyDescent="0.25">
      <c r="A41" t="s">
        <v>1755</v>
      </c>
      <c r="B41" s="19">
        <v>46036</v>
      </c>
      <c r="C41" t="s">
        <v>681</v>
      </c>
      <c r="D41" t="s">
        <v>6330</v>
      </c>
      <c r="E41" t="s">
        <v>366</v>
      </c>
      <c r="F41" t="s">
        <v>23</v>
      </c>
      <c r="G41" t="s">
        <v>1755</v>
      </c>
      <c r="I41" t="str">
        <f>CONCATENATE(Inbound___Outbound_Shifting[[#This Row],[Batch '#]],"-",Inbound___Outbound_Shifting[[#This Row],[Exp '# or Key]])</f>
        <v>--</v>
      </c>
      <c r="J41" t="s">
        <v>1755</v>
      </c>
      <c r="K41">
        <v>1</v>
      </c>
      <c r="L41" t="s">
        <v>366</v>
      </c>
      <c r="M41" t="s">
        <v>1755</v>
      </c>
      <c r="N41" t="s">
        <v>1755</v>
      </c>
      <c r="O41" t="s">
        <v>1755</v>
      </c>
      <c r="P41" t="s">
        <v>1755</v>
      </c>
      <c r="Q41" t="s">
        <v>1755</v>
      </c>
      <c r="R41" t="s">
        <v>1755</v>
      </c>
      <c r="S41" t="s">
        <v>1755</v>
      </c>
      <c r="T41" t="s">
        <v>1755</v>
      </c>
      <c r="U41" t="s">
        <v>1755</v>
      </c>
      <c r="V41" t="s">
        <v>1755</v>
      </c>
      <c r="W41">
        <v>200</v>
      </c>
      <c r="X41" t="s">
        <v>1755</v>
      </c>
      <c r="Y41" t="s">
        <v>1755</v>
      </c>
      <c r="Z41" t="s">
        <v>1755</v>
      </c>
      <c r="AA41" t="s">
        <v>1755</v>
      </c>
      <c r="AC41" t="s">
        <v>1755</v>
      </c>
      <c r="AE41">
        <v>0</v>
      </c>
      <c r="AF41" t="s">
        <v>1755</v>
      </c>
      <c r="AI41" t="s">
        <v>1755</v>
      </c>
      <c r="AJ41" t="s">
        <v>1755</v>
      </c>
      <c r="AK41" t="s">
        <v>1755</v>
      </c>
      <c r="AL41" t="s">
        <v>1755</v>
      </c>
      <c r="AM41" t="s">
        <v>1755</v>
      </c>
      <c r="AO41">
        <v>0</v>
      </c>
    </row>
    <row r="42" spans="1:46" x14ac:dyDescent="0.25">
      <c r="A42" t="s">
        <v>1755</v>
      </c>
      <c r="B42" s="19">
        <v>46036</v>
      </c>
      <c r="C42" t="s">
        <v>693</v>
      </c>
      <c r="D42" t="s">
        <v>6330</v>
      </c>
      <c r="E42" t="s">
        <v>366</v>
      </c>
      <c r="F42" t="s">
        <v>694</v>
      </c>
      <c r="G42" t="s">
        <v>1755</v>
      </c>
      <c r="I42" t="str">
        <f>CONCATENATE(Inbound___Outbound_Shifting[[#This Row],[Batch '#]],"-",Inbound___Outbound_Shifting[[#This Row],[Exp '# or Key]])</f>
        <v>--</v>
      </c>
      <c r="J42" t="s">
        <v>1755</v>
      </c>
      <c r="K42">
        <v>7</v>
      </c>
      <c r="L42" t="s">
        <v>366</v>
      </c>
      <c r="M42" t="s">
        <v>1755</v>
      </c>
      <c r="N42" t="s">
        <v>1755</v>
      </c>
      <c r="O42" t="s">
        <v>1755</v>
      </c>
      <c r="P42" t="s">
        <v>1755</v>
      </c>
      <c r="Q42" t="s">
        <v>1755</v>
      </c>
      <c r="R42" t="s">
        <v>1755</v>
      </c>
      <c r="S42" t="s">
        <v>1755</v>
      </c>
      <c r="T42" t="s">
        <v>1755</v>
      </c>
      <c r="U42" t="s">
        <v>1755</v>
      </c>
      <c r="V42" t="s">
        <v>1755</v>
      </c>
      <c r="W42">
        <v>10000</v>
      </c>
      <c r="X42" t="s">
        <v>1755</v>
      </c>
      <c r="Y42" t="s">
        <v>1755</v>
      </c>
      <c r="Z42" t="s">
        <v>1755</v>
      </c>
      <c r="AA42" t="s">
        <v>1755</v>
      </c>
      <c r="AC42" t="s">
        <v>1755</v>
      </c>
      <c r="AE42">
        <v>0</v>
      </c>
      <c r="AF42" t="s">
        <v>1755</v>
      </c>
      <c r="AI42" t="s">
        <v>1755</v>
      </c>
      <c r="AJ42" t="s">
        <v>1755</v>
      </c>
      <c r="AK42" t="s">
        <v>1755</v>
      </c>
      <c r="AL42" t="s">
        <v>1755</v>
      </c>
      <c r="AM42" t="s">
        <v>1755</v>
      </c>
      <c r="AO42">
        <v>0</v>
      </c>
    </row>
    <row r="43" spans="1:46" x14ac:dyDescent="0.25">
      <c r="A43" t="s">
        <v>6329</v>
      </c>
      <c r="B43" s="19">
        <v>46036</v>
      </c>
      <c r="C43" t="s">
        <v>1755</v>
      </c>
      <c r="D43" t="s">
        <v>6400</v>
      </c>
      <c r="E43" t="s">
        <v>1371</v>
      </c>
      <c r="F43" t="s">
        <v>6401</v>
      </c>
      <c r="G43" t="s">
        <v>1755</v>
      </c>
      <c r="I43" t="str">
        <f>CONCATENATE(Inbound___Outbound_Shifting[[#This Row],[Batch '#]],"-",Inbound___Outbound_Shifting[[#This Row],[Exp '# or Key]])</f>
        <v>--</v>
      </c>
      <c r="J43" t="s">
        <v>1755</v>
      </c>
      <c r="K43">
        <v>7</v>
      </c>
      <c r="L43" t="s">
        <v>1371</v>
      </c>
      <c r="M43" t="s">
        <v>6384</v>
      </c>
      <c r="N43" t="s">
        <v>1755</v>
      </c>
      <c r="O43" t="s">
        <v>767</v>
      </c>
      <c r="P43" t="s">
        <v>1755</v>
      </c>
      <c r="Q43" t="s">
        <v>1755</v>
      </c>
      <c r="R43" t="s">
        <v>6402</v>
      </c>
      <c r="S43" t="s">
        <v>1755</v>
      </c>
      <c r="T43" t="s">
        <v>1755</v>
      </c>
      <c r="U43" t="s">
        <v>1755</v>
      </c>
      <c r="V43" t="s">
        <v>1755</v>
      </c>
      <c r="W43">
        <v>7500</v>
      </c>
      <c r="X43">
        <v>7500</v>
      </c>
      <c r="Y43">
        <v>46036</v>
      </c>
      <c r="Z43">
        <v>46036</v>
      </c>
      <c r="AA43" t="s">
        <v>1755</v>
      </c>
      <c r="AB43">
        <v>0</v>
      </c>
      <c r="AC43">
        <v>12000</v>
      </c>
      <c r="AD43">
        <v>56250</v>
      </c>
      <c r="AE43">
        <v>44250</v>
      </c>
      <c r="AF43" t="s">
        <v>1755</v>
      </c>
      <c r="AG43">
        <v>1.6</v>
      </c>
      <c r="AI43" t="s">
        <v>6334</v>
      </c>
      <c r="AJ43" t="s">
        <v>47</v>
      </c>
      <c r="AK43" t="s">
        <v>6335</v>
      </c>
      <c r="AL43" t="s">
        <v>6335</v>
      </c>
      <c r="AM43" t="s">
        <v>6335</v>
      </c>
      <c r="AO43">
        <v>-44250</v>
      </c>
      <c r="AP43">
        <v>0.78666666666666663</v>
      </c>
      <c r="AQ43">
        <v>1.6</v>
      </c>
      <c r="AR43" t="s">
        <v>47</v>
      </c>
      <c r="AT43" t="s">
        <v>47</v>
      </c>
    </row>
    <row r="44" spans="1:46" x14ac:dyDescent="0.25">
      <c r="A44" t="s">
        <v>6300</v>
      </c>
      <c r="B44" s="19">
        <v>46037</v>
      </c>
      <c r="C44" t="s">
        <v>6403</v>
      </c>
      <c r="D44" t="s">
        <v>6302</v>
      </c>
      <c r="E44" t="s">
        <v>1268</v>
      </c>
      <c r="F44" t="s">
        <v>1371</v>
      </c>
      <c r="G44" t="s">
        <v>1755</v>
      </c>
      <c r="I44" t="str">
        <f>CONCATENATE(Inbound___Outbound_Shifting[[#This Row],[Batch '#]],"-",Inbound___Outbound_Shifting[[#This Row],[Exp '# or Key]])</f>
        <v>--</v>
      </c>
      <c r="J44" t="s">
        <v>6404</v>
      </c>
      <c r="K44" t="s">
        <v>6395</v>
      </c>
      <c r="L44" t="s">
        <v>1755</v>
      </c>
      <c r="M44" t="s">
        <v>1755</v>
      </c>
      <c r="N44" t="s">
        <v>1755</v>
      </c>
      <c r="O44" t="s">
        <v>6341</v>
      </c>
      <c r="P44" t="s">
        <v>6405</v>
      </c>
      <c r="Q44" t="s">
        <v>6406</v>
      </c>
      <c r="R44" t="s">
        <v>6344</v>
      </c>
      <c r="S44">
        <v>1</v>
      </c>
      <c r="T44" t="s">
        <v>6407</v>
      </c>
      <c r="U44">
        <v>1</v>
      </c>
      <c r="V44" t="s">
        <v>1755</v>
      </c>
      <c r="W44">
        <v>27000</v>
      </c>
      <c r="X44">
        <v>27000</v>
      </c>
      <c r="Y44">
        <v>46041</v>
      </c>
      <c r="Z44" t="s">
        <v>1755</v>
      </c>
      <c r="AA44" t="s">
        <v>1755</v>
      </c>
      <c r="AB44">
        <v>4</v>
      </c>
      <c r="AC44">
        <v>370000</v>
      </c>
      <c r="AD44">
        <v>405000</v>
      </c>
      <c r="AE44">
        <v>35000</v>
      </c>
      <c r="AF44" t="s">
        <v>1755</v>
      </c>
      <c r="AG44">
        <v>13.703703703703704</v>
      </c>
      <c r="AH44">
        <v>303.52748154224776</v>
      </c>
      <c r="AI44" t="s">
        <v>6308</v>
      </c>
      <c r="AJ44" t="s">
        <v>1755</v>
      </c>
      <c r="AK44" t="s">
        <v>107</v>
      </c>
      <c r="AL44" t="s">
        <v>107</v>
      </c>
      <c r="AM44" t="s">
        <v>107</v>
      </c>
      <c r="AO44">
        <v>-35000</v>
      </c>
      <c r="AP44">
        <v>8.6419753086419748E-2</v>
      </c>
      <c r="AQ44">
        <v>13.703703703703704</v>
      </c>
    </row>
    <row r="45" spans="1:46" x14ac:dyDescent="0.25">
      <c r="A45" t="s">
        <v>6300</v>
      </c>
      <c r="B45" s="19">
        <v>46037</v>
      </c>
      <c r="C45" t="s">
        <v>1755</v>
      </c>
      <c r="D45" t="s">
        <v>6302</v>
      </c>
      <c r="E45" t="s">
        <v>1268</v>
      </c>
      <c r="F45" t="s">
        <v>1371</v>
      </c>
      <c r="G45" t="s">
        <v>1755</v>
      </c>
      <c r="I45" t="str">
        <f>CONCATENATE(Inbound___Outbound_Shifting[[#This Row],[Batch '#]],"-",Inbound___Outbound_Shifting[[#This Row],[Exp '# or Key]])</f>
        <v>--</v>
      </c>
      <c r="J45" t="s">
        <v>6404</v>
      </c>
      <c r="K45" t="s">
        <v>6395</v>
      </c>
      <c r="L45" t="s">
        <v>1755</v>
      </c>
      <c r="M45" t="s">
        <v>1755</v>
      </c>
      <c r="N45" t="s">
        <v>1755</v>
      </c>
      <c r="O45" t="s">
        <v>6341</v>
      </c>
      <c r="P45" t="s">
        <v>6408</v>
      </c>
      <c r="Q45" t="s">
        <v>6409</v>
      </c>
      <c r="R45" t="s">
        <v>6398</v>
      </c>
      <c r="S45">
        <v>1</v>
      </c>
      <c r="T45" t="s">
        <v>6410</v>
      </c>
      <c r="U45" t="s">
        <v>1755</v>
      </c>
      <c r="V45">
        <v>1</v>
      </c>
      <c r="W45">
        <v>55000</v>
      </c>
      <c r="X45">
        <v>55000</v>
      </c>
      <c r="Y45">
        <v>46041</v>
      </c>
      <c r="Z45" t="s">
        <v>1755</v>
      </c>
      <c r="AA45" t="s">
        <v>1755</v>
      </c>
      <c r="AB45">
        <v>4</v>
      </c>
      <c r="AC45">
        <v>720000</v>
      </c>
      <c r="AD45">
        <v>825000</v>
      </c>
      <c r="AE45">
        <v>105000</v>
      </c>
      <c r="AF45" t="s">
        <v>1755</v>
      </c>
      <c r="AG45">
        <v>13.090909090909092</v>
      </c>
      <c r="AH45">
        <v>590.64807219031991</v>
      </c>
      <c r="AI45" t="s">
        <v>6308</v>
      </c>
      <c r="AJ45" t="s">
        <v>47</v>
      </c>
      <c r="AK45" t="s">
        <v>107</v>
      </c>
      <c r="AL45" t="s">
        <v>107</v>
      </c>
      <c r="AM45" t="s">
        <v>107</v>
      </c>
      <c r="AO45">
        <v>-105000</v>
      </c>
      <c r="AP45">
        <v>0.12727272727272726</v>
      </c>
      <c r="AQ45">
        <v>13.090909090909092</v>
      </c>
      <c r="AR45" t="s">
        <v>47</v>
      </c>
      <c r="AT45" t="s">
        <v>47</v>
      </c>
    </row>
    <row r="46" spans="1:46" x14ac:dyDescent="0.25">
      <c r="A46" t="s">
        <v>1755</v>
      </c>
      <c r="B46" s="19">
        <v>46037</v>
      </c>
      <c r="C46" t="s">
        <v>1755</v>
      </c>
      <c r="D46" t="s">
        <v>6302</v>
      </c>
      <c r="E46" t="s">
        <v>1268</v>
      </c>
      <c r="F46" t="s">
        <v>1371</v>
      </c>
      <c r="G46" t="s">
        <v>1755</v>
      </c>
      <c r="I46" t="str">
        <f>CONCATENATE(Inbound___Outbound_Shifting[[#This Row],[Batch '#]],"-",Inbound___Outbound_Shifting[[#This Row],[Exp '# or Key]])</f>
        <v>--</v>
      </c>
      <c r="J46" t="s">
        <v>6404</v>
      </c>
      <c r="K46" t="s">
        <v>6395</v>
      </c>
      <c r="L46" t="s">
        <v>1755</v>
      </c>
      <c r="M46" t="s">
        <v>1755</v>
      </c>
      <c r="N46" t="s">
        <v>1755</v>
      </c>
      <c r="O46" t="s">
        <v>1755</v>
      </c>
      <c r="P46" t="s">
        <v>1755</v>
      </c>
      <c r="Q46" t="s">
        <v>1755</v>
      </c>
      <c r="R46" t="s">
        <v>1755</v>
      </c>
      <c r="S46">
        <v>1</v>
      </c>
      <c r="T46" t="s">
        <v>6411</v>
      </c>
      <c r="U46" t="s">
        <v>1755</v>
      </c>
      <c r="V46">
        <v>1</v>
      </c>
      <c r="W46" t="s">
        <v>1755</v>
      </c>
      <c r="X46" t="s">
        <v>1755</v>
      </c>
      <c r="Y46">
        <v>46041</v>
      </c>
      <c r="Z46" t="s">
        <v>1755</v>
      </c>
      <c r="AA46" t="s">
        <v>1755</v>
      </c>
      <c r="AB46">
        <v>4</v>
      </c>
      <c r="AC46">
        <v>0</v>
      </c>
      <c r="AE46">
        <v>0</v>
      </c>
      <c r="AF46" t="s">
        <v>1755</v>
      </c>
      <c r="AH46">
        <v>0</v>
      </c>
      <c r="AI46" t="s">
        <v>1755</v>
      </c>
      <c r="AJ46" t="s">
        <v>1755</v>
      </c>
      <c r="AK46" t="s">
        <v>1755</v>
      </c>
      <c r="AL46" t="s">
        <v>1755</v>
      </c>
      <c r="AM46" t="s">
        <v>1755</v>
      </c>
      <c r="AO46">
        <v>0</v>
      </c>
    </row>
    <row r="47" spans="1:46" x14ac:dyDescent="0.25">
      <c r="A47" t="s">
        <v>6300</v>
      </c>
      <c r="B47" s="19">
        <v>46037</v>
      </c>
      <c r="C47" t="s">
        <v>6412</v>
      </c>
      <c r="D47" t="s">
        <v>6302</v>
      </c>
      <c r="E47" t="s">
        <v>1268</v>
      </c>
      <c r="F47" t="s">
        <v>6319</v>
      </c>
      <c r="G47" t="s">
        <v>1755</v>
      </c>
      <c r="I47" t="str">
        <f>CONCATENATE(Inbound___Outbound_Shifting[[#This Row],[Batch '#]],"-",Inbound___Outbound_Shifting[[#This Row],[Exp '# or Key]])</f>
        <v>--</v>
      </c>
      <c r="J47" t="s">
        <v>6413</v>
      </c>
      <c r="K47" t="s">
        <v>6395</v>
      </c>
      <c r="L47" t="s">
        <v>1755</v>
      </c>
      <c r="M47" t="s">
        <v>1755</v>
      </c>
      <c r="N47" t="s">
        <v>1755</v>
      </c>
      <c r="O47" t="s">
        <v>6341</v>
      </c>
      <c r="P47" t="s">
        <v>6414</v>
      </c>
      <c r="Q47" t="s">
        <v>6415</v>
      </c>
      <c r="R47" t="s">
        <v>6307</v>
      </c>
      <c r="S47">
        <v>1</v>
      </c>
      <c r="T47" t="s">
        <v>1755</v>
      </c>
      <c r="U47" t="s">
        <v>1755</v>
      </c>
      <c r="V47" t="s">
        <v>1755</v>
      </c>
      <c r="W47">
        <v>27000</v>
      </c>
      <c r="X47">
        <v>42000</v>
      </c>
      <c r="Y47">
        <v>46041</v>
      </c>
      <c r="Z47" t="s">
        <v>1755</v>
      </c>
      <c r="AA47" t="s">
        <v>1755</v>
      </c>
      <c r="AB47">
        <v>4</v>
      </c>
      <c r="AC47">
        <v>546000</v>
      </c>
      <c r="AD47">
        <v>630000</v>
      </c>
      <c r="AE47">
        <v>84000</v>
      </c>
      <c r="AF47" t="s">
        <v>1755</v>
      </c>
      <c r="AG47">
        <v>13</v>
      </c>
      <c r="AH47">
        <v>447.90812141099263</v>
      </c>
      <c r="AI47" t="s">
        <v>6308</v>
      </c>
      <c r="AJ47" t="s">
        <v>47</v>
      </c>
      <c r="AK47" t="s">
        <v>107</v>
      </c>
      <c r="AL47" t="s">
        <v>107</v>
      </c>
      <c r="AM47" t="s">
        <v>107</v>
      </c>
      <c r="AO47">
        <v>-84000</v>
      </c>
      <c r="AP47">
        <v>0.13333333333333333</v>
      </c>
      <c r="AQ47">
        <v>13</v>
      </c>
      <c r="AR47" t="s">
        <v>47</v>
      </c>
      <c r="AT47" t="s">
        <v>47</v>
      </c>
    </row>
    <row r="48" spans="1:46" x14ac:dyDescent="0.25">
      <c r="A48" t="s">
        <v>1755</v>
      </c>
      <c r="B48" s="19">
        <v>46037</v>
      </c>
      <c r="C48" t="s">
        <v>6416</v>
      </c>
      <c r="D48" t="s">
        <v>6302</v>
      </c>
      <c r="E48" t="s">
        <v>1268</v>
      </c>
      <c r="F48" t="s">
        <v>6319</v>
      </c>
      <c r="G48" t="s">
        <v>1755</v>
      </c>
      <c r="I48" t="str">
        <f>CONCATENATE(Inbound___Outbound_Shifting[[#This Row],[Batch '#]],"-",Inbound___Outbound_Shifting[[#This Row],[Exp '# or Key]])</f>
        <v>--</v>
      </c>
      <c r="J48" t="s">
        <v>6417</v>
      </c>
      <c r="K48" t="s">
        <v>6395</v>
      </c>
      <c r="L48" t="s">
        <v>1755</v>
      </c>
      <c r="M48" t="s">
        <v>1755</v>
      </c>
      <c r="N48" t="s">
        <v>1755</v>
      </c>
      <c r="O48" t="s">
        <v>1755</v>
      </c>
      <c r="P48" t="s">
        <v>1755</v>
      </c>
      <c r="Q48" t="s">
        <v>1755</v>
      </c>
      <c r="R48" t="s">
        <v>1755</v>
      </c>
      <c r="S48">
        <v>1</v>
      </c>
      <c r="T48" t="s">
        <v>1755</v>
      </c>
      <c r="U48" t="s">
        <v>1755</v>
      </c>
      <c r="V48" t="s">
        <v>1755</v>
      </c>
      <c r="W48">
        <v>10000</v>
      </c>
      <c r="X48" t="s">
        <v>1755</v>
      </c>
      <c r="Y48">
        <v>46041</v>
      </c>
      <c r="Z48" t="s">
        <v>1755</v>
      </c>
      <c r="AA48" t="s">
        <v>1755</v>
      </c>
      <c r="AB48">
        <v>4</v>
      </c>
      <c r="AC48">
        <v>0</v>
      </c>
      <c r="AE48">
        <v>0</v>
      </c>
      <c r="AF48" t="s">
        <v>1755</v>
      </c>
      <c r="AH48">
        <v>0</v>
      </c>
      <c r="AI48" t="s">
        <v>1755</v>
      </c>
      <c r="AJ48" t="s">
        <v>1755</v>
      </c>
      <c r="AK48" t="s">
        <v>1755</v>
      </c>
      <c r="AL48" t="s">
        <v>1755</v>
      </c>
      <c r="AM48" t="s">
        <v>1755</v>
      </c>
      <c r="AO48">
        <v>0</v>
      </c>
    </row>
    <row r="49" spans="1:46" x14ac:dyDescent="0.25">
      <c r="A49" t="s">
        <v>1755</v>
      </c>
      <c r="B49" s="19">
        <v>46037</v>
      </c>
      <c r="C49" t="s">
        <v>6416</v>
      </c>
      <c r="D49" t="s">
        <v>6302</v>
      </c>
      <c r="E49" t="s">
        <v>1268</v>
      </c>
      <c r="F49" t="s">
        <v>6319</v>
      </c>
      <c r="G49" t="s">
        <v>1755</v>
      </c>
      <c r="I49" t="str">
        <f>CONCATENATE(Inbound___Outbound_Shifting[[#This Row],[Batch '#]],"-",Inbound___Outbound_Shifting[[#This Row],[Exp '# or Key]])</f>
        <v>--</v>
      </c>
      <c r="J49" t="s">
        <v>6418</v>
      </c>
      <c r="K49" t="s">
        <v>6395</v>
      </c>
      <c r="L49" t="s">
        <v>1755</v>
      </c>
      <c r="M49" t="s">
        <v>1755</v>
      </c>
      <c r="N49" t="s">
        <v>1755</v>
      </c>
      <c r="O49" t="s">
        <v>1755</v>
      </c>
      <c r="P49" t="s">
        <v>1755</v>
      </c>
      <c r="Q49" t="s">
        <v>1755</v>
      </c>
      <c r="R49" t="s">
        <v>1755</v>
      </c>
      <c r="S49">
        <v>1</v>
      </c>
      <c r="T49" t="s">
        <v>1755</v>
      </c>
      <c r="U49" t="s">
        <v>1755</v>
      </c>
      <c r="V49" t="s">
        <v>1755</v>
      </c>
      <c r="W49">
        <v>5000</v>
      </c>
      <c r="X49" t="s">
        <v>1755</v>
      </c>
      <c r="Y49">
        <v>46041</v>
      </c>
      <c r="Z49" t="s">
        <v>1755</v>
      </c>
      <c r="AA49" t="s">
        <v>1755</v>
      </c>
      <c r="AB49">
        <v>4</v>
      </c>
      <c r="AC49">
        <v>0</v>
      </c>
      <c r="AE49">
        <v>0</v>
      </c>
      <c r="AF49" t="s">
        <v>1755</v>
      </c>
      <c r="AH49">
        <v>0</v>
      </c>
      <c r="AI49" t="s">
        <v>1755</v>
      </c>
      <c r="AJ49" t="s">
        <v>1755</v>
      </c>
      <c r="AK49" t="s">
        <v>1755</v>
      </c>
      <c r="AL49" t="s">
        <v>1755</v>
      </c>
      <c r="AM49" t="s">
        <v>1755</v>
      </c>
      <c r="AO49">
        <v>0</v>
      </c>
    </row>
    <row r="50" spans="1:46" x14ac:dyDescent="0.25">
      <c r="A50" t="s">
        <v>6329</v>
      </c>
      <c r="B50" s="19">
        <v>46037</v>
      </c>
      <c r="C50" t="s">
        <v>1288</v>
      </c>
      <c r="D50" t="s">
        <v>1600</v>
      </c>
      <c r="E50" t="s">
        <v>117</v>
      </c>
      <c r="F50" t="s">
        <v>1289</v>
      </c>
      <c r="G50" t="s">
        <v>1755</v>
      </c>
      <c r="I50" t="str">
        <f>CONCATENATE(Inbound___Outbound_Shifting[[#This Row],[Batch '#]],"-",Inbound___Outbound_Shifting[[#This Row],[Exp '# or Key]])</f>
        <v>--</v>
      </c>
      <c r="J50" t="s">
        <v>1755</v>
      </c>
      <c r="K50">
        <v>3</v>
      </c>
      <c r="L50" t="s">
        <v>117</v>
      </c>
      <c r="M50" t="s">
        <v>6419</v>
      </c>
      <c r="N50" t="s">
        <v>1755</v>
      </c>
      <c r="O50" t="s">
        <v>455</v>
      </c>
      <c r="P50" t="s">
        <v>6420</v>
      </c>
      <c r="Q50" t="s">
        <v>1290</v>
      </c>
      <c r="R50" t="s">
        <v>6421</v>
      </c>
      <c r="S50" t="s">
        <v>1755</v>
      </c>
      <c r="T50" t="s">
        <v>1755</v>
      </c>
      <c r="U50" t="s">
        <v>1755</v>
      </c>
      <c r="V50" t="s">
        <v>1755</v>
      </c>
      <c r="W50">
        <v>3500</v>
      </c>
      <c r="X50">
        <v>3500</v>
      </c>
      <c r="Y50">
        <v>46037</v>
      </c>
      <c r="Z50">
        <v>46037</v>
      </c>
      <c r="AA50" t="s">
        <v>1755</v>
      </c>
      <c r="AB50">
        <v>0</v>
      </c>
      <c r="AC50">
        <v>70000</v>
      </c>
      <c r="AD50">
        <v>26250</v>
      </c>
      <c r="AE50">
        <v>-43750</v>
      </c>
      <c r="AF50" t="s">
        <v>1755</v>
      </c>
      <c r="AG50">
        <v>20</v>
      </c>
      <c r="AI50" t="s">
        <v>6308</v>
      </c>
      <c r="AJ50" t="s">
        <v>47</v>
      </c>
      <c r="AK50" t="s">
        <v>107</v>
      </c>
      <c r="AL50" t="s">
        <v>107</v>
      </c>
      <c r="AM50" t="s">
        <v>107</v>
      </c>
      <c r="AO50">
        <v>43750</v>
      </c>
      <c r="AP50">
        <v>-1.6666666666666667</v>
      </c>
      <c r="AQ50">
        <v>20</v>
      </c>
      <c r="AR50" t="s">
        <v>47</v>
      </c>
      <c r="AT50" t="s">
        <v>47</v>
      </c>
    </row>
    <row r="51" spans="1:46" x14ac:dyDescent="0.25">
      <c r="A51" t="s">
        <v>6329</v>
      </c>
      <c r="B51" s="19">
        <v>46037</v>
      </c>
      <c r="C51" t="s">
        <v>354</v>
      </c>
      <c r="D51" t="s">
        <v>6330</v>
      </c>
      <c r="E51" t="s">
        <v>366</v>
      </c>
      <c r="F51" t="s">
        <v>143</v>
      </c>
      <c r="G51" t="s">
        <v>1755</v>
      </c>
      <c r="I51" t="str">
        <f>CONCATENATE(Inbound___Outbound_Shifting[[#This Row],[Batch '#]],"-",Inbound___Outbound_Shifting[[#This Row],[Exp '# or Key]])</f>
        <v>--</v>
      </c>
      <c r="J51" t="s">
        <v>1755</v>
      </c>
      <c r="K51">
        <v>14</v>
      </c>
      <c r="L51" t="s">
        <v>366</v>
      </c>
      <c r="M51" t="s">
        <v>6364</v>
      </c>
      <c r="N51" t="s">
        <v>1755</v>
      </c>
      <c r="O51" t="s">
        <v>175</v>
      </c>
      <c r="P51" t="s">
        <v>6422</v>
      </c>
      <c r="Q51" t="s">
        <v>361</v>
      </c>
      <c r="R51" t="s">
        <v>6423</v>
      </c>
      <c r="S51" t="s">
        <v>1755</v>
      </c>
      <c r="T51" t="s">
        <v>1755</v>
      </c>
      <c r="U51" t="s">
        <v>1755</v>
      </c>
      <c r="V51" t="s">
        <v>1755</v>
      </c>
      <c r="W51">
        <v>35000</v>
      </c>
      <c r="X51">
        <v>35000</v>
      </c>
      <c r="Y51">
        <v>46040</v>
      </c>
      <c r="Z51">
        <v>46037</v>
      </c>
      <c r="AA51" t="s">
        <v>1755</v>
      </c>
      <c r="AB51">
        <v>3</v>
      </c>
      <c r="AC51">
        <v>190000</v>
      </c>
      <c r="AD51">
        <v>262500</v>
      </c>
      <c r="AE51">
        <v>72500</v>
      </c>
      <c r="AF51" t="s">
        <v>1755</v>
      </c>
      <c r="AG51">
        <v>5.4285714285714288</v>
      </c>
      <c r="AI51" t="s">
        <v>6308</v>
      </c>
      <c r="AJ51" t="s">
        <v>47</v>
      </c>
      <c r="AK51" t="s">
        <v>107</v>
      </c>
      <c r="AL51" t="s">
        <v>107</v>
      </c>
      <c r="AM51" t="s">
        <v>107</v>
      </c>
      <c r="AO51">
        <v>-72500</v>
      </c>
      <c r="AP51">
        <v>0.27619047619047621</v>
      </c>
      <c r="AQ51">
        <v>5.4285714285714288</v>
      </c>
      <c r="AR51" t="s">
        <v>47</v>
      </c>
      <c r="AT51" t="s">
        <v>47</v>
      </c>
    </row>
    <row r="52" spans="1:46" x14ac:dyDescent="0.25">
      <c r="A52" t="s">
        <v>6329</v>
      </c>
      <c r="B52" s="19">
        <v>46038</v>
      </c>
      <c r="C52" t="s">
        <v>417</v>
      </c>
      <c r="D52" t="s">
        <v>6330</v>
      </c>
      <c r="E52" t="s">
        <v>117</v>
      </c>
      <c r="F52" t="s">
        <v>5522</v>
      </c>
      <c r="G52" t="s">
        <v>1755</v>
      </c>
      <c r="I52" t="str">
        <f>CONCATENATE(Inbound___Outbound_Shifting[[#This Row],[Batch '#]],"-",Inbound___Outbound_Shifting[[#This Row],[Exp '# or Key]])</f>
        <v>--</v>
      </c>
      <c r="J52" t="s">
        <v>1755</v>
      </c>
      <c r="K52">
        <v>2</v>
      </c>
      <c r="L52" t="s">
        <v>117</v>
      </c>
      <c r="M52" t="s">
        <v>6364</v>
      </c>
      <c r="N52" t="s">
        <v>1755</v>
      </c>
      <c r="O52" t="s">
        <v>278</v>
      </c>
      <c r="P52" t="s">
        <v>6424</v>
      </c>
      <c r="Q52" t="s">
        <v>420</v>
      </c>
      <c r="R52" t="s">
        <v>6307</v>
      </c>
      <c r="S52" t="s">
        <v>1755</v>
      </c>
      <c r="T52" t="s">
        <v>1755</v>
      </c>
      <c r="U52" t="s">
        <v>1755</v>
      </c>
      <c r="V52" t="s">
        <v>1755</v>
      </c>
      <c r="W52">
        <v>40000</v>
      </c>
      <c r="X52">
        <v>40000</v>
      </c>
      <c r="Y52">
        <v>46041</v>
      </c>
      <c r="Z52">
        <v>46038</v>
      </c>
      <c r="AA52" t="s">
        <v>1755</v>
      </c>
      <c r="AB52">
        <v>3</v>
      </c>
      <c r="AC52">
        <v>185000</v>
      </c>
      <c r="AD52">
        <v>300000</v>
      </c>
      <c r="AE52">
        <v>115000</v>
      </c>
      <c r="AF52" t="s">
        <v>1755</v>
      </c>
      <c r="AG52">
        <v>4.625</v>
      </c>
      <c r="AI52" t="s">
        <v>6308</v>
      </c>
      <c r="AJ52" t="s">
        <v>47</v>
      </c>
      <c r="AK52" t="s">
        <v>107</v>
      </c>
      <c r="AL52" t="s">
        <v>107</v>
      </c>
      <c r="AM52" t="s">
        <v>107</v>
      </c>
      <c r="AO52">
        <v>-115000</v>
      </c>
      <c r="AP52">
        <v>0.38333333333333336</v>
      </c>
      <c r="AQ52">
        <v>4.625</v>
      </c>
      <c r="AR52" t="s">
        <v>47</v>
      </c>
      <c r="AT52" t="s">
        <v>47</v>
      </c>
    </row>
    <row r="53" spans="1:46" x14ac:dyDescent="0.25">
      <c r="A53" t="s">
        <v>6329</v>
      </c>
      <c r="B53" s="19">
        <v>46038</v>
      </c>
      <c r="C53" t="s">
        <v>164</v>
      </c>
      <c r="D53" t="s">
        <v>6330</v>
      </c>
      <c r="E53" t="s">
        <v>117</v>
      </c>
      <c r="F53" t="s">
        <v>5522</v>
      </c>
      <c r="G53" t="s">
        <v>1755</v>
      </c>
      <c r="I53" t="str">
        <f>CONCATENATE(Inbound___Outbound_Shifting[[#This Row],[Batch '#]],"-",Inbound___Outbound_Shifting[[#This Row],[Exp '# or Key]])</f>
        <v>--</v>
      </c>
      <c r="J53" t="s">
        <v>1755</v>
      </c>
      <c r="K53">
        <v>3</v>
      </c>
      <c r="L53" t="s">
        <v>117</v>
      </c>
      <c r="M53" t="s">
        <v>6364</v>
      </c>
      <c r="N53" t="s">
        <v>1755</v>
      </c>
      <c r="O53" t="s">
        <v>175</v>
      </c>
      <c r="P53" t="s">
        <v>6425</v>
      </c>
      <c r="Q53" t="s">
        <v>176</v>
      </c>
      <c r="R53" t="s">
        <v>6307</v>
      </c>
      <c r="S53" t="s">
        <v>1755</v>
      </c>
      <c r="T53" t="s">
        <v>1755</v>
      </c>
      <c r="U53" t="s">
        <v>1755</v>
      </c>
      <c r="V53" t="s">
        <v>1755</v>
      </c>
      <c r="W53">
        <v>8000</v>
      </c>
      <c r="X53">
        <v>19000</v>
      </c>
      <c r="Y53">
        <v>46041</v>
      </c>
      <c r="Z53">
        <v>46038</v>
      </c>
      <c r="AA53" t="s">
        <v>1755</v>
      </c>
      <c r="AB53">
        <v>3</v>
      </c>
      <c r="AC53">
        <v>125000</v>
      </c>
      <c r="AD53">
        <v>142500</v>
      </c>
      <c r="AE53">
        <v>17500</v>
      </c>
      <c r="AF53" t="s">
        <v>1755</v>
      </c>
      <c r="AG53">
        <v>6.5789473684210522</v>
      </c>
      <c r="AI53" t="s">
        <v>6308</v>
      </c>
      <c r="AJ53" t="s">
        <v>47</v>
      </c>
      <c r="AK53" t="s">
        <v>107</v>
      </c>
      <c r="AL53" t="s">
        <v>107</v>
      </c>
      <c r="AM53" t="s">
        <v>107</v>
      </c>
      <c r="AO53">
        <v>-17500</v>
      </c>
      <c r="AP53">
        <v>0.12280701754385964</v>
      </c>
      <c r="AQ53">
        <v>6.5789473684210522</v>
      </c>
      <c r="AR53" t="s">
        <v>47</v>
      </c>
      <c r="AT53" t="s">
        <v>47</v>
      </c>
    </row>
    <row r="54" spans="1:46" x14ac:dyDescent="0.25">
      <c r="A54" t="s">
        <v>1755</v>
      </c>
      <c r="B54" s="19">
        <v>46038</v>
      </c>
      <c r="C54" t="s">
        <v>409</v>
      </c>
      <c r="D54" t="s">
        <v>6330</v>
      </c>
      <c r="E54" t="s">
        <v>117</v>
      </c>
      <c r="F54" t="s">
        <v>5522</v>
      </c>
      <c r="G54" t="s">
        <v>1755</v>
      </c>
      <c r="I54" t="str">
        <f>CONCATENATE(Inbound___Outbound_Shifting[[#This Row],[Batch '#]],"-",Inbound___Outbound_Shifting[[#This Row],[Exp '# or Key]])</f>
        <v>--</v>
      </c>
      <c r="J54" t="s">
        <v>1755</v>
      </c>
      <c r="K54">
        <v>4</v>
      </c>
      <c r="L54" t="s">
        <v>117</v>
      </c>
      <c r="M54" t="s">
        <v>1755</v>
      </c>
      <c r="N54" t="s">
        <v>1755</v>
      </c>
      <c r="O54" t="s">
        <v>1755</v>
      </c>
      <c r="P54" t="s">
        <v>1755</v>
      </c>
      <c r="Q54" t="s">
        <v>1755</v>
      </c>
      <c r="R54" t="s">
        <v>1755</v>
      </c>
      <c r="S54" t="s">
        <v>1755</v>
      </c>
      <c r="T54" t="s">
        <v>1755</v>
      </c>
      <c r="U54" t="s">
        <v>1755</v>
      </c>
      <c r="V54" t="s">
        <v>1755</v>
      </c>
      <c r="W54">
        <v>11000</v>
      </c>
      <c r="X54" t="s">
        <v>1755</v>
      </c>
      <c r="Y54" t="s">
        <v>1755</v>
      </c>
      <c r="Z54" t="s">
        <v>1755</v>
      </c>
      <c r="AA54" t="s">
        <v>1755</v>
      </c>
      <c r="AC54" t="s">
        <v>1755</v>
      </c>
      <c r="AE54">
        <v>0</v>
      </c>
      <c r="AF54" t="s">
        <v>1755</v>
      </c>
      <c r="AI54" t="s">
        <v>1755</v>
      </c>
      <c r="AJ54" t="s">
        <v>1755</v>
      </c>
      <c r="AK54" t="s">
        <v>1755</v>
      </c>
      <c r="AL54" t="s">
        <v>1755</v>
      </c>
      <c r="AM54" t="s">
        <v>1755</v>
      </c>
      <c r="AO54">
        <v>0</v>
      </c>
    </row>
    <row r="55" spans="1:46" x14ac:dyDescent="0.25">
      <c r="A55" t="s">
        <v>6329</v>
      </c>
      <c r="B55" s="19">
        <v>46042</v>
      </c>
      <c r="C55" t="s">
        <v>1312</v>
      </c>
      <c r="D55" t="s">
        <v>1596</v>
      </c>
      <c r="E55" t="s">
        <v>117</v>
      </c>
      <c r="F55" t="s">
        <v>1305</v>
      </c>
      <c r="G55" t="s">
        <v>1755</v>
      </c>
      <c r="I55" t="str">
        <f>CONCATENATE(Inbound___Outbound_Shifting[[#This Row],[Batch '#]],"-",Inbound___Outbound_Shifting[[#This Row],[Exp '# or Key]])</f>
        <v>--</v>
      </c>
      <c r="J55" t="s">
        <v>1755</v>
      </c>
      <c r="K55">
        <v>1</v>
      </c>
      <c r="L55" t="s">
        <v>117</v>
      </c>
      <c r="M55" t="s">
        <v>6426</v>
      </c>
      <c r="N55" t="s">
        <v>1755</v>
      </c>
      <c r="O55" t="s">
        <v>767</v>
      </c>
      <c r="P55" t="s">
        <v>6427</v>
      </c>
      <c r="Q55" t="s">
        <v>1313</v>
      </c>
      <c r="R55" t="s">
        <v>6307</v>
      </c>
      <c r="S55" t="s">
        <v>1755</v>
      </c>
      <c r="T55" t="s">
        <v>1755</v>
      </c>
      <c r="U55" t="s">
        <v>1755</v>
      </c>
      <c r="V55" t="s">
        <v>1755</v>
      </c>
      <c r="W55">
        <v>24000</v>
      </c>
      <c r="X55">
        <v>24000</v>
      </c>
      <c r="Y55">
        <v>46043</v>
      </c>
      <c r="Z55">
        <v>46042</v>
      </c>
      <c r="AA55" t="s">
        <v>1755</v>
      </c>
      <c r="AB55">
        <v>1</v>
      </c>
      <c r="AC55">
        <v>75000</v>
      </c>
      <c r="AD55">
        <v>180000</v>
      </c>
      <c r="AE55">
        <v>105000</v>
      </c>
      <c r="AF55" t="s">
        <v>1755</v>
      </c>
      <c r="AG55">
        <v>3.125</v>
      </c>
      <c r="AI55" t="s">
        <v>6334</v>
      </c>
      <c r="AJ55" t="s">
        <v>47</v>
      </c>
      <c r="AK55" t="s">
        <v>6335</v>
      </c>
      <c r="AL55" t="s">
        <v>6335</v>
      </c>
      <c r="AM55" t="s">
        <v>6335</v>
      </c>
      <c r="AO55">
        <v>-105000</v>
      </c>
      <c r="AP55">
        <v>0.58333333333333337</v>
      </c>
      <c r="AQ55">
        <v>3.125</v>
      </c>
      <c r="AR55" t="s">
        <v>47</v>
      </c>
      <c r="AT55" t="s">
        <v>47</v>
      </c>
    </row>
    <row r="56" spans="1:46" x14ac:dyDescent="0.25">
      <c r="A56" t="s">
        <v>6300</v>
      </c>
      <c r="B56" s="19">
        <v>46043</v>
      </c>
      <c r="C56" t="s">
        <v>6428</v>
      </c>
      <c r="D56" t="s">
        <v>6302</v>
      </c>
      <c r="E56" t="s">
        <v>1268</v>
      </c>
      <c r="F56" t="s">
        <v>6319</v>
      </c>
      <c r="G56" t="s">
        <v>1755</v>
      </c>
      <c r="I56" t="str">
        <f>CONCATENATE(Inbound___Outbound_Shifting[[#This Row],[Batch '#]],"-",Inbound___Outbound_Shifting[[#This Row],[Exp '# or Key]])</f>
        <v>--</v>
      </c>
      <c r="J56" t="s">
        <v>6429</v>
      </c>
      <c r="K56" t="s">
        <v>6430</v>
      </c>
      <c r="L56" t="s">
        <v>1755</v>
      </c>
      <c r="M56" t="s">
        <v>1755</v>
      </c>
      <c r="N56" t="s">
        <v>1755</v>
      </c>
      <c r="O56" t="s">
        <v>455</v>
      </c>
      <c r="P56" t="s">
        <v>6431</v>
      </c>
      <c r="Q56" t="s">
        <v>6432</v>
      </c>
      <c r="R56" t="s">
        <v>6307</v>
      </c>
      <c r="S56">
        <v>1</v>
      </c>
      <c r="T56" t="s">
        <v>1755</v>
      </c>
      <c r="U56" t="s">
        <v>1755</v>
      </c>
      <c r="V56" t="s">
        <v>1755</v>
      </c>
      <c r="W56">
        <v>20600</v>
      </c>
      <c r="X56">
        <v>28320</v>
      </c>
      <c r="Y56">
        <v>46046</v>
      </c>
      <c r="Z56" t="s">
        <v>1755</v>
      </c>
      <c r="AA56" t="s">
        <v>1755</v>
      </c>
      <c r="AB56">
        <v>3</v>
      </c>
      <c r="AC56">
        <v>490000</v>
      </c>
      <c r="AD56">
        <v>424800</v>
      </c>
      <c r="AE56">
        <v>-65200</v>
      </c>
      <c r="AF56" t="s">
        <v>1755</v>
      </c>
      <c r="AG56">
        <v>17.302259887005651</v>
      </c>
      <c r="AH56">
        <v>401.96882690730109</v>
      </c>
      <c r="AI56" t="s">
        <v>6308</v>
      </c>
      <c r="AJ56" t="s">
        <v>47</v>
      </c>
      <c r="AK56" t="s">
        <v>107</v>
      </c>
      <c r="AL56" t="s">
        <v>107</v>
      </c>
      <c r="AM56" t="s">
        <v>107</v>
      </c>
      <c r="AO56">
        <v>65200</v>
      </c>
      <c r="AP56">
        <v>-0.15348399246704331</v>
      </c>
      <c r="AQ56">
        <v>17.302259887005651</v>
      </c>
      <c r="AR56" t="s">
        <v>47</v>
      </c>
      <c r="AT56" t="s">
        <v>47</v>
      </c>
    </row>
    <row r="57" spans="1:46" x14ac:dyDescent="0.25">
      <c r="A57" t="s">
        <v>1755</v>
      </c>
      <c r="B57" s="19">
        <v>46043</v>
      </c>
      <c r="C57" t="s">
        <v>6433</v>
      </c>
      <c r="D57" t="s">
        <v>6302</v>
      </c>
      <c r="E57" t="s">
        <v>1268</v>
      </c>
      <c r="F57" t="s">
        <v>117</v>
      </c>
      <c r="G57" t="s">
        <v>1755</v>
      </c>
      <c r="I57" t="str">
        <f>CONCATENATE(Inbound___Outbound_Shifting[[#This Row],[Batch '#]],"-",Inbound___Outbound_Shifting[[#This Row],[Exp '# or Key]])</f>
        <v>--</v>
      </c>
      <c r="J57" t="s">
        <v>6382</v>
      </c>
      <c r="K57" t="s">
        <v>6434</v>
      </c>
      <c r="L57" t="s">
        <v>1755</v>
      </c>
      <c r="M57" t="s">
        <v>1755</v>
      </c>
      <c r="N57" t="s">
        <v>1755</v>
      </c>
      <c r="O57" t="s">
        <v>1755</v>
      </c>
      <c r="Q57" t="s">
        <v>1755</v>
      </c>
      <c r="R57" t="s">
        <v>1755</v>
      </c>
      <c r="S57" t="s">
        <v>1755</v>
      </c>
      <c r="T57" t="s">
        <v>1755</v>
      </c>
      <c r="U57" t="s">
        <v>1755</v>
      </c>
      <c r="V57" t="s">
        <v>1755</v>
      </c>
      <c r="W57">
        <v>7720</v>
      </c>
      <c r="X57" t="s">
        <v>1755</v>
      </c>
      <c r="Y57">
        <v>46046</v>
      </c>
      <c r="Z57" t="s">
        <v>1755</v>
      </c>
      <c r="AA57" t="s">
        <v>1755</v>
      </c>
      <c r="AB57">
        <v>3</v>
      </c>
      <c r="AC57">
        <v>0</v>
      </c>
      <c r="AE57">
        <v>0</v>
      </c>
      <c r="AF57" t="s">
        <v>1755</v>
      </c>
      <c r="AH57">
        <v>0</v>
      </c>
      <c r="AI57" t="s">
        <v>1755</v>
      </c>
      <c r="AJ57" t="s">
        <v>1755</v>
      </c>
      <c r="AK57" t="s">
        <v>1755</v>
      </c>
      <c r="AL57" t="s">
        <v>1755</v>
      </c>
      <c r="AM57" t="s">
        <v>1755</v>
      </c>
      <c r="AO57">
        <v>0</v>
      </c>
    </row>
    <row r="58" spans="1:46" x14ac:dyDescent="0.25">
      <c r="A58" t="s">
        <v>6329</v>
      </c>
      <c r="B58" s="19">
        <v>46043</v>
      </c>
      <c r="C58" t="s">
        <v>646</v>
      </c>
      <c r="D58" t="s">
        <v>6330</v>
      </c>
      <c r="E58" t="s">
        <v>117</v>
      </c>
      <c r="F58" t="s">
        <v>4110</v>
      </c>
      <c r="G58" t="s">
        <v>1755</v>
      </c>
      <c r="I58" t="str">
        <f>CONCATENATE(Inbound___Outbound_Shifting[[#This Row],[Batch '#]],"-",Inbound___Outbound_Shifting[[#This Row],[Exp '# or Key]])</f>
        <v>--</v>
      </c>
      <c r="J58" t="s">
        <v>1755</v>
      </c>
      <c r="K58">
        <v>2</v>
      </c>
      <c r="L58" t="s">
        <v>117</v>
      </c>
      <c r="M58" t="s">
        <v>6364</v>
      </c>
      <c r="N58" t="s">
        <v>1755</v>
      </c>
      <c r="O58" t="s">
        <v>134</v>
      </c>
      <c r="P58" t="s">
        <v>6435</v>
      </c>
      <c r="Q58" t="s">
        <v>651</v>
      </c>
      <c r="R58" t="s">
        <v>6307</v>
      </c>
      <c r="S58" t="s">
        <v>1755</v>
      </c>
      <c r="T58" t="s">
        <v>1755</v>
      </c>
      <c r="U58" t="s">
        <v>1755</v>
      </c>
      <c r="V58" t="s">
        <v>1755</v>
      </c>
      <c r="W58">
        <v>21390</v>
      </c>
      <c r="X58">
        <v>25000</v>
      </c>
      <c r="Y58">
        <v>46046</v>
      </c>
      <c r="Z58">
        <v>46043</v>
      </c>
      <c r="AA58" t="s">
        <v>1755</v>
      </c>
      <c r="AB58">
        <v>3</v>
      </c>
      <c r="AC58">
        <v>150000</v>
      </c>
      <c r="AD58">
        <v>187500</v>
      </c>
      <c r="AE58">
        <v>37500</v>
      </c>
      <c r="AF58" t="s">
        <v>1755</v>
      </c>
      <c r="AG58">
        <v>6</v>
      </c>
      <c r="AI58" t="s">
        <v>6308</v>
      </c>
      <c r="AJ58" t="s">
        <v>47</v>
      </c>
      <c r="AK58" t="s">
        <v>107</v>
      </c>
      <c r="AL58" t="s">
        <v>107</v>
      </c>
      <c r="AM58" t="s">
        <v>107</v>
      </c>
      <c r="AO58">
        <v>-37500</v>
      </c>
      <c r="AP58">
        <v>0.2</v>
      </c>
      <c r="AQ58">
        <v>6</v>
      </c>
      <c r="AR58" t="s">
        <v>47</v>
      </c>
      <c r="AT58" t="s">
        <v>47</v>
      </c>
    </row>
    <row r="59" spans="1:46" x14ac:dyDescent="0.25">
      <c r="A59" t="s">
        <v>1755</v>
      </c>
      <c r="B59" s="19">
        <v>46043</v>
      </c>
      <c r="C59" t="s">
        <v>589</v>
      </c>
      <c r="D59" t="s">
        <v>6330</v>
      </c>
      <c r="E59" t="s">
        <v>117</v>
      </c>
      <c r="F59" t="s">
        <v>154</v>
      </c>
      <c r="G59" t="s">
        <v>1755</v>
      </c>
      <c r="I59" t="str">
        <f>CONCATENATE(Inbound___Outbound_Shifting[[#This Row],[Batch '#]],"-",Inbound___Outbound_Shifting[[#This Row],[Exp '# or Key]])</f>
        <v>--</v>
      </c>
      <c r="J59" t="s">
        <v>1755</v>
      </c>
      <c r="K59">
        <v>1</v>
      </c>
      <c r="L59" t="s">
        <v>117</v>
      </c>
      <c r="M59" t="s">
        <v>1755</v>
      </c>
      <c r="N59" t="s">
        <v>1755</v>
      </c>
      <c r="O59" t="s">
        <v>1755</v>
      </c>
      <c r="P59" t="s">
        <v>1755</v>
      </c>
      <c r="Q59" t="s">
        <v>1755</v>
      </c>
      <c r="R59" t="s">
        <v>1755</v>
      </c>
      <c r="S59" t="s">
        <v>1755</v>
      </c>
      <c r="T59" t="s">
        <v>1755</v>
      </c>
      <c r="U59" t="s">
        <v>1755</v>
      </c>
      <c r="V59" t="s">
        <v>1755</v>
      </c>
      <c r="W59">
        <v>3610</v>
      </c>
      <c r="X59" t="s">
        <v>1755</v>
      </c>
      <c r="Y59" t="s">
        <v>1755</v>
      </c>
      <c r="Z59" t="s">
        <v>1755</v>
      </c>
      <c r="AA59" t="s">
        <v>1755</v>
      </c>
      <c r="AC59" t="s">
        <v>1755</v>
      </c>
      <c r="AE59">
        <v>0</v>
      </c>
      <c r="AF59" t="s">
        <v>1755</v>
      </c>
      <c r="AI59" t="s">
        <v>1755</v>
      </c>
      <c r="AJ59" t="s">
        <v>1755</v>
      </c>
      <c r="AK59" t="s">
        <v>1755</v>
      </c>
      <c r="AL59" t="s">
        <v>1755</v>
      </c>
      <c r="AM59" t="s">
        <v>1755</v>
      </c>
      <c r="AO59">
        <v>0</v>
      </c>
    </row>
    <row r="60" spans="1:46" x14ac:dyDescent="0.25">
      <c r="A60" t="s">
        <v>1755</v>
      </c>
      <c r="B60" s="19">
        <v>46043</v>
      </c>
      <c r="C60" t="s">
        <v>1755</v>
      </c>
      <c r="D60" t="s">
        <v>6330</v>
      </c>
      <c r="E60" t="s">
        <v>117</v>
      </c>
      <c r="F60" t="s">
        <v>6436</v>
      </c>
      <c r="G60" t="s">
        <v>1755</v>
      </c>
      <c r="I60" t="str">
        <f>CONCATENATE(Inbound___Outbound_Shifting[[#This Row],[Batch '#]],"-",Inbound___Outbound_Shifting[[#This Row],[Exp '# or Key]])</f>
        <v>--</v>
      </c>
      <c r="J60" t="s">
        <v>1755</v>
      </c>
      <c r="K60">
        <v>3</v>
      </c>
      <c r="L60" t="s">
        <v>117</v>
      </c>
      <c r="M60" t="s">
        <v>1755</v>
      </c>
      <c r="N60" t="s">
        <v>1755</v>
      </c>
      <c r="O60" t="s">
        <v>1755</v>
      </c>
      <c r="P60" t="s">
        <v>1755</v>
      </c>
      <c r="Q60" t="s">
        <v>1755</v>
      </c>
      <c r="R60" t="s">
        <v>1755</v>
      </c>
      <c r="S60" t="s">
        <v>1755</v>
      </c>
      <c r="T60" t="s">
        <v>1755</v>
      </c>
      <c r="U60" t="s">
        <v>1755</v>
      </c>
      <c r="V60" t="s">
        <v>1755</v>
      </c>
      <c r="W60" t="s">
        <v>1755</v>
      </c>
      <c r="X60" t="s">
        <v>1755</v>
      </c>
      <c r="Y60" t="s">
        <v>1755</v>
      </c>
      <c r="Z60" t="s">
        <v>1755</v>
      </c>
      <c r="AA60" t="s">
        <v>1755</v>
      </c>
      <c r="AC60" t="s">
        <v>1755</v>
      </c>
      <c r="AE60">
        <v>0</v>
      </c>
      <c r="AF60" t="s">
        <v>1755</v>
      </c>
      <c r="AI60" t="s">
        <v>1755</v>
      </c>
      <c r="AJ60" t="s">
        <v>1755</v>
      </c>
      <c r="AK60" t="s">
        <v>1755</v>
      </c>
      <c r="AL60" t="s">
        <v>1755</v>
      </c>
      <c r="AM60" t="s">
        <v>1755</v>
      </c>
      <c r="AO60">
        <v>0</v>
      </c>
    </row>
    <row r="61" spans="1:46" x14ac:dyDescent="0.25">
      <c r="A61" t="s">
        <v>6329</v>
      </c>
      <c r="B61" s="19">
        <v>46044</v>
      </c>
      <c r="C61" t="s">
        <v>1471</v>
      </c>
      <c r="D61" t="s">
        <v>1602</v>
      </c>
      <c r="E61" t="s">
        <v>6437</v>
      </c>
      <c r="F61" t="s">
        <v>1472</v>
      </c>
      <c r="G61" t="s">
        <v>1755</v>
      </c>
      <c r="I61" t="str">
        <f>CONCATENATE(Inbound___Outbound_Shifting[[#This Row],[Batch '#]],"-",Inbound___Outbound_Shifting[[#This Row],[Exp '# or Key]])</f>
        <v>--</v>
      </c>
      <c r="J61" t="s">
        <v>1755</v>
      </c>
      <c r="K61" t="s">
        <v>1755</v>
      </c>
      <c r="L61" t="s">
        <v>6437</v>
      </c>
      <c r="M61" t="s">
        <v>6384</v>
      </c>
      <c r="N61" t="s">
        <v>1755</v>
      </c>
      <c r="O61" t="s">
        <v>767</v>
      </c>
      <c r="P61" t="s">
        <v>6438</v>
      </c>
      <c r="Q61" t="s">
        <v>1473</v>
      </c>
      <c r="R61" t="s">
        <v>6333</v>
      </c>
      <c r="S61" t="s">
        <v>1755</v>
      </c>
      <c r="T61" t="s">
        <v>1755</v>
      </c>
      <c r="U61" t="s">
        <v>1755</v>
      </c>
      <c r="V61" t="s">
        <v>1755</v>
      </c>
      <c r="W61">
        <v>1000</v>
      </c>
      <c r="X61">
        <v>1000</v>
      </c>
      <c r="Y61">
        <v>46044</v>
      </c>
      <c r="Z61">
        <v>46044</v>
      </c>
      <c r="AA61" t="s">
        <v>1755</v>
      </c>
      <c r="AB61">
        <v>0</v>
      </c>
      <c r="AC61">
        <v>14000</v>
      </c>
      <c r="AD61">
        <v>7500</v>
      </c>
      <c r="AE61">
        <v>-6500</v>
      </c>
      <c r="AF61" t="s">
        <v>1755</v>
      </c>
      <c r="AG61">
        <v>14</v>
      </c>
      <c r="AI61" t="s">
        <v>6369</v>
      </c>
      <c r="AJ61" t="s">
        <v>47</v>
      </c>
      <c r="AK61" t="s">
        <v>6335</v>
      </c>
      <c r="AL61" t="s">
        <v>6335</v>
      </c>
      <c r="AM61" t="s">
        <v>6335</v>
      </c>
      <c r="AO61">
        <v>6500</v>
      </c>
      <c r="AP61">
        <v>-0.8666666666666667</v>
      </c>
      <c r="AQ61">
        <v>14</v>
      </c>
      <c r="AR61" t="s">
        <v>47</v>
      </c>
      <c r="AT61" t="s">
        <v>47</v>
      </c>
    </row>
    <row r="62" spans="1:46" x14ac:dyDescent="0.25">
      <c r="A62" t="s">
        <v>6329</v>
      </c>
      <c r="B62" s="19">
        <v>46044</v>
      </c>
      <c r="C62" t="s">
        <v>6439</v>
      </c>
      <c r="D62" t="s">
        <v>1600</v>
      </c>
      <c r="E62" t="s">
        <v>1371</v>
      </c>
      <c r="F62" t="s">
        <v>31</v>
      </c>
      <c r="G62" t="s">
        <v>1755</v>
      </c>
      <c r="I62" t="str">
        <f>CONCATENATE(Inbound___Outbound_Shifting[[#This Row],[Batch '#]],"-",Inbound___Outbound_Shifting[[#This Row],[Exp '# or Key]])</f>
        <v>--</v>
      </c>
      <c r="J62" t="s">
        <v>1755</v>
      </c>
      <c r="K62" t="s">
        <v>1755</v>
      </c>
      <c r="L62" t="s">
        <v>1371</v>
      </c>
      <c r="M62" t="s">
        <v>6384</v>
      </c>
      <c r="N62" t="s">
        <v>1755</v>
      </c>
      <c r="O62" t="s">
        <v>455</v>
      </c>
      <c r="P62" t="s">
        <v>6440</v>
      </c>
      <c r="Q62" t="s">
        <v>1484</v>
      </c>
      <c r="R62" t="s">
        <v>6441</v>
      </c>
      <c r="S62" t="s">
        <v>1755</v>
      </c>
      <c r="T62" t="s">
        <v>1755</v>
      </c>
      <c r="U62" t="s">
        <v>1755</v>
      </c>
      <c r="V62" t="s">
        <v>1755</v>
      </c>
      <c r="W62">
        <v>8000</v>
      </c>
      <c r="X62">
        <v>8000</v>
      </c>
      <c r="Y62">
        <v>46044</v>
      </c>
      <c r="Z62">
        <v>46044</v>
      </c>
      <c r="AA62" t="s">
        <v>1755</v>
      </c>
      <c r="AB62">
        <v>0</v>
      </c>
      <c r="AC62">
        <v>105000</v>
      </c>
      <c r="AD62">
        <v>60000</v>
      </c>
      <c r="AE62">
        <v>-45000</v>
      </c>
      <c r="AF62" t="s">
        <v>1755</v>
      </c>
      <c r="AG62">
        <v>13.125</v>
      </c>
      <c r="AI62" t="s">
        <v>6308</v>
      </c>
      <c r="AJ62" t="s">
        <v>47</v>
      </c>
      <c r="AK62" t="s">
        <v>6442</v>
      </c>
      <c r="AL62" t="s">
        <v>107</v>
      </c>
      <c r="AM62" t="s">
        <v>107</v>
      </c>
      <c r="AO62">
        <v>45000</v>
      </c>
      <c r="AP62">
        <v>-0.75</v>
      </c>
      <c r="AQ62">
        <v>13.125</v>
      </c>
      <c r="AR62" t="s">
        <v>47</v>
      </c>
      <c r="AT62" t="s">
        <v>47</v>
      </c>
    </row>
    <row r="63" spans="1:46" x14ac:dyDescent="0.25">
      <c r="A63" t="s">
        <v>6329</v>
      </c>
      <c r="B63" s="19">
        <v>46045</v>
      </c>
      <c r="C63" t="s">
        <v>1497</v>
      </c>
      <c r="D63" t="s">
        <v>1600</v>
      </c>
      <c r="E63" t="s">
        <v>1371</v>
      </c>
      <c r="F63" t="s">
        <v>1498</v>
      </c>
      <c r="G63" t="s">
        <v>1755</v>
      </c>
      <c r="I63" t="str">
        <f>CONCATENATE(Inbound___Outbound_Shifting[[#This Row],[Batch '#]],"-",Inbound___Outbound_Shifting[[#This Row],[Exp '# or Key]])</f>
        <v>--</v>
      </c>
      <c r="J63" t="s">
        <v>1755</v>
      </c>
      <c r="K63" t="s">
        <v>1755</v>
      </c>
      <c r="L63" t="s">
        <v>1371</v>
      </c>
      <c r="M63" t="s">
        <v>6443</v>
      </c>
      <c r="N63" t="s">
        <v>1755</v>
      </c>
      <c r="O63" t="s">
        <v>104</v>
      </c>
      <c r="P63" t="s">
        <v>1755</v>
      </c>
      <c r="Q63" t="s">
        <v>1755</v>
      </c>
      <c r="R63" t="s">
        <v>6441</v>
      </c>
      <c r="S63" t="s">
        <v>1755</v>
      </c>
      <c r="T63" t="s">
        <v>1755</v>
      </c>
      <c r="U63" t="s">
        <v>1755</v>
      </c>
      <c r="V63" t="s">
        <v>1755</v>
      </c>
      <c r="W63">
        <v>8000</v>
      </c>
      <c r="X63">
        <v>8000</v>
      </c>
      <c r="Y63">
        <v>46045</v>
      </c>
      <c r="Z63">
        <v>46045</v>
      </c>
      <c r="AA63" t="s">
        <v>1755</v>
      </c>
      <c r="AB63">
        <v>0</v>
      </c>
      <c r="AC63">
        <v>51500</v>
      </c>
      <c r="AD63">
        <v>60000</v>
      </c>
      <c r="AE63">
        <v>8500</v>
      </c>
      <c r="AF63" t="s">
        <v>1755</v>
      </c>
      <c r="AG63">
        <v>6.4375</v>
      </c>
      <c r="AI63" t="s">
        <v>6308</v>
      </c>
      <c r="AJ63" t="s">
        <v>47</v>
      </c>
      <c r="AK63" t="s">
        <v>107</v>
      </c>
      <c r="AL63" t="s">
        <v>107</v>
      </c>
      <c r="AM63" t="s">
        <v>107</v>
      </c>
      <c r="AO63">
        <v>-8500</v>
      </c>
      <c r="AP63">
        <v>0.14166666666666666</v>
      </c>
      <c r="AQ63">
        <v>6.4375</v>
      </c>
      <c r="AR63" t="s">
        <v>47</v>
      </c>
      <c r="AT63" t="s">
        <v>47</v>
      </c>
    </row>
    <row r="64" spans="1:46" x14ac:dyDescent="0.25">
      <c r="A64" t="s">
        <v>6329</v>
      </c>
      <c r="B64" s="19">
        <v>46045</v>
      </c>
      <c r="C64" t="s">
        <v>447</v>
      </c>
      <c r="D64" t="s">
        <v>6330</v>
      </c>
      <c r="E64" t="s">
        <v>117</v>
      </c>
      <c r="F64" t="s">
        <v>143</v>
      </c>
      <c r="G64" t="s">
        <v>1755</v>
      </c>
      <c r="I64" t="str">
        <f>CONCATENATE(Inbound___Outbound_Shifting[[#This Row],[Batch '#]],"-",Inbound___Outbound_Shifting[[#This Row],[Exp '# or Key]])</f>
        <v>--</v>
      </c>
      <c r="J64" t="s">
        <v>1755</v>
      </c>
      <c r="K64" t="s">
        <v>1755</v>
      </c>
      <c r="L64" t="s">
        <v>117</v>
      </c>
      <c r="M64" t="s">
        <v>6364</v>
      </c>
      <c r="N64" t="s">
        <v>1755</v>
      </c>
      <c r="O64" t="s">
        <v>455</v>
      </c>
      <c r="P64" t="s">
        <v>6444</v>
      </c>
      <c r="Q64" t="s">
        <v>456</v>
      </c>
      <c r="R64" t="s">
        <v>6307</v>
      </c>
      <c r="S64" t="s">
        <v>1755</v>
      </c>
      <c r="T64" t="s">
        <v>1755</v>
      </c>
      <c r="U64" t="s">
        <v>1755</v>
      </c>
      <c r="V64" t="s">
        <v>1755</v>
      </c>
      <c r="W64">
        <v>29000</v>
      </c>
      <c r="X64">
        <v>29000</v>
      </c>
      <c r="Y64">
        <v>46048</v>
      </c>
      <c r="Z64">
        <v>46045</v>
      </c>
      <c r="AA64" t="s">
        <v>1755</v>
      </c>
      <c r="AB64">
        <v>3</v>
      </c>
      <c r="AC64">
        <v>160000</v>
      </c>
      <c r="AD64">
        <v>217500</v>
      </c>
      <c r="AE64">
        <v>57500</v>
      </c>
      <c r="AF64" t="s">
        <v>1755</v>
      </c>
      <c r="AG64">
        <v>5.5172413793103452</v>
      </c>
      <c r="AI64" t="s">
        <v>6308</v>
      </c>
      <c r="AJ64" t="s">
        <v>47</v>
      </c>
      <c r="AK64" t="s">
        <v>107</v>
      </c>
      <c r="AL64" t="s">
        <v>107</v>
      </c>
      <c r="AM64" t="s">
        <v>107</v>
      </c>
      <c r="AO64">
        <v>-57500</v>
      </c>
      <c r="AP64">
        <v>0.26436781609195403</v>
      </c>
      <c r="AQ64">
        <v>5.5172413793103452</v>
      </c>
      <c r="AR64" t="s">
        <v>47</v>
      </c>
      <c r="AT64" t="s">
        <v>47</v>
      </c>
    </row>
    <row r="65" spans="1:46" x14ac:dyDescent="0.25">
      <c r="A65" t="s">
        <v>6329</v>
      </c>
      <c r="B65" s="19">
        <v>46045</v>
      </c>
      <c r="C65" t="s">
        <v>447</v>
      </c>
      <c r="D65" t="s">
        <v>6330</v>
      </c>
      <c r="E65" t="s">
        <v>117</v>
      </c>
      <c r="F65" t="s">
        <v>143</v>
      </c>
      <c r="G65" t="s">
        <v>1755</v>
      </c>
      <c r="I65" t="str">
        <f>CONCATENATE(Inbound___Outbound_Shifting[[#This Row],[Batch '#]],"-",Inbound___Outbound_Shifting[[#This Row],[Exp '# or Key]])</f>
        <v>--</v>
      </c>
      <c r="J65" t="s">
        <v>1755</v>
      </c>
      <c r="K65">
        <v>2.2999999999999998</v>
      </c>
      <c r="L65" t="s">
        <v>117</v>
      </c>
      <c r="M65" t="s">
        <v>6364</v>
      </c>
      <c r="N65" t="s">
        <v>1755</v>
      </c>
      <c r="O65" t="s">
        <v>175</v>
      </c>
      <c r="P65" t="s">
        <v>6445</v>
      </c>
      <c r="Q65" t="s">
        <v>6446</v>
      </c>
      <c r="R65" t="s">
        <v>6307</v>
      </c>
      <c r="S65" t="s">
        <v>1755</v>
      </c>
      <c r="T65" t="s">
        <v>1755</v>
      </c>
      <c r="U65" t="s">
        <v>1755</v>
      </c>
      <c r="V65" t="s">
        <v>1755</v>
      </c>
      <c r="W65">
        <v>21000</v>
      </c>
      <c r="X65">
        <v>23000</v>
      </c>
      <c r="Y65">
        <v>46048</v>
      </c>
      <c r="Z65">
        <v>46045</v>
      </c>
      <c r="AA65" t="s">
        <v>1755</v>
      </c>
      <c r="AB65">
        <v>3</v>
      </c>
      <c r="AC65">
        <v>160000</v>
      </c>
      <c r="AD65">
        <v>172500</v>
      </c>
      <c r="AE65">
        <v>12500</v>
      </c>
      <c r="AF65" t="s">
        <v>1755</v>
      </c>
      <c r="AG65">
        <v>6.9565217391304346</v>
      </c>
      <c r="AI65" t="s">
        <v>6308</v>
      </c>
      <c r="AJ65" t="s">
        <v>47</v>
      </c>
      <c r="AK65" t="s">
        <v>107</v>
      </c>
      <c r="AL65" t="s">
        <v>107</v>
      </c>
      <c r="AM65" t="s">
        <v>107</v>
      </c>
      <c r="AO65">
        <v>-12500</v>
      </c>
      <c r="AP65">
        <v>7.2463768115942032E-2</v>
      </c>
      <c r="AQ65">
        <v>6.9565217391304346</v>
      </c>
      <c r="AR65" t="s">
        <v>47</v>
      </c>
      <c r="AT65" t="s">
        <v>47</v>
      </c>
    </row>
    <row r="66" spans="1:46" x14ac:dyDescent="0.25">
      <c r="A66" t="s">
        <v>1755</v>
      </c>
      <c r="B66" s="19">
        <v>46045</v>
      </c>
      <c r="C66" t="s">
        <v>509</v>
      </c>
      <c r="D66" t="s">
        <v>6330</v>
      </c>
      <c r="E66" t="s">
        <v>1755</v>
      </c>
      <c r="F66" t="s">
        <v>510</v>
      </c>
      <c r="G66" t="s">
        <v>1755</v>
      </c>
      <c r="I66" t="str">
        <f>CONCATENATE(Inbound___Outbound_Shifting[[#This Row],[Batch '#]],"-",Inbound___Outbound_Shifting[[#This Row],[Exp '# or Key]])</f>
        <v>--</v>
      </c>
      <c r="J66" t="s">
        <v>1755</v>
      </c>
      <c r="K66">
        <v>3</v>
      </c>
      <c r="L66" t="s">
        <v>1755</v>
      </c>
      <c r="M66" t="s">
        <v>1755</v>
      </c>
      <c r="N66" t="s">
        <v>1755</v>
      </c>
      <c r="O66" t="s">
        <v>1755</v>
      </c>
      <c r="P66" t="s">
        <v>1755</v>
      </c>
      <c r="Q66" t="s">
        <v>1755</v>
      </c>
      <c r="R66" t="s">
        <v>1755</v>
      </c>
      <c r="S66" t="s">
        <v>1755</v>
      </c>
      <c r="T66" t="s">
        <v>1755</v>
      </c>
      <c r="U66" t="s">
        <v>1755</v>
      </c>
      <c r="V66" t="s">
        <v>1755</v>
      </c>
      <c r="W66">
        <v>2000</v>
      </c>
      <c r="X66" t="s">
        <v>1755</v>
      </c>
      <c r="Y66" t="s">
        <v>1755</v>
      </c>
      <c r="Z66" t="s">
        <v>1755</v>
      </c>
      <c r="AA66" t="s">
        <v>1755</v>
      </c>
      <c r="AC66" t="s">
        <v>1755</v>
      </c>
      <c r="AE66">
        <v>0</v>
      </c>
      <c r="AF66" t="s">
        <v>1755</v>
      </c>
      <c r="AI66" t="s">
        <v>1755</v>
      </c>
      <c r="AJ66" t="s">
        <v>1755</v>
      </c>
      <c r="AK66" t="s">
        <v>1755</v>
      </c>
      <c r="AL66" t="s">
        <v>1755</v>
      </c>
      <c r="AM66" t="s">
        <v>1755</v>
      </c>
      <c r="AO66">
        <v>0</v>
      </c>
    </row>
    <row r="67" spans="1:46" x14ac:dyDescent="0.25">
      <c r="A67" t="s">
        <v>6329</v>
      </c>
      <c r="B67" s="19">
        <v>46048</v>
      </c>
      <c r="C67" t="s">
        <v>1481</v>
      </c>
      <c r="D67" t="s">
        <v>1600</v>
      </c>
      <c r="E67" t="s">
        <v>117</v>
      </c>
      <c r="F67" t="s">
        <v>1292</v>
      </c>
      <c r="G67" t="s">
        <v>1755</v>
      </c>
      <c r="I67" t="str">
        <f>CONCATENATE(Inbound___Outbound_Shifting[[#This Row],[Batch '#]],"-",Inbound___Outbound_Shifting[[#This Row],[Exp '# or Key]])</f>
        <v>--</v>
      </c>
      <c r="J67" t="s">
        <v>1755</v>
      </c>
      <c r="K67">
        <v>1</v>
      </c>
      <c r="L67" t="s">
        <v>117</v>
      </c>
      <c r="M67" t="s">
        <v>6447</v>
      </c>
      <c r="N67" t="s">
        <v>1755</v>
      </c>
      <c r="O67" t="s">
        <v>767</v>
      </c>
      <c r="P67" t="s">
        <v>1755</v>
      </c>
      <c r="Q67" t="s">
        <v>1755</v>
      </c>
      <c r="R67" t="s">
        <v>6333</v>
      </c>
      <c r="S67" t="s">
        <v>1755</v>
      </c>
      <c r="T67" t="s">
        <v>1755</v>
      </c>
      <c r="U67" t="s">
        <v>1755</v>
      </c>
      <c r="V67" t="s">
        <v>1755</v>
      </c>
      <c r="W67">
        <v>2300</v>
      </c>
      <c r="X67">
        <v>2300</v>
      </c>
      <c r="Y67">
        <v>46048</v>
      </c>
      <c r="Z67">
        <v>46048</v>
      </c>
      <c r="AA67" t="s">
        <v>1755</v>
      </c>
      <c r="AB67">
        <v>0</v>
      </c>
      <c r="AC67">
        <v>26000</v>
      </c>
      <c r="AD67">
        <v>17250</v>
      </c>
      <c r="AE67">
        <v>-8750</v>
      </c>
      <c r="AF67" t="s">
        <v>1755</v>
      </c>
      <c r="AG67">
        <v>11.304347826086957</v>
      </c>
      <c r="AI67" t="s">
        <v>6334</v>
      </c>
      <c r="AJ67" t="s">
        <v>47</v>
      </c>
      <c r="AK67" t="s">
        <v>6335</v>
      </c>
      <c r="AL67" t="s">
        <v>6335</v>
      </c>
      <c r="AM67" t="s">
        <v>6335</v>
      </c>
      <c r="AO67">
        <v>8750</v>
      </c>
      <c r="AP67">
        <v>-0.50724637681159424</v>
      </c>
      <c r="AQ67">
        <v>11.304347826086957</v>
      </c>
      <c r="AR67" t="s">
        <v>47</v>
      </c>
      <c r="AT67" t="s">
        <v>47</v>
      </c>
    </row>
    <row r="68" spans="1:46" x14ac:dyDescent="0.25">
      <c r="A68" t="s">
        <v>6329</v>
      </c>
      <c r="B68" s="19">
        <v>46048</v>
      </c>
      <c r="C68" t="s">
        <v>1264</v>
      </c>
      <c r="D68" t="s">
        <v>1600</v>
      </c>
      <c r="E68" t="s">
        <v>1371</v>
      </c>
      <c r="F68" t="s">
        <v>1265</v>
      </c>
      <c r="G68" t="s">
        <v>1755</v>
      </c>
      <c r="I68" t="str">
        <f>CONCATENATE(Inbound___Outbound_Shifting[[#This Row],[Batch '#]],"-",Inbound___Outbound_Shifting[[#This Row],[Exp '# or Key]])</f>
        <v>--</v>
      </c>
      <c r="J68" t="s">
        <v>1755</v>
      </c>
      <c r="K68">
        <v>2</v>
      </c>
      <c r="L68" t="s">
        <v>1371</v>
      </c>
      <c r="M68" t="s">
        <v>6448</v>
      </c>
      <c r="N68" t="s">
        <v>1755</v>
      </c>
      <c r="O68" t="s">
        <v>455</v>
      </c>
      <c r="P68" t="s">
        <v>6449</v>
      </c>
      <c r="Q68" t="s">
        <v>1266</v>
      </c>
      <c r="R68" t="s">
        <v>6333</v>
      </c>
      <c r="S68" t="s">
        <v>1755</v>
      </c>
      <c r="T68" t="s">
        <v>1755</v>
      </c>
      <c r="U68" t="s">
        <v>1755</v>
      </c>
      <c r="V68" t="s">
        <v>1755</v>
      </c>
      <c r="W68">
        <v>2300</v>
      </c>
      <c r="X68">
        <v>2300</v>
      </c>
      <c r="Y68">
        <v>46048</v>
      </c>
      <c r="Z68">
        <v>46048</v>
      </c>
      <c r="AA68" t="s">
        <v>1755</v>
      </c>
      <c r="AB68">
        <v>0</v>
      </c>
      <c r="AC68">
        <v>36000</v>
      </c>
      <c r="AD68">
        <v>17250</v>
      </c>
      <c r="AE68">
        <v>-18750</v>
      </c>
      <c r="AF68" t="s">
        <v>1755</v>
      </c>
      <c r="AG68">
        <v>15.652173913043478</v>
      </c>
      <c r="AI68" t="s">
        <v>6308</v>
      </c>
      <c r="AJ68" t="s">
        <v>47</v>
      </c>
      <c r="AK68" t="s">
        <v>107</v>
      </c>
      <c r="AL68" t="s">
        <v>107</v>
      </c>
      <c r="AM68" t="s">
        <v>107</v>
      </c>
      <c r="AO68">
        <v>18750</v>
      </c>
      <c r="AP68">
        <v>-1.0869565217391304</v>
      </c>
      <c r="AQ68">
        <v>15.652173913043478</v>
      </c>
      <c r="AR68" t="s">
        <v>47</v>
      </c>
      <c r="AT68" t="s">
        <v>47</v>
      </c>
    </row>
    <row r="69" spans="1:46" x14ac:dyDescent="0.25">
      <c r="A69" t="s">
        <v>6329</v>
      </c>
      <c r="B69" s="19">
        <v>46048</v>
      </c>
      <c r="C69" t="s">
        <v>205</v>
      </c>
      <c r="D69" t="s">
        <v>6330</v>
      </c>
      <c r="E69" t="s">
        <v>117</v>
      </c>
      <c r="F69" t="s">
        <v>6450</v>
      </c>
      <c r="G69" t="s">
        <v>1755</v>
      </c>
      <c r="I69" t="str">
        <f>CONCATENATE(Inbound___Outbound_Shifting[[#This Row],[Batch '#]],"-",Inbound___Outbound_Shifting[[#This Row],[Exp '# or Key]])</f>
        <v>--</v>
      </c>
      <c r="J69" t="s">
        <v>1755</v>
      </c>
      <c r="K69">
        <v>2</v>
      </c>
      <c r="L69" t="s">
        <v>117</v>
      </c>
      <c r="M69" t="s">
        <v>6364</v>
      </c>
      <c r="N69" t="s">
        <v>1755</v>
      </c>
      <c r="O69" t="s">
        <v>134</v>
      </c>
      <c r="P69" t="s">
        <v>6451</v>
      </c>
      <c r="Q69" t="s">
        <v>211</v>
      </c>
      <c r="R69" t="s">
        <v>6307</v>
      </c>
      <c r="S69" t="s">
        <v>1755</v>
      </c>
      <c r="T69" t="s">
        <v>1755</v>
      </c>
      <c r="U69" t="s">
        <v>1755</v>
      </c>
      <c r="V69" t="s">
        <v>1755</v>
      </c>
      <c r="W69">
        <v>33500</v>
      </c>
      <c r="X69">
        <v>38000</v>
      </c>
      <c r="Y69">
        <v>46051</v>
      </c>
      <c r="Z69">
        <v>46048</v>
      </c>
      <c r="AA69" t="s">
        <v>1755</v>
      </c>
      <c r="AB69">
        <v>3</v>
      </c>
      <c r="AC69">
        <v>170000</v>
      </c>
      <c r="AD69">
        <v>285000</v>
      </c>
      <c r="AE69">
        <v>115000</v>
      </c>
      <c r="AF69" t="s">
        <v>1755</v>
      </c>
      <c r="AG69">
        <v>4.4736842105263159</v>
      </c>
      <c r="AI69" t="s">
        <v>6308</v>
      </c>
      <c r="AJ69" t="s">
        <v>47</v>
      </c>
      <c r="AK69" t="s">
        <v>107</v>
      </c>
      <c r="AL69" t="s">
        <v>107</v>
      </c>
      <c r="AM69" t="s">
        <v>107</v>
      </c>
      <c r="AO69">
        <v>-115000</v>
      </c>
      <c r="AP69">
        <v>0.40350877192982454</v>
      </c>
      <c r="AQ69">
        <v>4.4736842105263159</v>
      </c>
      <c r="AR69" t="s">
        <v>47</v>
      </c>
      <c r="AT69" t="s">
        <v>47</v>
      </c>
    </row>
    <row r="70" spans="1:46" x14ac:dyDescent="0.25">
      <c r="A70" t="s">
        <v>1755</v>
      </c>
      <c r="B70" s="19">
        <v>46048</v>
      </c>
      <c r="C70" t="s">
        <v>498</v>
      </c>
      <c r="D70" t="s">
        <v>6330</v>
      </c>
      <c r="E70" t="s">
        <v>1755</v>
      </c>
      <c r="F70" t="s">
        <v>6452</v>
      </c>
      <c r="G70" t="s">
        <v>1755</v>
      </c>
      <c r="I70" t="str">
        <f>CONCATENATE(Inbound___Outbound_Shifting[[#This Row],[Batch '#]],"-",Inbound___Outbound_Shifting[[#This Row],[Exp '# or Key]])</f>
        <v>--</v>
      </c>
      <c r="J70" t="s">
        <v>1755</v>
      </c>
      <c r="K70">
        <v>4</v>
      </c>
      <c r="L70" t="s">
        <v>1755</v>
      </c>
      <c r="M70" t="s">
        <v>1755</v>
      </c>
      <c r="N70" t="s">
        <v>1755</v>
      </c>
      <c r="O70" t="s">
        <v>1755</v>
      </c>
      <c r="P70" t="s">
        <v>1755</v>
      </c>
      <c r="Q70" t="s">
        <v>1755</v>
      </c>
      <c r="R70" t="s">
        <v>1755</v>
      </c>
      <c r="S70" t="s">
        <v>1755</v>
      </c>
      <c r="T70" t="s">
        <v>1755</v>
      </c>
      <c r="U70" t="s">
        <v>1755</v>
      </c>
      <c r="V70" t="s">
        <v>1755</v>
      </c>
      <c r="W70">
        <v>4500</v>
      </c>
      <c r="X70" t="s">
        <v>1755</v>
      </c>
      <c r="Y70" t="s">
        <v>1755</v>
      </c>
      <c r="Z70" t="s">
        <v>1755</v>
      </c>
      <c r="AA70" t="s">
        <v>1755</v>
      </c>
      <c r="AC70" t="s">
        <v>1755</v>
      </c>
      <c r="AE70">
        <v>0</v>
      </c>
      <c r="AF70" t="s">
        <v>1755</v>
      </c>
      <c r="AI70" t="s">
        <v>1755</v>
      </c>
      <c r="AJ70" t="s">
        <v>1755</v>
      </c>
      <c r="AK70" t="s">
        <v>1755</v>
      </c>
      <c r="AL70" t="s">
        <v>1755</v>
      </c>
      <c r="AM70" t="s">
        <v>1755</v>
      </c>
      <c r="AO70">
        <v>0</v>
      </c>
    </row>
    <row r="71" spans="1:46" x14ac:dyDescent="0.25">
      <c r="A71" t="s">
        <v>6329</v>
      </c>
      <c r="B71" s="19">
        <v>46048</v>
      </c>
      <c r="C71" t="s">
        <v>266</v>
      </c>
      <c r="D71" t="s">
        <v>6330</v>
      </c>
      <c r="E71" t="s">
        <v>117</v>
      </c>
      <c r="F71" t="s">
        <v>4110</v>
      </c>
      <c r="G71" t="s">
        <v>1755</v>
      </c>
      <c r="I71" t="str">
        <f>CONCATENATE(Inbound___Outbound_Shifting[[#This Row],[Batch '#]],"-",Inbound___Outbound_Shifting[[#This Row],[Exp '# or Key]])</f>
        <v>--</v>
      </c>
      <c r="J71" t="s">
        <v>1755</v>
      </c>
      <c r="K71">
        <v>1</v>
      </c>
      <c r="L71" t="s">
        <v>117</v>
      </c>
      <c r="M71" t="s">
        <v>6364</v>
      </c>
      <c r="N71" t="s">
        <v>1755</v>
      </c>
      <c r="O71" t="s">
        <v>278</v>
      </c>
      <c r="P71" t="s">
        <v>6453</v>
      </c>
      <c r="Q71" t="s">
        <v>279</v>
      </c>
      <c r="R71" t="s">
        <v>6307</v>
      </c>
      <c r="S71" t="s">
        <v>1755</v>
      </c>
      <c r="T71" t="s">
        <v>1755</v>
      </c>
      <c r="U71" t="s">
        <v>1755</v>
      </c>
      <c r="V71" t="s">
        <v>1755</v>
      </c>
      <c r="W71">
        <v>8500</v>
      </c>
      <c r="X71">
        <v>18000</v>
      </c>
      <c r="Y71">
        <v>46051</v>
      </c>
      <c r="Z71">
        <v>46048</v>
      </c>
      <c r="AA71" t="s">
        <v>1755</v>
      </c>
      <c r="AB71">
        <v>3</v>
      </c>
      <c r="AC71">
        <v>140000</v>
      </c>
      <c r="AD71">
        <v>135000</v>
      </c>
      <c r="AE71">
        <v>-5000</v>
      </c>
      <c r="AF71" t="s">
        <v>1755</v>
      </c>
      <c r="AG71">
        <v>7.7777777777777777</v>
      </c>
      <c r="AI71" t="s">
        <v>6308</v>
      </c>
      <c r="AJ71" t="s">
        <v>47</v>
      </c>
      <c r="AK71" t="s">
        <v>107</v>
      </c>
      <c r="AL71" t="s">
        <v>107</v>
      </c>
      <c r="AM71" t="s">
        <v>107</v>
      </c>
      <c r="AO71">
        <v>5000</v>
      </c>
      <c r="AP71">
        <v>-3.7037037037037035E-2</v>
      </c>
      <c r="AQ71">
        <v>7.7777777777777777</v>
      </c>
      <c r="AR71" t="s">
        <v>47</v>
      </c>
      <c r="AT71" t="s">
        <v>47</v>
      </c>
    </row>
    <row r="72" spans="1:46" x14ac:dyDescent="0.25">
      <c r="A72" t="s">
        <v>1755</v>
      </c>
      <c r="B72" s="19">
        <v>46048</v>
      </c>
      <c r="C72" t="s">
        <v>526</v>
      </c>
      <c r="D72" t="s">
        <v>6330</v>
      </c>
      <c r="E72" t="s">
        <v>1755</v>
      </c>
      <c r="F72" t="s">
        <v>6454</v>
      </c>
      <c r="G72" t="s">
        <v>1755</v>
      </c>
      <c r="I72" t="str">
        <f>CONCATENATE(Inbound___Outbound_Shifting[[#This Row],[Batch '#]],"-",Inbound___Outbound_Shifting[[#This Row],[Exp '# or Key]])</f>
        <v>--</v>
      </c>
      <c r="J72" t="s">
        <v>1755</v>
      </c>
      <c r="K72">
        <v>2</v>
      </c>
      <c r="L72" t="s">
        <v>1755</v>
      </c>
      <c r="M72" t="s">
        <v>1755</v>
      </c>
      <c r="N72" t="s">
        <v>1755</v>
      </c>
      <c r="O72" t="s">
        <v>1755</v>
      </c>
      <c r="P72" t="s">
        <v>1755</v>
      </c>
      <c r="Q72" t="s">
        <v>1755</v>
      </c>
      <c r="R72" t="s">
        <v>1755</v>
      </c>
      <c r="S72" t="s">
        <v>1755</v>
      </c>
      <c r="T72" t="s">
        <v>1755</v>
      </c>
      <c r="U72" t="s">
        <v>1755</v>
      </c>
      <c r="V72" t="s">
        <v>1755</v>
      </c>
      <c r="W72">
        <v>9500</v>
      </c>
      <c r="X72" t="s">
        <v>1755</v>
      </c>
      <c r="Y72" t="s">
        <v>1755</v>
      </c>
      <c r="Z72" t="s">
        <v>1755</v>
      </c>
      <c r="AA72" t="s">
        <v>1755</v>
      </c>
      <c r="AC72" t="s">
        <v>1755</v>
      </c>
      <c r="AE72">
        <v>0</v>
      </c>
      <c r="AF72" t="s">
        <v>1755</v>
      </c>
      <c r="AI72" t="s">
        <v>1755</v>
      </c>
      <c r="AJ72" t="s">
        <v>1755</v>
      </c>
      <c r="AK72" t="s">
        <v>1755</v>
      </c>
      <c r="AL72" t="s">
        <v>1755</v>
      </c>
      <c r="AM72" t="s">
        <v>1755</v>
      </c>
      <c r="AO72">
        <v>0</v>
      </c>
    </row>
    <row r="73" spans="1:46" x14ac:dyDescent="0.25">
      <c r="A73" t="s">
        <v>1755</v>
      </c>
      <c r="B73" s="19">
        <v>46048</v>
      </c>
      <c r="C73" t="s">
        <v>1755</v>
      </c>
      <c r="D73" t="s">
        <v>6366</v>
      </c>
      <c r="E73" t="s">
        <v>1755</v>
      </c>
      <c r="F73" t="s">
        <v>1268</v>
      </c>
      <c r="G73" t="s">
        <v>1755</v>
      </c>
      <c r="I73" t="str">
        <f>CONCATENATE(Inbound___Outbound_Shifting[[#This Row],[Batch '#]],"-",Inbound___Outbound_Shifting[[#This Row],[Exp '# or Key]])</f>
        <v>--</v>
      </c>
      <c r="J73" t="s">
        <v>1755</v>
      </c>
      <c r="K73">
        <v>6</v>
      </c>
      <c r="L73" t="s">
        <v>1755</v>
      </c>
      <c r="M73" t="s">
        <v>1755</v>
      </c>
      <c r="N73" t="s">
        <v>1755</v>
      </c>
      <c r="O73" t="s">
        <v>1755</v>
      </c>
      <c r="P73" t="s">
        <v>1755</v>
      </c>
      <c r="Q73" t="s">
        <v>1755</v>
      </c>
      <c r="R73" t="s">
        <v>1755</v>
      </c>
      <c r="S73" t="s">
        <v>1755</v>
      </c>
      <c r="T73" t="s">
        <v>1755</v>
      </c>
      <c r="U73" t="s">
        <v>1755</v>
      </c>
      <c r="V73" t="s">
        <v>1755</v>
      </c>
      <c r="W73" t="s">
        <v>1755</v>
      </c>
      <c r="X73" t="s">
        <v>1755</v>
      </c>
      <c r="Y73" t="s">
        <v>1755</v>
      </c>
      <c r="Z73" t="s">
        <v>1755</v>
      </c>
      <c r="AA73" t="s">
        <v>1755</v>
      </c>
      <c r="AC73" t="s">
        <v>1755</v>
      </c>
      <c r="AE73">
        <v>0</v>
      </c>
      <c r="AF73" t="s">
        <v>1755</v>
      </c>
      <c r="AI73" t="s">
        <v>1755</v>
      </c>
      <c r="AJ73" t="s">
        <v>1755</v>
      </c>
      <c r="AK73" t="s">
        <v>1755</v>
      </c>
      <c r="AL73" t="s">
        <v>1755</v>
      </c>
      <c r="AM73" t="s">
        <v>1755</v>
      </c>
      <c r="AO73">
        <v>0</v>
      </c>
    </row>
    <row r="74" spans="1:46" x14ac:dyDescent="0.25">
      <c r="A74" t="s">
        <v>1755</v>
      </c>
      <c r="B74" s="19">
        <v>46048</v>
      </c>
      <c r="C74" t="s">
        <v>1755</v>
      </c>
      <c r="D74" t="s">
        <v>6366</v>
      </c>
      <c r="E74" t="s">
        <v>117</v>
      </c>
      <c r="F74" t="s">
        <v>1268</v>
      </c>
      <c r="G74" t="s">
        <v>1755</v>
      </c>
      <c r="I74" t="str">
        <f>CONCATENATE(Inbound___Outbound_Shifting[[#This Row],[Batch '#]],"-",Inbound___Outbound_Shifting[[#This Row],[Exp '# or Key]])</f>
        <v>--</v>
      </c>
      <c r="J74" t="s">
        <v>1755</v>
      </c>
      <c r="K74">
        <v>1</v>
      </c>
      <c r="L74" t="s">
        <v>117</v>
      </c>
      <c r="M74" t="s">
        <v>1755</v>
      </c>
      <c r="N74" t="s">
        <v>1755</v>
      </c>
      <c r="O74" t="s">
        <v>1755</v>
      </c>
      <c r="P74" t="s">
        <v>1755</v>
      </c>
      <c r="Q74" t="s">
        <v>1755</v>
      </c>
      <c r="R74" t="s">
        <v>1755</v>
      </c>
      <c r="S74" t="s">
        <v>1755</v>
      </c>
      <c r="T74" t="s">
        <v>1755</v>
      </c>
      <c r="U74" t="s">
        <v>1755</v>
      </c>
      <c r="V74" t="s">
        <v>1755</v>
      </c>
      <c r="W74">
        <v>500</v>
      </c>
      <c r="X74" t="s">
        <v>1755</v>
      </c>
      <c r="Y74">
        <v>46051</v>
      </c>
      <c r="Z74">
        <v>46048</v>
      </c>
      <c r="AA74" t="s">
        <v>1755</v>
      </c>
      <c r="AB74">
        <v>3</v>
      </c>
      <c r="AC74" t="s">
        <v>1755</v>
      </c>
      <c r="AE74">
        <v>0</v>
      </c>
      <c r="AF74" t="s">
        <v>1755</v>
      </c>
      <c r="AI74" t="s">
        <v>1755</v>
      </c>
      <c r="AJ74" t="s">
        <v>1755</v>
      </c>
      <c r="AK74" t="s">
        <v>1755</v>
      </c>
      <c r="AL74" t="s">
        <v>1755</v>
      </c>
      <c r="AM74" t="s">
        <v>1755</v>
      </c>
      <c r="AO74">
        <v>0</v>
      </c>
    </row>
    <row r="75" spans="1:46" x14ac:dyDescent="0.25">
      <c r="A75" t="s">
        <v>6329</v>
      </c>
      <c r="B75" s="19">
        <v>46049</v>
      </c>
      <c r="C75" t="s">
        <v>1278</v>
      </c>
      <c r="D75" t="s">
        <v>1600</v>
      </c>
      <c r="E75" t="s">
        <v>117</v>
      </c>
      <c r="F75" t="s">
        <v>1279</v>
      </c>
      <c r="G75" t="s">
        <v>1755</v>
      </c>
      <c r="I75" t="str">
        <f>CONCATENATE(Inbound___Outbound_Shifting[[#This Row],[Batch '#]],"-",Inbound___Outbound_Shifting[[#This Row],[Exp '# or Key]])</f>
        <v>--</v>
      </c>
      <c r="J75" t="s">
        <v>1755</v>
      </c>
      <c r="K75">
        <v>4</v>
      </c>
      <c r="L75" t="s">
        <v>117</v>
      </c>
      <c r="M75" t="s">
        <v>6455</v>
      </c>
      <c r="N75" t="s">
        <v>1755</v>
      </c>
      <c r="O75" t="s">
        <v>104</v>
      </c>
      <c r="P75" t="s">
        <v>1755</v>
      </c>
      <c r="Q75" t="s">
        <v>1755</v>
      </c>
      <c r="R75" t="s">
        <v>6333</v>
      </c>
      <c r="S75" t="s">
        <v>1755</v>
      </c>
      <c r="T75" t="s">
        <v>1755</v>
      </c>
      <c r="U75" t="s">
        <v>1755</v>
      </c>
      <c r="V75" t="s">
        <v>1755</v>
      </c>
      <c r="W75">
        <v>1250</v>
      </c>
      <c r="X75">
        <v>1250</v>
      </c>
      <c r="Y75">
        <v>46049</v>
      </c>
      <c r="Z75">
        <v>46049</v>
      </c>
      <c r="AA75" t="s">
        <v>1755</v>
      </c>
      <c r="AB75">
        <v>0</v>
      </c>
      <c r="AC75">
        <v>35000</v>
      </c>
      <c r="AD75">
        <v>9375</v>
      </c>
      <c r="AE75">
        <v>-25625</v>
      </c>
      <c r="AF75" t="s">
        <v>1755</v>
      </c>
      <c r="AG75">
        <v>28</v>
      </c>
      <c r="AI75" t="s">
        <v>6308</v>
      </c>
      <c r="AJ75" t="s">
        <v>47</v>
      </c>
      <c r="AK75" t="s">
        <v>107</v>
      </c>
      <c r="AL75" t="s">
        <v>107</v>
      </c>
      <c r="AM75" t="s">
        <v>107</v>
      </c>
      <c r="AO75">
        <v>25625</v>
      </c>
      <c r="AP75">
        <v>-2.7333333333333334</v>
      </c>
      <c r="AQ75">
        <v>28</v>
      </c>
      <c r="AR75" t="s">
        <v>47</v>
      </c>
      <c r="AT75" t="s">
        <v>47</v>
      </c>
    </row>
    <row r="76" spans="1:46" x14ac:dyDescent="0.25">
      <c r="A76" t="s">
        <v>6329</v>
      </c>
      <c r="B76" s="19">
        <v>46051</v>
      </c>
      <c r="C76" t="s">
        <v>354</v>
      </c>
      <c r="D76" t="s">
        <v>6330</v>
      </c>
      <c r="E76" t="s">
        <v>117</v>
      </c>
      <c r="F76" t="s">
        <v>2719</v>
      </c>
      <c r="G76" t="s">
        <v>1755</v>
      </c>
      <c r="I76" t="str">
        <f>CONCATENATE(Inbound___Outbound_Shifting[[#This Row],[Batch '#]],"-",Inbound___Outbound_Shifting[[#This Row],[Exp '# or Key]])</f>
        <v>--</v>
      </c>
      <c r="J76" t="s">
        <v>1755</v>
      </c>
      <c r="K76">
        <v>9</v>
      </c>
      <c r="L76" t="s">
        <v>117</v>
      </c>
      <c r="M76" t="s">
        <v>6364</v>
      </c>
      <c r="N76" t="s">
        <v>1755</v>
      </c>
      <c r="O76" t="s">
        <v>134</v>
      </c>
      <c r="P76" t="s">
        <v>6456</v>
      </c>
      <c r="Q76" t="s">
        <v>6457</v>
      </c>
      <c r="R76" t="s">
        <v>6307</v>
      </c>
      <c r="S76" t="s">
        <v>1755</v>
      </c>
      <c r="T76" t="s">
        <v>1755</v>
      </c>
      <c r="U76" t="s">
        <v>1755</v>
      </c>
      <c r="V76" t="s">
        <v>1755</v>
      </c>
      <c r="W76">
        <v>12540</v>
      </c>
      <c r="X76">
        <v>32000</v>
      </c>
      <c r="Y76">
        <v>46052</v>
      </c>
      <c r="Z76">
        <v>46051</v>
      </c>
      <c r="AA76" t="s">
        <v>1755</v>
      </c>
      <c r="AB76">
        <v>1</v>
      </c>
      <c r="AC76">
        <v>145000</v>
      </c>
      <c r="AD76">
        <v>240000</v>
      </c>
      <c r="AE76">
        <v>95000</v>
      </c>
      <c r="AF76" t="s">
        <v>1755</v>
      </c>
      <c r="AG76">
        <v>4.53125</v>
      </c>
      <c r="AI76" t="s">
        <v>6308</v>
      </c>
      <c r="AJ76" t="s">
        <v>47</v>
      </c>
      <c r="AK76" t="s">
        <v>107</v>
      </c>
      <c r="AL76" t="s">
        <v>107</v>
      </c>
      <c r="AM76" t="s">
        <v>107</v>
      </c>
      <c r="AO76">
        <v>-95000</v>
      </c>
      <c r="AP76">
        <v>0.39583333333333331</v>
      </c>
      <c r="AQ76">
        <v>4.53125</v>
      </c>
      <c r="AR76" t="s">
        <v>47</v>
      </c>
      <c r="AT76" t="s">
        <v>47</v>
      </c>
    </row>
    <row r="77" spans="1:46" x14ac:dyDescent="0.25">
      <c r="A77" t="s">
        <v>1755</v>
      </c>
      <c r="B77" s="19">
        <v>46051</v>
      </c>
      <c r="C77" t="s">
        <v>659</v>
      </c>
      <c r="D77" t="s">
        <v>6330</v>
      </c>
      <c r="E77" t="s">
        <v>117</v>
      </c>
      <c r="F77" t="s">
        <v>2719</v>
      </c>
      <c r="G77" t="s">
        <v>1755</v>
      </c>
      <c r="I77" t="str">
        <f>CONCATENATE(Inbound___Outbound_Shifting[[#This Row],[Batch '#]],"-",Inbound___Outbound_Shifting[[#This Row],[Exp '# or Key]])</f>
        <v>--</v>
      </c>
      <c r="J77" t="s">
        <v>1755</v>
      </c>
      <c r="K77">
        <v>1</v>
      </c>
      <c r="L77" t="s">
        <v>117</v>
      </c>
      <c r="M77" t="s">
        <v>1755</v>
      </c>
      <c r="N77" t="s">
        <v>1755</v>
      </c>
      <c r="O77" t="s">
        <v>1755</v>
      </c>
      <c r="P77" t="s">
        <v>1755</v>
      </c>
      <c r="Q77" t="s">
        <v>1755</v>
      </c>
      <c r="R77" t="s">
        <v>1755</v>
      </c>
      <c r="S77" t="s">
        <v>1755</v>
      </c>
      <c r="T77" t="s">
        <v>1755</v>
      </c>
      <c r="U77" t="s">
        <v>1755</v>
      </c>
      <c r="V77" t="s">
        <v>1755</v>
      </c>
      <c r="W77">
        <v>600</v>
      </c>
      <c r="X77" t="s">
        <v>1755</v>
      </c>
      <c r="Y77">
        <v>46052</v>
      </c>
      <c r="Z77">
        <v>46051</v>
      </c>
      <c r="AA77" t="s">
        <v>1755</v>
      </c>
      <c r="AB77">
        <v>1</v>
      </c>
      <c r="AC77" t="s">
        <v>1755</v>
      </c>
      <c r="AE77">
        <v>0</v>
      </c>
      <c r="AF77" t="s">
        <v>1755</v>
      </c>
      <c r="AI77" t="s">
        <v>1755</v>
      </c>
      <c r="AJ77" t="s">
        <v>1755</v>
      </c>
      <c r="AK77" t="s">
        <v>1755</v>
      </c>
      <c r="AL77" t="s">
        <v>1755</v>
      </c>
      <c r="AM77" t="s">
        <v>1755</v>
      </c>
      <c r="AO77">
        <v>0</v>
      </c>
    </row>
    <row r="78" spans="1:46" x14ac:dyDescent="0.25">
      <c r="A78" t="s">
        <v>1755</v>
      </c>
      <c r="B78" s="19">
        <v>46051</v>
      </c>
      <c r="C78" t="s">
        <v>481</v>
      </c>
      <c r="D78" t="s">
        <v>6330</v>
      </c>
      <c r="E78" t="s">
        <v>117</v>
      </c>
      <c r="F78" t="s">
        <v>281</v>
      </c>
      <c r="G78" t="s">
        <v>1755</v>
      </c>
      <c r="I78" t="str">
        <f>CONCATENATE(Inbound___Outbound_Shifting[[#This Row],[Batch '#]],"-",Inbound___Outbound_Shifting[[#This Row],[Exp '# or Key]])</f>
        <v>--</v>
      </c>
      <c r="J78" t="s">
        <v>1755</v>
      </c>
      <c r="K78">
        <v>5</v>
      </c>
      <c r="L78" t="s">
        <v>117</v>
      </c>
      <c r="M78" t="s">
        <v>1755</v>
      </c>
      <c r="N78" t="s">
        <v>1755</v>
      </c>
      <c r="O78" t="s">
        <v>1755</v>
      </c>
      <c r="P78" t="s">
        <v>1755</v>
      </c>
      <c r="Q78" t="s">
        <v>1755</v>
      </c>
      <c r="R78" t="s">
        <v>1755</v>
      </c>
      <c r="S78" t="s">
        <v>1755</v>
      </c>
      <c r="T78" t="s">
        <v>1755</v>
      </c>
      <c r="U78" t="s">
        <v>1755</v>
      </c>
      <c r="V78" t="s">
        <v>1755</v>
      </c>
      <c r="W78">
        <v>15500</v>
      </c>
      <c r="X78" t="s">
        <v>1755</v>
      </c>
      <c r="Y78">
        <v>46052</v>
      </c>
      <c r="Z78">
        <v>46051</v>
      </c>
      <c r="AA78" t="s">
        <v>1755</v>
      </c>
      <c r="AB78">
        <v>1</v>
      </c>
      <c r="AC78" t="s">
        <v>1755</v>
      </c>
      <c r="AE78">
        <v>0</v>
      </c>
      <c r="AF78" t="s">
        <v>1755</v>
      </c>
      <c r="AI78" t="s">
        <v>1755</v>
      </c>
      <c r="AJ78" t="s">
        <v>1755</v>
      </c>
      <c r="AK78" t="s">
        <v>1755</v>
      </c>
      <c r="AL78" t="s">
        <v>1755</v>
      </c>
      <c r="AM78" t="s">
        <v>1755</v>
      </c>
      <c r="AO78">
        <v>0</v>
      </c>
    </row>
    <row r="79" spans="1:46" x14ac:dyDescent="0.25">
      <c r="A79" t="s">
        <v>1755</v>
      </c>
      <c r="B79" s="19">
        <v>46051</v>
      </c>
      <c r="C79" t="s">
        <v>584</v>
      </c>
      <c r="D79" t="s">
        <v>6330</v>
      </c>
      <c r="E79" t="s">
        <v>117</v>
      </c>
      <c r="F79" t="s">
        <v>281</v>
      </c>
      <c r="G79" t="s">
        <v>1755</v>
      </c>
      <c r="I79" t="str">
        <f>CONCATENATE(Inbound___Outbound_Shifting[[#This Row],[Batch '#]],"-",Inbound___Outbound_Shifting[[#This Row],[Exp '# or Key]])</f>
        <v>--</v>
      </c>
      <c r="J79" t="s">
        <v>1755</v>
      </c>
      <c r="K79">
        <v>1</v>
      </c>
      <c r="L79" t="s">
        <v>117</v>
      </c>
      <c r="M79" t="s">
        <v>1755</v>
      </c>
      <c r="N79" t="s">
        <v>1755</v>
      </c>
      <c r="O79" t="s">
        <v>1755</v>
      </c>
      <c r="P79" t="s">
        <v>1755</v>
      </c>
      <c r="Q79" t="s">
        <v>1755</v>
      </c>
      <c r="R79" t="s">
        <v>1755</v>
      </c>
      <c r="S79" t="s">
        <v>1755</v>
      </c>
      <c r="T79" t="s">
        <v>1755</v>
      </c>
      <c r="U79" t="s">
        <v>1755</v>
      </c>
      <c r="V79" t="s">
        <v>1755</v>
      </c>
      <c r="W79">
        <v>1500</v>
      </c>
      <c r="X79" t="s">
        <v>1755</v>
      </c>
      <c r="Y79">
        <v>46052</v>
      </c>
      <c r="Z79">
        <v>46051</v>
      </c>
      <c r="AA79" t="s">
        <v>1755</v>
      </c>
      <c r="AB79">
        <v>1</v>
      </c>
      <c r="AC79" t="s">
        <v>1755</v>
      </c>
      <c r="AE79">
        <v>0</v>
      </c>
      <c r="AF79" t="s">
        <v>1755</v>
      </c>
      <c r="AI79" t="s">
        <v>1755</v>
      </c>
      <c r="AJ79" t="s">
        <v>1755</v>
      </c>
      <c r="AK79" t="s">
        <v>1755</v>
      </c>
      <c r="AL79" t="s">
        <v>1755</v>
      </c>
      <c r="AM79" t="s">
        <v>1755</v>
      </c>
      <c r="AO79">
        <v>0</v>
      </c>
    </row>
    <row r="80" spans="1:46" x14ac:dyDescent="0.25">
      <c r="A80" t="s">
        <v>1755</v>
      </c>
      <c r="B80" s="19">
        <v>46051</v>
      </c>
      <c r="C80" t="s">
        <v>652</v>
      </c>
      <c r="D80" t="s">
        <v>6330</v>
      </c>
      <c r="E80" t="s">
        <v>117</v>
      </c>
      <c r="F80" t="s">
        <v>35</v>
      </c>
      <c r="G80" t="s">
        <v>1755</v>
      </c>
      <c r="I80" t="str">
        <f>CONCATENATE(Inbound___Outbound_Shifting[[#This Row],[Batch '#]],"-",Inbound___Outbound_Shifting[[#This Row],[Exp '# or Key]])</f>
        <v>--</v>
      </c>
      <c r="J80" t="s">
        <v>1755</v>
      </c>
      <c r="K80">
        <v>1</v>
      </c>
      <c r="L80" t="s">
        <v>117</v>
      </c>
      <c r="M80" t="s">
        <v>1755</v>
      </c>
      <c r="N80" t="s">
        <v>1755</v>
      </c>
      <c r="O80" t="s">
        <v>1755</v>
      </c>
      <c r="P80" t="s">
        <v>1755</v>
      </c>
      <c r="Q80" t="s">
        <v>1755</v>
      </c>
      <c r="R80" t="s">
        <v>1755</v>
      </c>
      <c r="S80" t="s">
        <v>1755</v>
      </c>
      <c r="T80" t="s">
        <v>1755</v>
      </c>
      <c r="U80" t="s">
        <v>1755</v>
      </c>
      <c r="V80" t="s">
        <v>1755</v>
      </c>
      <c r="W80">
        <v>360</v>
      </c>
      <c r="X80" t="s">
        <v>1755</v>
      </c>
      <c r="Y80">
        <v>46052</v>
      </c>
      <c r="Z80">
        <v>46051</v>
      </c>
      <c r="AA80" t="s">
        <v>1755</v>
      </c>
      <c r="AB80">
        <v>1</v>
      </c>
      <c r="AC80" t="s">
        <v>1755</v>
      </c>
      <c r="AE80">
        <v>0</v>
      </c>
      <c r="AF80" t="s">
        <v>1755</v>
      </c>
      <c r="AI80" t="s">
        <v>1755</v>
      </c>
      <c r="AJ80" t="s">
        <v>1755</v>
      </c>
      <c r="AK80" t="s">
        <v>1755</v>
      </c>
      <c r="AL80" t="s">
        <v>1755</v>
      </c>
      <c r="AM80" t="s">
        <v>1755</v>
      </c>
      <c r="AO80">
        <v>0</v>
      </c>
    </row>
    <row r="81" spans="1:46" x14ac:dyDescent="0.25">
      <c r="A81" t="s">
        <v>1755</v>
      </c>
      <c r="B81" s="19">
        <v>46051</v>
      </c>
      <c r="C81" t="s">
        <v>504</v>
      </c>
      <c r="D81" t="s">
        <v>6330</v>
      </c>
      <c r="E81" t="s">
        <v>117</v>
      </c>
      <c r="F81" t="s">
        <v>35</v>
      </c>
      <c r="G81" t="s">
        <v>1755</v>
      </c>
      <c r="I81" t="str">
        <f>CONCATENATE(Inbound___Outbound_Shifting[[#This Row],[Batch '#]],"-",Inbound___Outbound_Shifting[[#This Row],[Exp '# or Key]])</f>
        <v>--</v>
      </c>
      <c r="J81" t="s">
        <v>1755</v>
      </c>
      <c r="K81">
        <v>1</v>
      </c>
      <c r="L81" t="s">
        <v>117</v>
      </c>
      <c r="M81" t="s">
        <v>1755</v>
      </c>
      <c r="N81" t="s">
        <v>1755</v>
      </c>
      <c r="O81" t="s">
        <v>1755</v>
      </c>
      <c r="P81" t="s">
        <v>1755</v>
      </c>
      <c r="Q81" t="s">
        <v>1755</v>
      </c>
      <c r="R81" t="s">
        <v>1755</v>
      </c>
      <c r="S81" t="s">
        <v>1755</v>
      </c>
      <c r="T81" t="s">
        <v>1755</v>
      </c>
      <c r="U81" t="s">
        <v>1755</v>
      </c>
      <c r="V81" t="s">
        <v>1755</v>
      </c>
      <c r="W81">
        <v>1500</v>
      </c>
      <c r="X81" t="s">
        <v>1755</v>
      </c>
      <c r="Y81">
        <v>46052</v>
      </c>
      <c r="Z81">
        <v>46051</v>
      </c>
      <c r="AA81" t="s">
        <v>1755</v>
      </c>
      <c r="AB81">
        <v>1</v>
      </c>
      <c r="AC81" t="s">
        <v>1755</v>
      </c>
      <c r="AE81">
        <v>0</v>
      </c>
      <c r="AF81" t="s">
        <v>1755</v>
      </c>
      <c r="AI81" t="s">
        <v>1755</v>
      </c>
      <c r="AJ81" t="s">
        <v>1755</v>
      </c>
      <c r="AK81" t="s">
        <v>1755</v>
      </c>
      <c r="AL81" t="s">
        <v>1755</v>
      </c>
      <c r="AM81" t="s">
        <v>1755</v>
      </c>
      <c r="AO81">
        <v>0</v>
      </c>
    </row>
    <row r="82" spans="1:46" x14ac:dyDescent="0.25">
      <c r="A82" t="s">
        <v>6329</v>
      </c>
      <c r="B82" s="19">
        <v>46053</v>
      </c>
      <c r="C82" t="s">
        <v>790</v>
      </c>
      <c r="D82" t="s">
        <v>6330</v>
      </c>
      <c r="E82" t="s">
        <v>117</v>
      </c>
      <c r="F82" t="s">
        <v>6458</v>
      </c>
      <c r="G82" t="s">
        <v>1755</v>
      </c>
      <c r="I82" t="str">
        <f>CONCATENATE(Inbound___Outbound_Shifting[[#This Row],[Batch '#]],"-",Inbound___Outbound_Shifting[[#This Row],[Exp '# or Key]])</f>
        <v>--</v>
      </c>
      <c r="J82" t="s">
        <v>1755</v>
      </c>
      <c r="K82">
        <v>2</v>
      </c>
      <c r="L82" t="s">
        <v>117</v>
      </c>
      <c r="M82" t="s">
        <v>6364</v>
      </c>
      <c r="N82" t="s">
        <v>1755</v>
      </c>
      <c r="O82" t="s">
        <v>134</v>
      </c>
      <c r="P82" t="s">
        <v>6459</v>
      </c>
      <c r="Q82" t="s">
        <v>794</v>
      </c>
      <c r="R82" t="s">
        <v>6307</v>
      </c>
      <c r="S82" t="s">
        <v>1755</v>
      </c>
      <c r="T82" t="s">
        <v>1755</v>
      </c>
      <c r="U82" t="s">
        <v>1755</v>
      </c>
      <c r="V82" t="s">
        <v>1755</v>
      </c>
      <c r="W82">
        <v>22000</v>
      </c>
      <c r="X82">
        <v>50000</v>
      </c>
      <c r="Y82">
        <v>46056</v>
      </c>
      <c r="Z82">
        <v>46053</v>
      </c>
      <c r="AA82" t="s">
        <v>1755</v>
      </c>
      <c r="AB82">
        <v>3</v>
      </c>
      <c r="AC82">
        <v>270000</v>
      </c>
      <c r="AD82">
        <v>375000</v>
      </c>
      <c r="AE82">
        <v>105000</v>
      </c>
      <c r="AF82" t="s">
        <v>1755</v>
      </c>
      <c r="AG82">
        <v>5.4</v>
      </c>
      <c r="AI82" t="s">
        <v>6308</v>
      </c>
      <c r="AJ82" t="s">
        <v>47</v>
      </c>
      <c r="AK82" t="s">
        <v>107</v>
      </c>
      <c r="AL82" t="s">
        <v>107</v>
      </c>
      <c r="AM82" t="s">
        <v>107</v>
      </c>
      <c r="AO82">
        <v>-105000</v>
      </c>
      <c r="AP82">
        <v>0.28000000000000003</v>
      </c>
      <c r="AQ82">
        <v>5.4</v>
      </c>
      <c r="AR82" t="s">
        <v>47</v>
      </c>
      <c r="AT82" t="s">
        <v>47</v>
      </c>
    </row>
    <row r="83" spans="1:46" x14ac:dyDescent="0.25">
      <c r="A83" t="s">
        <v>1755</v>
      </c>
      <c r="B83" s="19">
        <v>46053</v>
      </c>
      <c r="C83" t="s">
        <v>627</v>
      </c>
      <c r="D83" t="s">
        <v>6330</v>
      </c>
      <c r="E83" t="s">
        <v>117</v>
      </c>
      <c r="F83" t="s">
        <v>625</v>
      </c>
      <c r="G83" t="s">
        <v>1755</v>
      </c>
      <c r="I83" t="str">
        <f>CONCATENATE(Inbound___Outbound_Shifting[[#This Row],[Batch '#]],"-",Inbound___Outbound_Shifting[[#This Row],[Exp '# or Key]])</f>
        <v>--</v>
      </c>
      <c r="J83" t="s">
        <v>1755</v>
      </c>
      <c r="K83">
        <v>1</v>
      </c>
      <c r="L83" t="s">
        <v>117</v>
      </c>
      <c r="M83" t="s">
        <v>1755</v>
      </c>
      <c r="N83" t="s">
        <v>1755</v>
      </c>
      <c r="O83" t="s">
        <v>1755</v>
      </c>
      <c r="P83" t="s">
        <v>1755</v>
      </c>
      <c r="Q83" t="s">
        <v>1755</v>
      </c>
      <c r="R83" t="s">
        <v>1755</v>
      </c>
      <c r="S83" t="s">
        <v>1755</v>
      </c>
      <c r="T83" t="s">
        <v>1755</v>
      </c>
      <c r="U83" t="s">
        <v>1755</v>
      </c>
      <c r="V83" t="s">
        <v>1755</v>
      </c>
      <c r="W83">
        <v>5300</v>
      </c>
      <c r="X83" t="s">
        <v>1755</v>
      </c>
      <c r="Y83">
        <v>46056</v>
      </c>
      <c r="Z83">
        <v>46053</v>
      </c>
      <c r="AA83" t="s">
        <v>1755</v>
      </c>
      <c r="AB83">
        <v>3</v>
      </c>
      <c r="AC83" t="s">
        <v>1755</v>
      </c>
      <c r="AE83">
        <v>0</v>
      </c>
      <c r="AF83" t="s">
        <v>1755</v>
      </c>
      <c r="AI83" t="s">
        <v>1755</v>
      </c>
      <c r="AJ83" t="s">
        <v>1755</v>
      </c>
      <c r="AK83" t="s">
        <v>1755</v>
      </c>
      <c r="AL83" t="s">
        <v>1755</v>
      </c>
      <c r="AM83" t="s">
        <v>1755</v>
      </c>
      <c r="AO83">
        <v>0</v>
      </c>
    </row>
    <row r="84" spans="1:46" x14ac:dyDescent="0.25">
      <c r="A84" t="s">
        <v>1755</v>
      </c>
      <c r="B84" s="19">
        <v>46053</v>
      </c>
      <c r="C84" t="s">
        <v>674</v>
      </c>
      <c r="D84" t="s">
        <v>6330</v>
      </c>
      <c r="E84" t="s">
        <v>117</v>
      </c>
      <c r="F84" t="s">
        <v>6460</v>
      </c>
      <c r="G84" t="s">
        <v>1755</v>
      </c>
      <c r="I84" t="str">
        <f>CONCATENATE(Inbound___Outbound_Shifting[[#This Row],[Batch '#]],"-",Inbound___Outbound_Shifting[[#This Row],[Exp '# or Key]])</f>
        <v>--</v>
      </c>
      <c r="J84" t="s">
        <v>1755</v>
      </c>
      <c r="K84">
        <v>1</v>
      </c>
      <c r="L84" t="s">
        <v>117</v>
      </c>
      <c r="M84" t="s">
        <v>1755</v>
      </c>
      <c r="N84" t="s">
        <v>1755</v>
      </c>
      <c r="O84" t="s">
        <v>1755</v>
      </c>
      <c r="P84" t="s">
        <v>1755</v>
      </c>
      <c r="Q84" t="s">
        <v>1755</v>
      </c>
      <c r="R84" t="s">
        <v>1755</v>
      </c>
      <c r="S84" t="s">
        <v>1755</v>
      </c>
      <c r="T84" t="s">
        <v>1755</v>
      </c>
      <c r="U84" t="s">
        <v>1755</v>
      </c>
      <c r="V84" t="s">
        <v>1755</v>
      </c>
      <c r="W84">
        <v>1000</v>
      </c>
      <c r="X84" t="s">
        <v>1755</v>
      </c>
      <c r="Y84">
        <v>46056</v>
      </c>
      <c r="Z84">
        <v>46053</v>
      </c>
      <c r="AA84" t="s">
        <v>1755</v>
      </c>
      <c r="AB84">
        <v>3</v>
      </c>
      <c r="AC84" t="s">
        <v>1755</v>
      </c>
      <c r="AE84">
        <v>0</v>
      </c>
      <c r="AF84" t="s">
        <v>1755</v>
      </c>
      <c r="AI84" t="s">
        <v>1755</v>
      </c>
      <c r="AJ84" t="s">
        <v>1755</v>
      </c>
      <c r="AK84" t="s">
        <v>1755</v>
      </c>
      <c r="AL84" t="s">
        <v>1755</v>
      </c>
      <c r="AM84" t="s">
        <v>1755</v>
      </c>
      <c r="AO84">
        <v>0</v>
      </c>
    </row>
    <row r="85" spans="1:46" x14ac:dyDescent="0.25">
      <c r="A85" t="s">
        <v>1755</v>
      </c>
      <c r="B85" s="19">
        <v>46053</v>
      </c>
      <c r="C85" t="s">
        <v>703</v>
      </c>
      <c r="D85" t="s">
        <v>6330</v>
      </c>
      <c r="E85" t="s">
        <v>117</v>
      </c>
      <c r="F85" t="s">
        <v>48</v>
      </c>
      <c r="G85" t="s">
        <v>1755</v>
      </c>
      <c r="I85" t="str">
        <f>CONCATENATE(Inbound___Outbound_Shifting[[#This Row],[Batch '#]],"-",Inbound___Outbound_Shifting[[#This Row],[Exp '# or Key]])</f>
        <v>--</v>
      </c>
      <c r="J85" t="s">
        <v>1755</v>
      </c>
      <c r="K85">
        <v>4</v>
      </c>
      <c r="L85" t="s">
        <v>117</v>
      </c>
      <c r="M85" t="s">
        <v>1755</v>
      </c>
      <c r="N85" t="s">
        <v>1755</v>
      </c>
      <c r="O85" t="s">
        <v>1755</v>
      </c>
      <c r="P85" t="s">
        <v>1755</v>
      </c>
      <c r="Q85" t="s">
        <v>1755</v>
      </c>
      <c r="R85" t="s">
        <v>1755</v>
      </c>
      <c r="S85" t="s">
        <v>1755</v>
      </c>
      <c r="T85" t="s">
        <v>1755</v>
      </c>
      <c r="U85" t="s">
        <v>1755</v>
      </c>
      <c r="V85" t="s">
        <v>1755</v>
      </c>
      <c r="W85">
        <v>21200</v>
      </c>
      <c r="X85" t="s">
        <v>1755</v>
      </c>
      <c r="Y85">
        <v>46056</v>
      </c>
      <c r="Z85">
        <v>46053</v>
      </c>
      <c r="AA85" t="s">
        <v>1755</v>
      </c>
      <c r="AB85">
        <v>3</v>
      </c>
      <c r="AC85" t="s">
        <v>1755</v>
      </c>
      <c r="AE85">
        <v>0</v>
      </c>
      <c r="AF85" t="s">
        <v>1755</v>
      </c>
      <c r="AI85" t="s">
        <v>1755</v>
      </c>
      <c r="AJ85" t="s">
        <v>1755</v>
      </c>
      <c r="AK85" t="s">
        <v>1755</v>
      </c>
      <c r="AL85" t="s">
        <v>1755</v>
      </c>
      <c r="AM85" t="s">
        <v>1755</v>
      </c>
      <c r="AO85">
        <v>0</v>
      </c>
    </row>
    <row r="86" spans="1:46" x14ac:dyDescent="0.25">
      <c r="A86" t="s">
        <v>6329</v>
      </c>
      <c r="B86" s="19">
        <v>46054</v>
      </c>
      <c r="C86" t="s">
        <v>486</v>
      </c>
      <c r="D86" t="s">
        <v>6330</v>
      </c>
      <c r="E86" t="s">
        <v>117</v>
      </c>
      <c r="F86" t="s">
        <v>487</v>
      </c>
      <c r="G86" t="s">
        <v>1755</v>
      </c>
      <c r="I86" t="str">
        <f>CONCATENATE(Inbound___Outbound_Shifting[[#This Row],[Batch '#]],"-",Inbound___Outbound_Shifting[[#This Row],[Exp '# or Key]])</f>
        <v>--</v>
      </c>
      <c r="J86" t="s">
        <v>1755</v>
      </c>
      <c r="K86">
        <v>2</v>
      </c>
      <c r="L86" t="s">
        <v>117</v>
      </c>
      <c r="M86" t="s">
        <v>6364</v>
      </c>
      <c r="N86" t="s">
        <v>1755</v>
      </c>
      <c r="O86" t="s">
        <v>455</v>
      </c>
      <c r="P86" t="s">
        <v>6461</v>
      </c>
      <c r="Q86" t="s">
        <v>493</v>
      </c>
      <c r="R86" t="s">
        <v>6307</v>
      </c>
      <c r="S86" t="s">
        <v>1755</v>
      </c>
      <c r="T86" t="s">
        <v>1755</v>
      </c>
      <c r="U86" t="s">
        <v>1755</v>
      </c>
      <c r="V86" t="s">
        <v>1755</v>
      </c>
      <c r="W86">
        <v>32000</v>
      </c>
      <c r="X86">
        <v>32000</v>
      </c>
      <c r="Y86">
        <v>46057</v>
      </c>
      <c r="Z86">
        <v>46053</v>
      </c>
      <c r="AA86" t="s">
        <v>1755</v>
      </c>
      <c r="AB86">
        <v>3</v>
      </c>
      <c r="AC86">
        <v>160000</v>
      </c>
      <c r="AD86">
        <v>240000</v>
      </c>
      <c r="AE86">
        <v>80000</v>
      </c>
      <c r="AF86" t="s">
        <v>1755</v>
      </c>
      <c r="AG86">
        <v>5</v>
      </c>
      <c r="AI86" t="s">
        <v>6308</v>
      </c>
      <c r="AJ86" t="s">
        <v>47</v>
      </c>
      <c r="AK86" t="s">
        <v>107</v>
      </c>
      <c r="AL86" t="s">
        <v>107</v>
      </c>
      <c r="AM86" t="s">
        <v>107</v>
      </c>
      <c r="AO86">
        <v>-80000</v>
      </c>
      <c r="AP86">
        <v>0.33333333333333331</v>
      </c>
      <c r="AQ86">
        <v>5</v>
      </c>
      <c r="AR86" t="s">
        <v>47</v>
      </c>
      <c r="AT86" t="s">
        <v>47</v>
      </c>
    </row>
    <row r="87" spans="1:46" x14ac:dyDescent="0.25">
      <c r="A87" t="s">
        <v>6329</v>
      </c>
      <c r="B87" s="19">
        <v>46056</v>
      </c>
      <c r="C87" t="s">
        <v>1755</v>
      </c>
      <c r="D87" t="s">
        <v>6462</v>
      </c>
      <c r="E87" t="s">
        <v>117</v>
      </c>
      <c r="F87" t="s">
        <v>6463</v>
      </c>
      <c r="G87" t="s">
        <v>1755</v>
      </c>
      <c r="I87" t="str">
        <f>CONCATENATE(Inbound___Outbound_Shifting[[#This Row],[Batch '#]],"-",Inbound___Outbound_Shifting[[#This Row],[Exp '# or Key]])</f>
        <v>--</v>
      </c>
      <c r="J87" t="s">
        <v>1755</v>
      </c>
      <c r="K87">
        <v>1</v>
      </c>
      <c r="L87" t="s">
        <v>117</v>
      </c>
      <c r="M87" t="s">
        <v>6384</v>
      </c>
      <c r="N87" t="s">
        <v>1755</v>
      </c>
      <c r="O87" t="s">
        <v>767</v>
      </c>
      <c r="P87" t="s">
        <v>6461</v>
      </c>
      <c r="Q87" t="s">
        <v>6464</v>
      </c>
      <c r="R87" t="s">
        <v>6465</v>
      </c>
      <c r="S87" t="s">
        <v>1755</v>
      </c>
      <c r="T87" t="s">
        <v>1755</v>
      </c>
      <c r="U87" t="s">
        <v>1755</v>
      </c>
      <c r="V87" t="s">
        <v>1755</v>
      </c>
      <c r="W87">
        <v>2850</v>
      </c>
      <c r="X87">
        <v>2850</v>
      </c>
      <c r="Y87">
        <v>46056</v>
      </c>
      <c r="Z87">
        <v>46056</v>
      </c>
      <c r="AA87" t="s">
        <v>1755</v>
      </c>
      <c r="AB87">
        <v>0</v>
      </c>
      <c r="AC87">
        <v>22000</v>
      </c>
      <c r="AD87">
        <v>21375</v>
      </c>
      <c r="AE87">
        <v>-625</v>
      </c>
      <c r="AF87" t="s">
        <v>1755</v>
      </c>
      <c r="AG87">
        <v>7.7192982456140351</v>
      </c>
      <c r="AI87" t="s">
        <v>6308</v>
      </c>
      <c r="AJ87" t="s">
        <v>47</v>
      </c>
      <c r="AK87" t="s">
        <v>107</v>
      </c>
      <c r="AL87" t="s">
        <v>107</v>
      </c>
      <c r="AM87" t="s">
        <v>107</v>
      </c>
      <c r="AO87">
        <v>625</v>
      </c>
      <c r="AP87">
        <v>-2.9239766081871343E-2</v>
      </c>
      <c r="AQ87">
        <v>7.7192982456140351</v>
      </c>
      <c r="AR87" t="s">
        <v>47</v>
      </c>
      <c r="AT87" t="s">
        <v>47</v>
      </c>
    </row>
    <row r="88" spans="1:46" x14ac:dyDescent="0.25">
      <c r="A88" t="s">
        <v>6329</v>
      </c>
      <c r="B88" s="19">
        <v>46056</v>
      </c>
      <c r="C88" t="s">
        <v>1285</v>
      </c>
      <c r="D88" t="s">
        <v>1602</v>
      </c>
      <c r="E88" t="s">
        <v>117</v>
      </c>
      <c r="F88" t="s">
        <v>1286</v>
      </c>
      <c r="G88" t="s">
        <v>1755</v>
      </c>
      <c r="I88" t="str">
        <f>CONCATENATE(Inbound___Outbound_Shifting[[#This Row],[Batch '#]],"-",Inbound___Outbound_Shifting[[#This Row],[Exp '# or Key]])</f>
        <v>--</v>
      </c>
      <c r="J88" t="s">
        <v>1755</v>
      </c>
      <c r="K88">
        <v>16</v>
      </c>
      <c r="L88" t="s">
        <v>117</v>
      </c>
      <c r="M88" t="s">
        <v>6466</v>
      </c>
      <c r="N88" t="s">
        <v>1755</v>
      </c>
      <c r="O88" t="s">
        <v>767</v>
      </c>
      <c r="P88" t="s">
        <v>6467</v>
      </c>
      <c r="Q88" t="s">
        <v>1287</v>
      </c>
      <c r="R88" t="s">
        <v>6421</v>
      </c>
      <c r="S88" t="s">
        <v>1755</v>
      </c>
      <c r="T88" t="s">
        <v>1755</v>
      </c>
      <c r="U88" t="s">
        <v>1755</v>
      </c>
      <c r="V88" t="s">
        <v>1755</v>
      </c>
      <c r="W88">
        <v>3500</v>
      </c>
      <c r="X88">
        <v>3500</v>
      </c>
      <c r="Y88">
        <v>46056</v>
      </c>
      <c r="Z88">
        <v>46056</v>
      </c>
      <c r="AA88" t="s">
        <v>1755</v>
      </c>
      <c r="AB88">
        <v>0</v>
      </c>
      <c r="AC88">
        <v>27000</v>
      </c>
      <c r="AD88">
        <v>26250</v>
      </c>
      <c r="AE88">
        <v>-750</v>
      </c>
      <c r="AF88" t="s">
        <v>1755</v>
      </c>
      <c r="AG88">
        <v>7.7142857142857144</v>
      </c>
      <c r="AI88" t="s">
        <v>6334</v>
      </c>
      <c r="AJ88" t="s">
        <v>47</v>
      </c>
      <c r="AK88" t="s">
        <v>6335</v>
      </c>
      <c r="AL88" t="s">
        <v>6335</v>
      </c>
      <c r="AM88" t="s">
        <v>6335</v>
      </c>
      <c r="AO88">
        <v>750</v>
      </c>
      <c r="AP88">
        <v>-2.8571428571428571E-2</v>
      </c>
      <c r="AQ88">
        <v>7.7142857142857144</v>
      </c>
      <c r="AR88" t="s">
        <v>47</v>
      </c>
      <c r="AT88" t="s">
        <v>47</v>
      </c>
    </row>
    <row r="89" spans="1:46" x14ac:dyDescent="0.25">
      <c r="A89" t="s">
        <v>6329</v>
      </c>
      <c r="B89" s="19">
        <v>46057</v>
      </c>
      <c r="C89" t="s">
        <v>624</v>
      </c>
      <c r="D89" t="s">
        <v>6330</v>
      </c>
      <c r="E89" t="s">
        <v>366</v>
      </c>
      <c r="F89" t="s">
        <v>625</v>
      </c>
      <c r="G89" t="s">
        <v>1755</v>
      </c>
      <c r="I89" t="str">
        <f>CONCATENATE(Inbound___Outbound_Shifting[[#This Row],[Batch '#]],"-",Inbound___Outbound_Shifting[[#This Row],[Exp '# or Key]])</f>
        <v>--</v>
      </c>
      <c r="J89" t="s">
        <v>1755</v>
      </c>
      <c r="K89">
        <v>2</v>
      </c>
      <c r="L89" t="s">
        <v>366</v>
      </c>
      <c r="M89" t="s">
        <v>6364</v>
      </c>
      <c r="N89" t="s">
        <v>1755</v>
      </c>
      <c r="O89" t="s">
        <v>134</v>
      </c>
      <c r="P89" t="s">
        <v>6468</v>
      </c>
      <c r="Q89" t="s">
        <v>626</v>
      </c>
      <c r="R89" t="s">
        <v>6307</v>
      </c>
      <c r="S89" t="s">
        <v>1755</v>
      </c>
      <c r="T89" t="s">
        <v>1755</v>
      </c>
      <c r="U89" t="s">
        <v>1755</v>
      </c>
      <c r="V89" t="s">
        <v>1755</v>
      </c>
      <c r="W89">
        <v>500</v>
      </c>
      <c r="X89">
        <v>52500</v>
      </c>
      <c r="Y89">
        <v>46057</v>
      </c>
      <c r="Z89">
        <v>46057</v>
      </c>
      <c r="AA89" t="s">
        <v>1755</v>
      </c>
      <c r="AB89">
        <v>0</v>
      </c>
      <c r="AC89">
        <v>280000</v>
      </c>
      <c r="AD89">
        <v>393750</v>
      </c>
      <c r="AE89">
        <v>113750</v>
      </c>
      <c r="AF89" t="s">
        <v>1755</v>
      </c>
      <c r="AG89">
        <v>5.333333333333333</v>
      </c>
      <c r="AI89" t="s">
        <v>6308</v>
      </c>
      <c r="AJ89" t="s">
        <v>47</v>
      </c>
      <c r="AK89" t="s">
        <v>107</v>
      </c>
      <c r="AL89" t="s">
        <v>107</v>
      </c>
      <c r="AM89" t="s">
        <v>107</v>
      </c>
      <c r="AO89">
        <v>-113750</v>
      </c>
      <c r="AP89">
        <v>0.28888888888888886</v>
      </c>
      <c r="AQ89">
        <v>5.333333333333333</v>
      </c>
      <c r="AR89" t="s">
        <v>47</v>
      </c>
      <c r="AT89" t="s">
        <v>47</v>
      </c>
    </row>
    <row r="90" spans="1:46" x14ac:dyDescent="0.25">
      <c r="A90" t="s">
        <v>1755</v>
      </c>
      <c r="B90" s="19">
        <v>46057</v>
      </c>
      <c r="C90" t="s">
        <v>718</v>
      </c>
      <c r="D90" t="s">
        <v>6330</v>
      </c>
      <c r="E90" t="s">
        <v>366</v>
      </c>
      <c r="F90" t="s">
        <v>4163</v>
      </c>
      <c r="G90" t="s">
        <v>1755</v>
      </c>
      <c r="I90" t="str">
        <f>CONCATENATE(Inbound___Outbound_Shifting[[#This Row],[Batch '#]],"-",Inbound___Outbound_Shifting[[#This Row],[Exp '# or Key]])</f>
        <v>--</v>
      </c>
      <c r="J90" t="s">
        <v>1755</v>
      </c>
      <c r="K90">
        <v>4</v>
      </c>
      <c r="L90" t="s">
        <v>366</v>
      </c>
      <c r="M90" t="s">
        <v>1755</v>
      </c>
      <c r="N90" t="s">
        <v>1755</v>
      </c>
      <c r="O90" t="s">
        <v>1755</v>
      </c>
      <c r="P90" t="s">
        <v>1755</v>
      </c>
      <c r="Q90" t="s">
        <v>1755</v>
      </c>
      <c r="R90" t="s">
        <v>1755</v>
      </c>
      <c r="S90" t="s">
        <v>1755</v>
      </c>
      <c r="T90" t="s">
        <v>1755</v>
      </c>
      <c r="U90" t="s">
        <v>1755</v>
      </c>
      <c r="V90" t="s">
        <v>1755</v>
      </c>
      <c r="W90">
        <v>19000</v>
      </c>
      <c r="X90" t="s">
        <v>1755</v>
      </c>
      <c r="Y90">
        <v>46057</v>
      </c>
      <c r="Z90">
        <v>46057</v>
      </c>
      <c r="AA90" t="s">
        <v>1755</v>
      </c>
      <c r="AB90">
        <v>0</v>
      </c>
      <c r="AC90" t="s">
        <v>1755</v>
      </c>
      <c r="AE90">
        <v>0</v>
      </c>
      <c r="AF90" t="s">
        <v>1755</v>
      </c>
      <c r="AI90" t="s">
        <v>1755</v>
      </c>
      <c r="AJ90" t="s">
        <v>1755</v>
      </c>
      <c r="AK90" t="s">
        <v>1755</v>
      </c>
      <c r="AL90" t="s">
        <v>1755</v>
      </c>
      <c r="AM90" t="s">
        <v>1755</v>
      </c>
      <c r="AO90">
        <v>0</v>
      </c>
    </row>
    <row r="91" spans="1:46" x14ac:dyDescent="0.25">
      <c r="A91" t="s">
        <v>1755</v>
      </c>
      <c r="B91" s="19">
        <v>46057</v>
      </c>
      <c r="C91" t="s">
        <v>556</v>
      </c>
      <c r="D91" t="s">
        <v>6330</v>
      </c>
      <c r="E91" t="s">
        <v>117</v>
      </c>
      <c r="F91" t="s">
        <v>38</v>
      </c>
      <c r="G91" t="s">
        <v>1755</v>
      </c>
      <c r="I91" t="str">
        <f>CONCATENATE(Inbound___Outbound_Shifting[[#This Row],[Batch '#]],"-",Inbound___Outbound_Shifting[[#This Row],[Exp '# or Key]])</f>
        <v>--</v>
      </c>
      <c r="J91" t="s">
        <v>1755</v>
      </c>
      <c r="K91">
        <v>1</v>
      </c>
      <c r="L91" t="s">
        <v>117</v>
      </c>
      <c r="M91" t="s">
        <v>1755</v>
      </c>
      <c r="N91" t="s">
        <v>1755</v>
      </c>
      <c r="O91" t="s">
        <v>1755</v>
      </c>
      <c r="P91" t="s">
        <v>1755</v>
      </c>
      <c r="Q91" t="s">
        <v>1755</v>
      </c>
      <c r="R91" t="s">
        <v>1755</v>
      </c>
      <c r="S91" t="s">
        <v>1755</v>
      </c>
      <c r="T91" t="s">
        <v>1755</v>
      </c>
      <c r="U91" t="s">
        <v>1755</v>
      </c>
      <c r="V91" t="s">
        <v>1755</v>
      </c>
      <c r="W91">
        <v>30000</v>
      </c>
      <c r="X91" t="s">
        <v>1755</v>
      </c>
      <c r="Y91">
        <v>46057</v>
      </c>
      <c r="Z91">
        <v>46057</v>
      </c>
      <c r="AA91" t="s">
        <v>1755</v>
      </c>
      <c r="AB91">
        <v>0</v>
      </c>
      <c r="AC91" t="s">
        <v>1755</v>
      </c>
      <c r="AE91">
        <v>0</v>
      </c>
      <c r="AF91" t="s">
        <v>1755</v>
      </c>
      <c r="AI91" t="s">
        <v>1755</v>
      </c>
      <c r="AJ91" t="s">
        <v>1755</v>
      </c>
      <c r="AK91" t="s">
        <v>1755</v>
      </c>
      <c r="AL91" t="s">
        <v>1755</v>
      </c>
      <c r="AM91" t="s">
        <v>1755</v>
      </c>
      <c r="AO91">
        <v>0</v>
      </c>
    </row>
    <row r="92" spans="1:46" x14ac:dyDescent="0.25">
      <c r="A92" t="s">
        <v>1755</v>
      </c>
      <c r="B92" s="19">
        <v>46057</v>
      </c>
      <c r="C92" t="s">
        <v>1269</v>
      </c>
      <c r="D92" t="s">
        <v>1600</v>
      </c>
      <c r="E92" t="s">
        <v>366</v>
      </c>
      <c r="F92" t="s">
        <v>1270</v>
      </c>
      <c r="G92" t="s">
        <v>1755</v>
      </c>
      <c r="I92" t="str">
        <f>CONCATENATE(Inbound___Outbound_Shifting[[#This Row],[Batch '#]],"-",Inbound___Outbound_Shifting[[#This Row],[Exp '# or Key]])</f>
        <v>--</v>
      </c>
      <c r="J92" t="s">
        <v>1755</v>
      </c>
      <c r="K92">
        <v>2</v>
      </c>
      <c r="L92" t="s">
        <v>366</v>
      </c>
      <c r="M92" t="s">
        <v>1755</v>
      </c>
      <c r="N92" t="s">
        <v>1755</v>
      </c>
      <c r="O92" t="s">
        <v>1755</v>
      </c>
      <c r="P92" t="s">
        <v>1755</v>
      </c>
      <c r="Q92" t="s">
        <v>1755</v>
      </c>
      <c r="R92" t="s">
        <v>1755</v>
      </c>
      <c r="S92" t="s">
        <v>1755</v>
      </c>
      <c r="T92" t="s">
        <v>1755</v>
      </c>
      <c r="U92" t="s">
        <v>1755</v>
      </c>
      <c r="V92" t="s">
        <v>1755</v>
      </c>
      <c r="W92">
        <v>3000</v>
      </c>
      <c r="X92" t="s">
        <v>1755</v>
      </c>
      <c r="Y92">
        <v>46057</v>
      </c>
      <c r="Z92">
        <v>46057</v>
      </c>
      <c r="AA92" t="s">
        <v>1755</v>
      </c>
      <c r="AB92">
        <v>0</v>
      </c>
      <c r="AC92" t="s">
        <v>1755</v>
      </c>
      <c r="AE92">
        <v>0</v>
      </c>
      <c r="AF92" t="s">
        <v>1755</v>
      </c>
      <c r="AI92" t="s">
        <v>1755</v>
      </c>
      <c r="AJ92" t="s">
        <v>1755</v>
      </c>
      <c r="AK92" t="s">
        <v>1755</v>
      </c>
      <c r="AL92" t="s">
        <v>1755</v>
      </c>
      <c r="AM92" t="s">
        <v>1755</v>
      </c>
      <c r="AO92">
        <v>0</v>
      </c>
    </row>
    <row r="93" spans="1:46" x14ac:dyDescent="0.25">
      <c r="A93" t="s">
        <v>6329</v>
      </c>
      <c r="B93" s="19">
        <v>46057</v>
      </c>
      <c r="C93" t="s">
        <v>432</v>
      </c>
      <c r="D93" t="s">
        <v>6330</v>
      </c>
      <c r="E93" t="s">
        <v>117</v>
      </c>
      <c r="F93" t="s">
        <v>1755</v>
      </c>
      <c r="G93" t="s">
        <v>1755</v>
      </c>
      <c r="I93" t="str">
        <f>CONCATENATE(Inbound___Outbound_Shifting[[#This Row],[Batch '#]],"-",Inbound___Outbound_Shifting[[#This Row],[Exp '# or Key]])</f>
        <v>--</v>
      </c>
      <c r="J93" t="s">
        <v>1755</v>
      </c>
      <c r="K93">
        <v>10</v>
      </c>
      <c r="L93" t="s">
        <v>117</v>
      </c>
      <c r="M93" t="s">
        <v>6364</v>
      </c>
      <c r="N93" t="s">
        <v>1755</v>
      </c>
      <c r="O93" t="s">
        <v>134</v>
      </c>
      <c r="P93" t="s">
        <v>6469</v>
      </c>
      <c r="Q93" t="s">
        <v>437</v>
      </c>
      <c r="R93" t="s">
        <v>6307</v>
      </c>
      <c r="S93" t="s">
        <v>1755</v>
      </c>
      <c r="T93" t="s">
        <v>1755</v>
      </c>
      <c r="U93" t="s">
        <v>1755</v>
      </c>
      <c r="V93" t="s">
        <v>1755</v>
      </c>
      <c r="W93">
        <v>35000</v>
      </c>
      <c r="X93">
        <v>35000</v>
      </c>
      <c r="Y93">
        <v>46057</v>
      </c>
      <c r="Z93">
        <v>46057</v>
      </c>
      <c r="AA93" t="s">
        <v>1755</v>
      </c>
      <c r="AB93">
        <v>0</v>
      </c>
      <c r="AC93">
        <v>135000</v>
      </c>
      <c r="AD93">
        <v>262500</v>
      </c>
      <c r="AE93">
        <v>127500</v>
      </c>
      <c r="AF93" t="s">
        <v>1755</v>
      </c>
      <c r="AG93">
        <v>3.8571428571428572</v>
      </c>
      <c r="AI93" t="s">
        <v>6308</v>
      </c>
      <c r="AJ93" t="s">
        <v>47</v>
      </c>
      <c r="AK93" t="s">
        <v>107</v>
      </c>
      <c r="AL93" t="s">
        <v>107</v>
      </c>
      <c r="AM93" t="s">
        <v>107</v>
      </c>
      <c r="AO93">
        <v>-127500</v>
      </c>
      <c r="AP93">
        <v>0.48571428571428571</v>
      </c>
      <c r="AQ93">
        <v>3.8571428571428572</v>
      </c>
      <c r="AR93" t="s">
        <v>47</v>
      </c>
      <c r="AT93" t="s">
        <v>47</v>
      </c>
    </row>
    <row r="94" spans="1:46" x14ac:dyDescent="0.25">
      <c r="A94" t="s">
        <v>6329</v>
      </c>
      <c r="B94" s="19">
        <v>46057</v>
      </c>
      <c r="C94" t="s">
        <v>1534</v>
      </c>
      <c r="D94" t="s">
        <v>1596</v>
      </c>
      <c r="E94" t="s">
        <v>117</v>
      </c>
      <c r="F94" t="s">
        <v>1535</v>
      </c>
      <c r="G94" t="s">
        <v>1755</v>
      </c>
      <c r="I94" t="str">
        <f>CONCATENATE(Inbound___Outbound_Shifting[[#This Row],[Batch '#]],"-",Inbound___Outbound_Shifting[[#This Row],[Exp '# or Key]])</f>
        <v>--</v>
      </c>
      <c r="J94" t="s">
        <v>1755</v>
      </c>
      <c r="K94">
        <v>4</v>
      </c>
      <c r="L94" t="s">
        <v>117</v>
      </c>
      <c r="M94" t="s">
        <v>6470</v>
      </c>
      <c r="N94" t="s">
        <v>1755</v>
      </c>
      <c r="O94" t="s">
        <v>767</v>
      </c>
      <c r="P94" t="s">
        <v>1755</v>
      </c>
      <c r="Q94" t="s">
        <v>1755</v>
      </c>
      <c r="R94" t="s">
        <v>6307</v>
      </c>
      <c r="S94" t="s">
        <v>1755</v>
      </c>
      <c r="T94" t="s">
        <v>1755</v>
      </c>
      <c r="U94" t="s">
        <v>1755</v>
      </c>
      <c r="V94" t="s">
        <v>1755</v>
      </c>
      <c r="W94">
        <v>25000</v>
      </c>
      <c r="X94">
        <v>25000</v>
      </c>
      <c r="Y94">
        <v>46057</v>
      </c>
      <c r="Z94">
        <v>46057</v>
      </c>
      <c r="AA94" t="s">
        <v>1755</v>
      </c>
      <c r="AB94">
        <v>0</v>
      </c>
      <c r="AC94">
        <v>60000</v>
      </c>
      <c r="AD94">
        <v>187500</v>
      </c>
      <c r="AE94">
        <v>127500</v>
      </c>
      <c r="AF94" t="s">
        <v>1755</v>
      </c>
      <c r="AG94">
        <v>2.4</v>
      </c>
      <c r="AI94" t="s">
        <v>6369</v>
      </c>
      <c r="AJ94" t="s">
        <v>47</v>
      </c>
      <c r="AK94" t="s">
        <v>6335</v>
      </c>
      <c r="AL94" t="s">
        <v>6335</v>
      </c>
      <c r="AM94" t="s">
        <v>6335</v>
      </c>
      <c r="AO94">
        <v>-127500</v>
      </c>
      <c r="AP94">
        <v>0.68</v>
      </c>
      <c r="AQ94">
        <v>2.4</v>
      </c>
      <c r="AR94" t="s">
        <v>47</v>
      </c>
      <c r="AT94" t="s">
        <v>47</v>
      </c>
    </row>
    <row r="95" spans="1:46" x14ac:dyDescent="0.25">
      <c r="A95" t="s">
        <v>6329</v>
      </c>
      <c r="B95" s="19">
        <v>46057</v>
      </c>
      <c r="C95" t="s">
        <v>1541</v>
      </c>
      <c r="D95" t="s">
        <v>1596</v>
      </c>
      <c r="E95" t="s">
        <v>117</v>
      </c>
      <c r="F95" t="s">
        <v>1542</v>
      </c>
      <c r="G95" t="s">
        <v>1755</v>
      </c>
      <c r="I95" t="str">
        <f>CONCATENATE(Inbound___Outbound_Shifting[[#This Row],[Batch '#]],"-",Inbound___Outbound_Shifting[[#This Row],[Exp '# or Key]])</f>
        <v>--</v>
      </c>
      <c r="J95" t="s">
        <v>1755</v>
      </c>
      <c r="K95">
        <v>1</v>
      </c>
      <c r="L95" t="s">
        <v>117</v>
      </c>
      <c r="M95" t="s">
        <v>6471</v>
      </c>
      <c r="N95" t="s">
        <v>1755</v>
      </c>
      <c r="O95" t="s">
        <v>767</v>
      </c>
      <c r="P95" t="s">
        <v>1755</v>
      </c>
      <c r="Q95" t="s">
        <v>1755</v>
      </c>
      <c r="R95" t="s">
        <v>6465</v>
      </c>
      <c r="S95" t="s">
        <v>1755</v>
      </c>
      <c r="T95" t="s">
        <v>1755</v>
      </c>
      <c r="U95" t="s">
        <v>1755</v>
      </c>
      <c r="V95" t="s">
        <v>1755</v>
      </c>
      <c r="W95">
        <v>26500</v>
      </c>
      <c r="X95">
        <v>26500</v>
      </c>
      <c r="Y95">
        <v>46057</v>
      </c>
      <c r="Z95">
        <v>46057</v>
      </c>
      <c r="AA95" t="s">
        <v>1755</v>
      </c>
      <c r="AB95">
        <v>0</v>
      </c>
      <c r="AC95">
        <v>45000</v>
      </c>
      <c r="AD95">
        <v>198750</v>
      </c>
      <c r="AE95">
        <v>153750</v>
      </c>
      <c r="AF95" t="s">
        <v>1755</v>
      </c>
      <c r="AG95">
        <v>1.6981132075471699</v>
      </c>
      <c r="AI95" t="s">
        <v>6369</v>
      </c>
      <c r="AJ95" t="s">
        <v>47</v>
      </c>
      <c r="AK95" t="s">
        <v>6335</v>
      </c>
      <c r="AL95" t="s">
        <v>6335</v>
      </c>
      <c r="AM95" t="s">
        <v>6335</v>
      </c>
      <c r="AO95">
        <v>-153750</v>
      </c>
      <c r="AP95">
        <v>0.77358490566037741</v>
      </c>
      <c r="AQ95">
        <v>1.6981132075471699</v>
      </c>
      <c r="AR95" t="s">
        <v>47</v>
      </c>
      <c r="AT95" t="s">
        <v>47</v>
      </c>
    </row>
    <row r="96" spans="1:46" x14ac:dyDescent="0.25">
      <c r="A96" t="s">
        <v>6329</v>
      </c>
      <c r="B96" s="19">
        <v>46057</v>
      </c>
      <c r="C96" t="s">
        <v>1470</v>
      </c>
      <c r="D96" t="s">
        <v>1602</v>
      </c>
      <c r="E96" t="s">
        <v>366</v>
      </c>
      <c r="F96" t="s">
        <v>1277</v>
      </c>
      <c r="G96" t="s">
        <v>1755</v>
      </c>
      <c r="I96" t="str">
        <f>CONCATENATE(Inbound___Outbound_Shifting[[#This Row],[Batch '#]],"-",Inbound___Outbound_Shifting[[#This Row],[Exp '# or Key]])</f>
        <v>--</v>
      </c>
      <c r="J96" t="s">
        <v>1755</v>
      </c>
      <c r="K96">
        <v>4</v>
      </c>
      <c r="L96" t="s">
        <v>366</v>
      </c>
      <c r="M96" t="s">
        <v>6472</v>
      </c>
      <c r="N96" t="s">
        <v>1755</v>
      </c>
      <c r="O96" t="s">
        <v>104</v>
      </c>
      <c r="P96" t="s">
        <v>1755</v>
      </c>
      <c r="Q96" t="s">
        <v>1755</v>
      </c>
      <c r="R96" t="s">
        <v>6333</v>
      </c>
      <c r="S96" t="s">
        <v>1755</v>
      </c>
      <c r="T96" t="s">
        <v>1755</v>
      </c>
      <c r="U96" t="s">
        <v>1755</v>
      </c>
      <c r="V96" t="s">
        <v>1755</v>
      </c>
      <c r="W96">
        <v>15000</v>
      </c>
      <c r="X96">
        <v>15000</v>
      </c>
      <c r="Y96">
        <v>46057</v>
      </c>
      <c r="Z96">
        <v>46057</v>
      </c>
      <c r="AA96" t="s">
        <v>1755</v>
      </c>
      <c r="AB96">
        <v>0</v>
      </c>
      <c r="AC96">
        <v>45000</v>
      </c>
      <c r="AD96">
        <v>112500</v>
      </c>
      <c r="AE96">
        <v>67500</v>
      </c>
      <c r="AF96" t="s">
        <v>1755</v>
      </c>
      <c r="AG96">
        <v>3</v>
      </c>
      <c r="AI96" t="s">
        <v>6369</v>
      </c>
      <c r="AJ96" t="s">
        <v>47</v>
      </c>
      <c r="AK96" t="s">
        <v>6335</v>
      </c>
      <c r="AL96" t="s">
        <v>6335</v>
      </c>
      <c r="AM96" t="s">
        <v>6335</v>
      </c>
      <c r="AO96">
        <v>-67500</v>
      </c>
      <c r="AP96">
        <v>0.6</v>
      </c>
      <c r="AQ96">
        <v>3</v>
      </c>
      <c r="AR96" t="s">
        <v>47</v>
      </c>
      <c r="AT96" t="s">
        <v>47</v>
      </c>
    </row>
    <row r="97" spans="1:46" x14ac:dyDescent="0.25">
      <c r="A97" t="s">
        <v>6300</v>
      </c>
      <c r="B97" s="19">
        <v>46060</v>
      </c>
      <c r="C97" t="s">
        <v>6473</v>
      </c>
      <c r="D97" t="s">
        <v>6302</v>
      </c>
      <c r="E97" t="s">
        <v>1268</v>
      </c>
      <c r="F97" t="s">
        <v>117</v>
      </c>
      <c r="G97" t="s">
        <v>1755</v>
      </c>
      <c r="I97" t="str">
        <f>CONCATENATE(Inbound___Outbound_Shifting[[#This Row],[Batch '#]],"-",Inbound___Outbound_Shifting[[#This Row],[Exp '# or Key]])</f>
        <v>--</v>
      </c>
      <c r="J97" t="s">
        <v>6382</v>
      </c>
      <c r="K97" t="s">
        <v>6434</v>
      </c>
      <c r="L97" t="s">
        <v>1755</v>
      </c>
      <c r="M97" t="s">
        <v>1755</v>
      </c>
      <c r="N97" t="s">
        <v>1755</v>
      </c>
      <c r="O97" t="s">
        <v>6341</v>
      </c>
      <c r="P97" t="s">
        <v>6474</v>
      </c>
      <c r="Q97" t="s">
        <v>6475</v>
      </c>
      <c r="R97" t="s">
        <v>6307</v>
      </c>
      <c r="S97">
        <v>1</v>
      </c>
      <c r="T97" t="s">
        <v>1755</v>
      </c>
      <c r="U97" t="s">
        <v>1755</v>
      </c>
      <c r="V97" t="s">
        <v>1755</v>
      </c>
      <c r="W97">
        <v>20745</v>
      </c>
      <c r="X97">
        <v>39845</v>
      </c>
      <c r="Y97">
        <v>46064</v>
      </c>
      <c r="Z97" t="s">
        <v>1755</v>
      </c>
      <c r="AA97" t="s">
        <v>1755</v>
      </c>
      <c r="AB97">
        <v>4</v>
      </c>
      <c r="AC97">
        <v>504750.00000000006</v>
      </c>
      <c r="AD97">
        <v>597675</v>
      </c>
      <c r="AE97">
        <v>92924.999999999942</v>
      </c>
      <c r="AF97" t="s">
        <v>1755</v>
      </c>
      <c r="AG97">
        <v>12.667837871753045</v>
      </c>
      <c r="AH97">
        <v>414.06890894175558</v>
      </c>
      <c r="AI97" t="s">
        <v>6308</v>
      </c>
      <c r="AJ97" t="s">
        <v>47</v>
      </c>
      <c r="AK97" t="s">
        <v>107</v>
      </c>
      <c r="AL97" t="s">
        <v>107</v>
      </c>
      <c r="AM97" t="s">
        <v>107</v>
      </c>
      <c r="AO97">
        <v>-92924.999999999942</v>
      </c>
      <c r="AP97">
        <v>0.15547747521646371</v>
      </c>
      <c r="AQ97">
        <v>12.667837871753045</v>
      </c>
      <c r="AR97" t="s">
        <v>47</v>
      </c>
      <c r="AT97" t="s">
        <v>47</v>
      </c>
    </row>
    <row r="98" spans="1:46" x14ac:dyDescent="0.25">
      <c r="A98" t="s">
        <v>1755</v>
      </c>
      <c r="B98" s="19">
        <v>46060</v>
      </c>
      <c r="C98" t="s">
        <v>6476</v>
      </c>
      <c r="D98" t="s">
        <v>6302</v>
      </c>
      <c r="E98" t="s">
        <v>1268</v>
      </c>
      <c r="F98" t="s">
        <v>6319</v>
      </c>
      <c r="G98" t="s">
        <v>1755</v>
      </c>
      <c r="I98" t="str">
        <f>CONCATENATE(Inbound___Outbound_Shifting[[#This Row],[Batch '#]],"-",Inbound___Outbound_Shifting[[#This Row],[Exp '# or Key]])</f>
        <v>--</v>
      </c>
      <c r="J98" t="s">
        <v>6477</v>
      </c>
      <c r="K98" t="s">
        <v>6478</v>
      </c>
      <c r="L98" t="s">
        <v>1755</v>
      </c>
      <c r="M98" t="s">
        <v>1755</v>
      </c>
      <c r="N98" t="s">
        <v>1755</v>
      </c>
      <c r="O98" t="s">
        <v>1755</v>
      </c>
      <c r="P98" t="s">
        <v>1755</v>
      </c>
      <c r="Q98" t="s">
        <v>1755</v>
      </c>
      <c r="S98" t="s">
        <v>1755</v>
      </c>
      <c r="T98" t="s">
        <v>1755</v>
      </c>
      <c r="U98" t="s">
        <v>1755</v>
      </c>
      <c r="V98" t="s">
        <v>1755</v>
      </c>
      <c r="W98">
        <v>1500</v>
      </c>
      <c r="X98" t="s">
        <v>1755</v>
      </c>
      <c r="Y98">
        <v>46064</v>
      </c>
      <c r="Z98" t="s">
        <v>1755</v>
      </c>
      <c r="AA98" t="s">
        <v>1755</v>
      </c>
      <c r="AB98">
        <v>4</v>
      </c>
      <c r="AC98">
        <v>0</v>
      </c>
      <c r="AE98">
        <v>0</v>
      </c>
      <c r="AF98" t="s">
        <v>1755</v>
      </c>
      <c r="AH98">
        <v>0</v>
      </c>
      <c r="AI98" t="s">
        <v>1755</v>
      </c>
      <c r="AJ98" t="s">
        <v>1755</v>
      </c>
      <c r="AK98" t="s">
        <v>1755</v>
      </c>
      <c r="AL98" t="s">
        <v>1755</v>
      </c>
      <c r="AM98" t="s">
        <v>1755</v>
      </c>
      <c r="AO98">
        <v>0</v>
      </c>
    </row>
    <row r="99" spans="1:46" x14ac:dyDescent="0.25">
      <c r="A99" t="s">
        <v>1755</v>
      </c>
      <c r="B99" s="19">
        <v>46060</v>
      </c>
      <c r="C99" t="s">
        <v>6479</v>
      </c>
      <c r="D99" t="s">
        <v>6302</v>
      </c>
      <c r="E99" t="s">
        <v>1268</v>
      </c>
      <c r="F99" t="s">
        <v>1371</v>
      </c>
      <c r="G99" t="s">
        <v>1755</v>
      </c>
      <c r="I99" t="str">
        <f>CONCATENATE(Inbound___Outbound_Shifting[[#This Row],[Batch '#]],"-",Inbound___Outbound_Shifting[[#This Row],[Exp '# or Key]])</f>
        <v>--</v>
      </c>
      <c r="J99" t="s">
        <v>6480</v>
      </c>
      <c r="K99" t="s">
        <v>6321</v>
      </c>
      <c r="L99" t="s">
        <v>1755</v>
      </c>
      <c r="M99" t="s">
        <v>1755</v>
      </c>
      <c r="N99" t="s">
        <v>1755</v>
      </c>
      <c r="O99" t="s">
        <v>1755</v>
      </c>
      <c r="P99" t="s">
        <v>1755</v>
      </c>
      <c r="Q99" t="s">
        <v>1755</v>
      </c>
      <c r="S99" t="s">
        <v>1755</v>
      </c>
      <c r="T99" t="s">
        <v>1755</v>
      </c>
      <c r="U99" t="s">
        <v>1755</v>
      </c>
      <c r="V99" t="s">
        <v>1755</v>
      </c>
      <c r="W99">
        <v>3600</v>
      </c>
      <c r="X99" t="s">
        <v>1755</v>
      </c>
      <c r="Y99">
        <v>46064</v>
      </c>
      <c r="Z99" t="s">
        <v>1755</v>
      </c>
      <c r="AA99" t="s">
        <v>1755</v>
      </c>
      <c r="AB99">
        <v>4</v>
      </c>
      <c r="AC99">
        <v>0</v>
      </c>
      <c r="AE99">
        <v>0</v>
      </c>
      <c r="AF99" t="s">
        <v>1755</v>
      </c>
      <c r="AH99">
        <v>0</v>
      </c>
      <c r="AI99" t="s">
        <v>1755</v>
      </c>
      <c r="AJ99" t="s">
        <v>1755</v>
      </c>
      <c r="AK99" t="s">
        <v>1755</v>
      </c>
      <c r="AL99" t="s">
        <v>1755</v>
      </c>
      <c r="AM99" t="s">
        <v>1755</v>
      </c>
      <c r="AO99">
        <v>0</v>
      </c>
    </row>
    <row r="100" spans="1:46" x14ac:dyDescent="0.25">
      <c r="A100" t="s">
        <v>1755</v>
      </c>
      <c r="B100" s="19">
        <v>46060</v>
      </c>
      <c r="C100" t="s">
        <v>6481</v>
      </c>
      <c r="D100" t="s">
        <v>6302</v>
      </c>
      <c r="E100" t="s">
        <v>1268</v>
      </c>
      <c r="F100" t="s">
        <v>1371</v>
      </c>
      <c r="G100" t="s">
        <v>1755</v>
      </c>
      <c r="I100" t="str">
        <f>CONCATENATE(Inbound___Outbound_Shifting[[#This Row],[Batch '#]],"-",Inbound___Outbound_Shifting[[#This Row],[Exp '# or Key]])</f>
        <v>--</v>
      </c>
      <c r="J100" t="s">
        <v>6482</v>
      </c>
      <c r="K100" t="s">
        <v>6483</v>
      </c>
      <c r="L100" t="s">
        <v>1755</v>
      </c>
      <c r="M100" t="s">
        <v>1755</v>
      </c>
      <c r="N100" t="s">
        <v>1755</v>
      </c>
      <c r="O100" t="s">
        <v>1755</v>
      </c>
      <c r="P100" t="s">
        <v>1755</v>
      </c>
      <c r="Q100" t="s">
        <v>1755</v>
      </c>
      <c r="S100" t="s">
        <v>1755</v>
      </c>
      <c r="T100" t="s">
        <v>1755</v>
      </c>
      <c r="U100" t="s">
        <v>1755</v>
      </c>
      <c r="V100" t="s">
        <v>1755</v>
      </c>
      <c r="W100">
        <v>5000</v>
      </c>
      <c r="X100" t="s">
        <v>1755</v>
      </c>
      <c r="Y100">
        <v>46064</v>
      </c>
      <c r="Z100" t="s">
        <v>1755</v>
      </c>
      <c r="AA100" t="s">
        <v>1755</v>
      </c>
      <c r="AB100">
        <v>4</v>
      </c>
      <c r="AC100">
        <v>0</v>
      </c>
      <c r="AE100">
        <v>0</v>
      </c>
      <c r="AF100" t="s">
        <v>1755</v>
      </c>
      <c r="AH100">
        <v>0</v>
      </c>
      <c r="AI100" t="s">
        <v>1755</v>
      </c>
      <c r="AJ100" t="s">
        <v>1755</v>
      </c>
      <c r="AK100" t="s">
        <v>1755</v>
      </c>
      <c r="AL100" t="s">
        <v>1755</v>
      </c>
      <c r="AM100" t="s">
        <v>1755</v>
      </c>
      <c r="AO100">
        <v>0</v>
      </c>
    </row>
    <row r="101" spans="1:46" x14ac:dyDescent="0.25">
      <c r="A101" t="s">
        <v>1755</v>
      </c>
      <c r="B101" s="19">
        <v>46060</v>
      </c>
      <c r="C101" t="s">
        <v>6484</v>
      </c>
      <c r="D101" t="s">
        <v>6302</v>
      </c>
      <c r="E101" t="s">
        <v>1268</v>
      </c>
      <c r="F101" t="s">
        <v>117</v>
      </c>
      <c r="G101" t="s">
        <v>1755</v>
      </c>
      <c r="I101" t="str">
        <f>CONCATENATE(Inbound___Outbound_Shifting[[#This Row],[Batch '#]],"-",Inbound___Outbound_Shifting[[#This Row],[Exp '# or Key]])</f>
        <v>--</v>
      </c>
      <c r="J101" t="s">
        <v>6485</v>
      </c>
      <c r="K101" t="s">
        <v>6486</v>
      </c>
      <c r="L101" t="s">
        <v>1755</v>
      </c>
      <c r="M101" t="s">
        <v>1755</v>
      </c>
      <c r="N101" t="s">
        <v>1755</v>
      </c>
      <c r="O101" t="s">
        <v>1755</v>
      </c>
      <c r="P101" t="s">
        <v>1755</v>
      </c>
      <c r="Q101" t="s">
        <v>1755</v>
      </c>
      <c r="S101" t="s">
        <v>1755</v>
      </c>
      <c r="T101" t="s">
        <v>1755</v>
      </c>
      <c r="U101" t="s">
        <v>1755</v>
      </c>
      <c r="V101" t="s">
        <v>1755</v>
      </c>
      <c r="W101">
        <v>9000</v>
      </c>
      <c r="X101" t="s">
        <v>1755</v>
      </c>
      <c r="Y101">
        <v>46064</v>
      </c>
      <c r="Z101" t="s">
        <v>1755</v>
      </c>
      <c r="AA101" t="s">
        <v>1755</v>
      </c>
      <c r="AB101">
        <v>4</v>
      </c>
      <c r="AC101">
        <v>0</v>
      </c>
      <c r="AE101">
        <v>0</v>
      </c>
      <c r="AF101" t="s">
        <v>1755</v>
      </c>
      <c r="AH101">
        <v>0</v>
      </c>
      <c r="AI101" t="s">
        <v>1755</v>
      </c>
      <c r="AJ101" t="s">
        <v>1755</v>
      </c>
      <c r="AK101" t="s">
        <v>1755</v>
      </c>
      <c r="AL101" t="s">
        <v>1755</v>
      </c>
      <c r="AM101" t="s">
        <v>1755</v>
      </c>
      <c r="AO101">
        <v>0</v>
      </c>
    </row>
    <row r="102" spans="1:46" x14ac:dyDescent="0.25">
      <c r="A102" t="s">
        <v>6329</v>
      </c>
      <c r="B102" s="19">
        <v>46062</v>
      </c>
      <c r="C102" t="s">
        <v>1291</v>
      </c>
      <c r="D102" t="s">
        <v>1600</v>
      </c>
      <c r="E102" t="s">
        <v>366</v>
      </c>
      <c r="F102" t="s">
        <v>1292</v>
      </c>
      <c r="G102" t="s">
        <v>1755</v>
      </c>
      <c r="I102" t="str">
        <f>CONCATENATE(Inbound___Outbound_Shifting[[#This Row],[Batch '#]],"-",Inbound___Outbound_Shifting[[#This Row],[Exp '# or Key]])</f>
        <v>--</v>
      </c>
      <c r="J102" t="s">
        <v>1755</v>
      </c>
      <c r="K102">
        <v>2</v>
      </c>
      <c r="L102" t="s">
        <v>366</v>
      </c>
      <c r="M102" t="s">
        <v>6487</v>
      </c>
      <c r="N102" t="s">
        <v>1755</v>
      </c>
      <c r="O102" t="s">
        <v>455</v>
      </c>
      <c r="P102" t="s">
        <v>6488</v>
      </c>
      <c r="Q102" t="s">
        <v>1293</v>
      </c>
      <c r="R102" t="s">
        <v>6421</v>
      </c>
      <c r="S102" t="s">
        <v>1755</v>
      </c>
      <c r="T102" t="s">
        <v>1755</v>
      </c>
      <c r="U102" t="s">
        <v>1755</v>
      </c>
      <c r="V102" t="s">
        <v>1755</v>
      </c>
      <c r="W102">
        <v>800</v>
      </c>
      <c r="X102">
        <v>800</v>
      </c>
      <c r="Y102">
        <v>46062</v>
      </c>
      <c r="Z102">
        <v>46062</v>
      </c>
      <c r="AA102" t="s">
        <v>1755</v>
      </c>
      <c r="AB102">
        <v>0</v>
      </c>
      <c r="AC102">
        <v>55000</v>
      </c>
      <c r="AD102">
        <v>6000</v>
      </c>
      <c r="AE102">
        <v>-49000</v>
      </c>
      <c r="AF102" t="s">
        <v>1755</v>
      </c>
      <c r="AG102">
        <v>68.75</v>
      </c>
      <c r="AI102" t="s">
        <v>6369</v>
      </c>
      <c r="AJ102" t="s">
        <v>47</v>
      </c>
      <c r="AK102" t="s">
        <v>6335</v>
      </c>
      <c r="AL102" t="s">
        <v>6335</v>
      </c>
      <c r="AM102" t="s">
        <v>6335</v>
      </c>
      <c r="AO102">
        <v>49000</v>
      </c>
      <c r="AP102">
        <v>-8.1666666666666661</v>
      </c>
      <c r="AQ102">
        <v>68.75</v>
      </c>
      <c r="AR102" t="s">
        <v>47</v>
      </c>
      <c r="AT102" t="s">
        <v>47</v>
      </c>
    </row>
    <row r="103" spans="1:46" x14ac:dyDescent="0.25">
      <c r="A103" t="s">
        <v>6329</v>
      </c>
      <c r="B103" s="19">
        <v>46062</v>
      </c>
      <c r="C103" t="s">
        <v>1482</v>
      </c>
      <c r="D103" t="s">
        <v>1600</v>
      </c>
      <c r="E103" t="s">
        <v>366</v>
      </c>
      <c r="F103" t="s">
        <v>1279</v>
      </c>
      <c r="G103" t="s">
        <v>1755</v>
      </c>
      <c r="I103" t="str">
        <f>CONCATENATE(Inbound___Outbound_Shifting[[#This Row],[Batch '#]],"-",Inbound___Outbound_Shifting[[#This Row],[Exp '# or Key]])</f>
        <v>--</v>
      </c>
      <c r="J103" t="s">
        <v>1755</v>
      </c>
      <c r="K103">
        <v>40</v>
      </c>
      <c r="L103" t="s">
        <v>366</v>
      </c>
      <c r="M103" t="s">
        <v>6489</v>
      </c>
      <c r="N103" t="s">
        <v>1755</v>
      </c>
      <c r="O103" t="s">
        <v>104</v>
      </c>
      <c r="P103" t="s">
        <v>6490</v>
      </c>
      <c r="Q103" t="s">
        <v>1483</v>
      </c>
      <c r="R103" t="s">
        <v>6333</v>
      </c>
      <c r="S103" t="s">
        <v>1755</v>
      </c>
      <c r="T103" t="s">
        <v>1755</v>
      </c>
      <c r="U103" t="s">
        <v>1755</v>
      </c>
      <c r="V103" t="s">
        <v>1755</v>
      </c>
      <c r="W103">
        <v>3500</v>
      </c>
      <c r="X103">
        <v>3500</v>
      </c>
      <c r="Y103">
        <v>46062</v>
      </c>
      <c r="Z103">
        <v>46062</v>
      </c>
      <c r="AA103" t="s">
        <v>1755</v>
      </c>
      <c r="AB103">
        <v>0</v>
      </c>
      <c r="AC103">
        <v>38000</v>
      </c>
      <c r="AD103">
        <v>26250</v>
      </c>
      <c r="AE103">
        <v>-11750</v>
      </c>
      <c r="AF103" t="s">
        <v>1755</v>
      </c>
      <c r="AG103">
        <v>10.857142857142858</v>
      </c>
      <c r="AI103" t="s">
        <v>6308</v>
      </c>
      <c r="AJ103" t="s">
        <v>47</v>
      </c>
      <c r="AK103" t="s">
        <v>107</v>
      </c>
      <c r="AL103" t="s">
        <v>107</v>
      </c>
      <c r="AM103" t="s">
        <v>107</v>
      </c>
      <c r="AO103">
        <v>11750</v>
      </c>
      <c r="AP103">
        <v>-0.44761904761904764</v>
      </c>
      <c r="AQ103">
        <v>10.857142857142858</v>
      </c>
      <c r="AR103" t="s">
        <v>47</v>
      </c>
      <c r="AT103" t="s">
        <v>47</v>
      </c>
    </row>
    <row r="104" spans="1:46" x14ac:dyDescent="0.25">
      <c r="A104" t="s">
        <v>6329</v>
      </c>
      <c r="B104" s="19">
        <v>46062</v>
      </c>
      <c r="C104" t="s">
        <v>1482</v>
      </c>
      <c r="D104" t="s">
        <v>1600</v>
      </c>
      <c r="E104" t="s">
        <v>366</v>
      </c>
      <c r="F104" t="s">
        <v>1279</v>
      </c>
      <c r="G104" t="s">
        <v>1755</v>
      </c>
      <c r="I104" t="str">
        <f>CONCATENATE(Inbound___Outbound_Shifting[[#This Row],[Batch '#]],"-",Inbound___Outbound_Shifting[[#This Row],[Exp '# or Key]])</f>
        <v>--</v>
      </c>
      <c r="J104" t="s">
        <v>1755</v>
      </c>
      <c r="K104">
        <v>10</v>
      </c>
      <c r="L104" t="s">
        <v>366</v>
      </c>
      <c r="M104" t="s">
        <v>6491</v>
      </c>
      <c r="N104" t="s">
        <v>1755</v>
      </c>
      <c r="O104" t="s">
        <v>1480</v>
      </c>
      <c r="P104" t="s">
        <v>1755</v>
      </c>
      <c r="Q104" t="s">
        <v>1755</v>
      </c>
      <c r="R104" t="s">
        <v>1755</v>
      </c>
      <c r="S104" t="s">
        <v>1755</v>
      </c>
      <c r="T104" t="s">
        <v>1755</v>
      </c>
      <c r="U104" t="s">
        <v>1755</v>
      </c>
      <c r="V104" t="s">
        <v>1755</v>
      </c>
      <c r="W104">
        <v>500</v>
      </c>
      <c r="X104">
        <v>500</v>
      </c>
      <c r="Y104">
        <v>46062</v>
      </c>
      <c r="Z104">
        <v>46062</v>
      </c>
      <c r="AA104" t="s">
        <v>1755</v>
      </c>
      <c r="AB104">
        <v>0</v>
      </c>
      <c r="AC104" t="s">
        <v>1755</v>
      </c>
      <c r="AD104">
        <v>3750</v>
      </c>
      <c r="AE104">
        <v>0</v>
      </c>
      <c r="AF104" t="s">
        <v>1755</v>
      </c>
      <c r="AI104" t="s">
        <v>6308</v>
      </c>
      <c r="AJ104" t="s">
        <v>47</v>
      </c>
      <c r="AK104" t="s">
        <v>1755</v>
      </c>
      <c r="AL104" t="s">
        <v>1755</v>
      </c>
      <c r="AM104" t="s">
        <v>1755</v>
      </c>
      <c r="AO104">
        <v>-3750</v>
      </c>
      <c r="AP104">
        <v>1</v>
      </c>
      <c r="AQ104">
        <v>0</v>
      </c>
      <c r="AR104" t="s">
        <v>47</v>
      </c>
      <c r="AT104" t="s">
        <v>47</v>
      </c>
    </row>
    <row r="105" spans="1:46" x14ac:dyDescent="0.25">
      <c r="A105" t="s">
        <v>6329</v>
      </c>
      <c r="B105" s="19">
        <v>46063</v>
      </c>
      <c r="C105" t="s">
        <v>1381</v>
      </c>
      <c r="D105" t="s">
        <v>1141</v>
      </c>
      <c r="E105" t="s">
        <v>1371</v>
      </c>
      <c r="F105" t="s">
        <v>1138</v>
      </c>
      <c r="G105" t="s">
        <v>1755</v>
      </c>
      <c r="I105" t="str">
        <f>CONCATENATE(Inbound___Outbound_Shifting[[#This Row],[Batch '#]],"-",Inbound___Outbound_Shifting[[#This Row],[Exp '# or Key]])</f>
        <v>--</v>
      </c>
      <c r="J105" t="s">
        <v>1755</v>
      </c>
      <c r="K105">
        <v>2</v>
      </c>
      <c r="L105" t="s">
        <v>1371</v>
      </c>
      <c r="M105" t="s">
        <v>6364</v>
      </c>
      <c r="N105" t="s">
        <v>1755</v>
      </c>
      <c r="O105" t="s">
        <v>455</v>
      </c>
      <c r="P105" t="s">
        <v>6492</v>
      </c>
      <c r="Q105" t="s">
        <v>1390</v>
      </c>
      <c r="R105" t="s">
        <v>6307</v>
      </c>
      <c r="S105" t="s">
        <v>1755</v>
      </c>
      <c r="T105" t="s">
        <v>1755</v>
      </c>
      <c r="U105" t="s">
        <v>1755</v>
      </c>
      <c r="V105" t="s">
        <v>1755</v>
      </c>
      <c r="W105">
        <v>2000</v>
      </c>
      <c r="X105">
        <v>30000</v>
      </c>
      <c r="Y105">
        <v>46066</v>
      </c>
      <c r="Z105">
        <v>46063</v>
      </c>
      <c r="AA105" t="s">
        <v>1755</v>
      </c>
      <c r="AB105">
        <v>3</v>
      </c>
      <c r="AC105">
        <v>140000</v>
      </c>
      <c r="AD105">
        <v>225000</v>
      </c>
      <c r="AE105">
        <v>85000</v>
      </c>
      <c r="AF105" t="s">
        <v>1755</v>
      </c>
      <c r="AG105">
        <v>4.666666666666667</v>
      </c>
      <c r="AI105" t="s">
        <v>6308</v>
      </c>
      <c r="AJ105" t="s">
        <v>47</v>
      </c>
      <c r="AK105" t="s">
        <v>107</v>
      </c>
      <c r="AL105" t="s">
        <v>107</v>
      </c>
      <c r="AM105" t="s">
        <v>107</v>
      </c>
      <c r="AO105">
        <v>-85000</v>
      </c>
      <c r="AP105">
        <v>0.37777777777777777</v>
      </c>
      <c r="AQ105">
        <v>4.666666666666667</v>
      </c>
      <c r="AR105" t="s">
        <v>47</v>
      </c>
      <c r="AT105" t="s">
        <v>47</v>
      </c>
    </row>
    <row r="106" spans="1:46" x14ac:dyDescent="0.25">
      <c r="A106" t="s">
        <v>1755</v>
      </c>
      <c r="B106" s="19">
        <v>46063</v>
      </c>
      <c r="C106" t="s">
        <v>1339</v>
      </c>
      <c r="D106" t="s">
        <v>1141</v>
      </c>
      <c r="E106" t="s">
        <v>1371</v>
      </c>
      <c r="F106" t="s">
        <v>6493</v>
      </c>
      <c r="G106" t="s">
        <v>1755</v>
      </c>
      <c r="I106" t="str">
        <f>CONCATENATE(Inbound___Outbound_Shifting[[#This Row],[Batch '#]],"-",Inbound___Outbound_Shifting[[#This Row],[Exp '# or Key]])</f>
        <v>--</v>
      </c>
      <c r="J106" t="s">
        <v>1755</v>
      </c>
      <c r="K106">
        <v>9</v>
      </c>
      <c r="L106" t="s">
        <v>1371</v>
      </c>
      <c r="M106" t="s">
        <v>1755</v>
      </c>
      <c r="N106" t="s">
        <v>1755</v>
      </c>
      <c r="O106" t="s">
        <v>1755</v>
      </c>
      <c r="P106" t="s">
        <v>1755</v>
      </c>
      <c r="Q106" t="s">
        <v>1755</v>
      </c>
      <c r="R106" t="s">
        <v>1755</v>
      </c>
      <c r="S106" t="s">
        <v>1755</v>
      </c>
      <c r="T106" t="s">
        <v>1755</v>
      </c>
      <c r="U106" t="s">
        <v>1755</v>
      </c>
      <c r="V106" t="s">
        <v>1755</v>
      </c>
      <c r="W106">
        <v>18000</v>
      </c>
      <c r="X106" t="s">
        <v>1755</v>
      </c>
      <c r="Y106">
        <v>46066</v>
      </c>
      <c r="Z106">
        <v>46063</v>
      </c>
      <c r="AA106" t="s">
        <v>1755</v>
      </c>
      <c r="AB106">
        <v>3</v>
      </c>
      <c r="AC106" t="s">
        <v>1755</v>
      </c>
      <c r="AE106">
        <v>0</v>
      </c>
      <c r="AF106" t="s">
        <v>1755</v>
      </c>
      <c r="AI106" t="s">
        <v>1755</v>
      </c>
      <c r="AJ106" t="s">
        <v>1755</v>
      </c>
      <c r="AK106" t="s">
        <v>1755</v>
      </c>
      <c r="AL106" t="s">
        <v>1755</v>
      </c>
      <c r="AM106" t="s">
        <v>1755</v>
      </c>
      <c r="AO106">
        <v>0</v>
      </c>
    </row>
    <row r="107" spans="1:46" x14ac:dyDescent="0.25">
      <c r="A107" t="s">
        <v>1755</v>
      </c>
      <c r="B107" s="19">
        <v>46063</v>
      </c>
      <c r="C107" t="s">
        <v>1190</v>
      </c>
      <c r="D107" t="s">
        <v>1141</v>
      </c>
      <c r="E107" t="s">
        <v>117</v>
      </c>
      <c r="F107" t="s">
        <v>6494</v>
      </c>
      <c r="G107" t="s">
        <v>1755</v>
      </c>
      <c r="I107" t="str">
        <f>CONCATENATE(Inbound___Outbound_Shifting[[#This Row],[Batch '#]],"-",Inbound___Outbound_Shifting[[#This Row],[Exp '# or Key]])</f>
        <v>--</v>
      </c>
      <c r="J107" t="s">
        <v>1755</v>
      </c>
      <c r="K107">
        <v>2</v>
      </c>
      <c r="L107" t="s">
        <v>117</v>
      </c>
      <c r="M107" t="s">
        <v>1755</v>
      </c>
      <c r="N107" t="s">
        <v>1755</v>
      </c>
      <c r="O107" t="s">
        <v>1755</v>
      </c>
      <c r="P107" t="s">
        <v>1755</v>
      </c>
      <c r="Q107" t="s">
        <v>1755</v>
      </c>
      <c r="R107" t="s">
        <v>1755</v>
      </c>
      <c r="S107" t="s">
        <v>1755</v>
      </c>
      <c r="T107" t="s">
        <v>1755</v>
      </c>
      <c r="U107" t="s">
        <v>1755</v>
      </c>
      <c r="V107" t="s">
        <v>1755</v>
      </c>
      <c r="W107">
        <v>4500</v>
      </c>
      <c r="X107" t="s">
        <v>1755</v>
      </c>
      <c r="Y107">
        <v>46066</v>
      </c>
      <c r="Z107">
        <v>46063</v>
      </c>
      <c r="AA107" t="s">
        <v>1755</v>
      </c>
      <c r="AB107">
        <v>3</v>
      </c>
      <c r="AC107" t="s">
        <v>1755</v>
      </c>
      <c r="AE107">
        <v>0</v>
      </c>
      <c r="AF107" t="s">
        <v>1755</v>
      </c>
      <c r="AI107" t="s">
        <v>1755</v>
      </c>
      <c r="AJ107" t="s">
        <v>1755</v>
      </c>
      <c r="AK107" t="s">
        <v>1755</v>
      </c>
      <c r="AL107" t="s">
        <v>1755</v>
      </c>
      <c r="AM107" t="s">
        <v>1755</v>
      </c>
      <c r="AO107">
        <v>0</v>
      </c>
    </row>
    <row r="108" spans="1:46" x14ac:dyDescent="0.25">
      <c r="A108" t="s">
        <v>1755</v>
      </c>
      <c r="B108" s="19">
        <v>46063</v>
      </c>
      <c r="C108" t="s">
        <v>1179</v>
      </c>
      <c r="D108" t="s">
        <v>1141</v>
      </c>
      <c r="E108" t="s">
        <v>117</v>
      </c>
      <c r="F108" t="s">
        <v>6494</v>
      </c>
      <c r="G108" t="s">
        <v>1755</v>
      </c>
      <c r="I108" t="str">
        <f>CONCATENATE(Inbound___Outbound_Shifting[[#This Row],[Batch '#]],"-",Inbound___Outbound_Shifting[[#This Row],[Exp '# or Key]])</f>
        <v>--</v>
      </c>
      <c r="J108" t="s">
        <v>1755</v>
      </c>
      <c r="K108">
        <v>2</v>
      </c>
      <c r="L108" t="s">
        <v>117</v>
      </c>
      <c r="M108" t="s">
        <v>1755</v>
      </c>
      <c r="N108" t="s">
        <v>1755</v>
      </c>
      <c r="O108" t="s">
        <v>1755</v>
      </c>
      <c r="P108" t="s">
        <v>1755</v>
      </c>
      <c r="Q108" t="s">
        <v>1755</v>
      </c>
      <c r="R108" t="s">
        <v>1755</v>
      </c>
      <c r="S108" t="s">
        <v>1755</v>
      </c>
      <c r="T108" t="s">
        <v>1755</v>
      </c>
      <c r="U108" t="s">
        <v>1755</v>
      </c>
      <c r="V108" t="s">
        <v>1755</v>
      </c>
      <c r="W108">
        <v>4500</v>
      </c>
      <c r="X108" t="s">
        <v>1755</v>
      </c>
      <c r="Y108">
        <v>46066</v>
      </c>
      <c r="Z108">
        <v>46063</v>
      </c>
      <c r="AA108" t="s">
        <v>1755</v>
      </c>
      <c r="AB108">
        <v>3</v>
      </c>
      <c r="AC108" t="s">
        <v>1755</v>
      </c>
      <c r="AE108">
        <v>0</v>
      </c>
      <c r="AF108" t="s">
        <v>1755</v>
      </c>
      <c r="AI108" t="s">
        <v>1755</v>
      </c>
      <c r="AJ108" t="s">
        <v>1755</v>
      </c>
      <c r="AK108" t="s">
        <v>1755</v>
      </c>
      <c r="AL108" t="s">
        <v>1755</v>
      </c>
      <c r="AM108" t="s">
        <v>1755</v>
      </c>
      <c r="AO108">
        <v>0</v>
      </c>
    </row>
    <row r="109" spans="1:46" x14ac:dyDescent="0.25">
      <c r="A109" t="s">
        <v>1755</v>
      </c>
      <c r="B109" s="19">
        <v>46063</v>
      </c>
      <c r="C109" t="s">
        <v>1267</v>
      </c>
      <c r="D109" t="s">
        <v>6366</v>
      </c>
      <c r="E109" t="s">
        <v>117</v>
      </c>
      <c r="F109" t="s">
        <v>1268</v>
      </c>
      <c r="G109" t="s">
        <v>1755</v>
      </c>
      <c r="I109" t="str">
        <f>CONCATENATE(Inbound___Outbound_Shifting[[#This Row],[Batch '#]],"-",Inbound___Outbound_Shifting[[#This Row],[Exp '# or Key]])</f>
        <v>--</v>
      </c>
      <c r="J109" t="s">
        <v>1755</v>
      </c>
      <c r="K109">
        <v>1</v>
      </c>
      <c r="L109" t="s">
        <v>117</v>
      </c>
      <c r="M109" t="s">
        <v>1755</v>
      </c>
      <c r="N109" t="s">
        <v>1755</v>
      </c>
      <c r="O109" t="s">
        <v>1755</v>
      </c>
      <c r="P109" t="s">
        <v>1755</v>
      </c>
      <c r="Q109" t="s">
        <v>1755</v>
      </c>
      <c r="R109" t="s">
        <v>1755</v>
      </c>
      <c r="S109" t="s">
        <v>1755</v>
      </c>
      <c r="T109" t="s">
        <v>1755</v>
      </c>
      <c r="U109" t="s">
        <v>1755</v>
      </c>
      <c r="V109" t="s">
        <v>1755</v>
      </c>
      <c r="W109">
        <v>1000</v>
      </c>
      <c r="X109" t="s">
        <v>1755</v>
      </c>
      <c r="Y109">
        <v>46066</v>
      </c>
      <c r="Z109">
        <v>46063</v>
      </c>
      <c r="AA109" t="s">
        <v>1755</v>
      </c>
      <c r="AB109">
        <v>3</v>
      </c>
      <c r="AC109" t="s">
        <v>1755</v>
      </c>
      <c r="AE109">
        <v>0</v>
      </c>
      <c r="AF109" t="s">
        <v>1755</v>
      </c>
      <c r="AI109" t="s">
        <v>1755</v>
      </c>
      <c r="AJ109" t="s">
        <v>1755</v>
      </c>
      <c r="AK109" t="s">
        <v>1755</v>
      </c>
      <c r="AL109" t="s">
        <v>1755</v>
      </c>
      <c r="AM109" t="s">
        <v>1755</v>
      </c>
      <c r="AO109">
        <v>0</v>
      </c>
    </row>
    <row r="110" spans="1:46" x14ac:dyDescent="0.25">
      <c r="A110" t="s">
        <v>6329</v>
      </c>
      <c r="B110" s="19">
        <v>46064</v>
      </c>
      <c r="C110" t="s">
        <v>1309</v>
      </c>
      <c r="D110" t="s">
        <v>1596</v>
      </c>
      <c r="E110" t="s">
        <v>117</v>
      </c>
      <c r="F110" t="s">
        <v>1310</v>
      </c>
      <c r="G110" t="s">
        <v>1755</v>
      </c>
      <c r="I110" t="str">
        <f>CONCATENATE(Inbound___Outbound_Shifting[[#This Row],[Batch '#]],"-",Inbound___Outbound_Shifting[[#This Row],[Exp '# or Key]])</f>
        <v>--</v>
      </c>
      <c r="J110" t="s">
        <v>1755</v>
      </c>
      <c r="K110">
        <v>1</v>
      </c>
      <c r="L110" t="s">
        <v>117</v>
      </c>
      <c r="M110" t="s">
        <v>6471</v>
      </c>
      <c r="N110" t="s">
        <v>1755</v>
      </c>
      <c r="O110" t="s">
        <v>1755</v>
      </c>
      <c r="P110" t="s">
        <v>6495</v>
      </c>
      <c r="Q110" t="s">
        <v>1311</v>
      </c>
      <c r="R110" t="s">
        <v>6465</v>
      </c>
      <c r="S110" t="s">
        <v>1755</v>
      </c>
      <c r="T110" t="s">
        <v>1755</v>
      </c>
      <c r="U110" t="s">
        <v>1755</v>
      </c>
      <c r="V110" t="s">
        <v>1755</v>
      </c>
      <c r="W110">
        <v>10000</v>
      </c>
      <c r="X110">
        <v>10000</v>
      </c>
      <c r="Y110">
        <v>46064</v>
      </c>
      <c r="Z110">
        <v>46064</v>
      </c>
      <c r="AA110" t="s">
        <v>1755</v>
      </c>
      <c r="AB110">
        <v>0</v>
      </c>
      <c r="AC110" t="s">
        <v>1755</v>
      </c>
      <c r="AD110">
        <v>75000</v>
      </c>
      <c r="AE110">
        <v>0</v>
      </c>
      <c r="AF110" t="s">
        <v>1755</v>
      </c>
      <c r="AI110" t="s">
        <v>6369</v>
      </c>
      <c r="AJ110" t="s">
        <v>47</v>
      </c>
      <c r="AK110" t="s">
        <v>6335</v>
      </c>
      <c r="AL110" t="s">
        <v>6335</v>
      </c>
      <c r="AM110" t="s">
        <v>6335</v>
      </c>
      <c r="AO110">
        <v>-75000</v>
      </c>
      <c r="AP110">
        <v>1</v>
      </c>
      <c r="AQ110">
        <v>0</v>
      </c>
      <c r="AR110" t="s">
        <v>47</v>
      </c>
      <c r="AT110" t="s">
        <v>47</v>
      </c>
    </row>
    <row r="111" spans="1:46" x14ac:dyDescent="0.25">
      <c r="A111" t="s">
        <v>6300</v>
      </c>
      <c r="B111" s="19">
        <v>46065</v>
      </c>
      <c r="C111" t="s">
        <v>6496</v>
      </c>
      <c r="D111" t="s">
        <v>6302</v>
      </c>
      <c r="E111" t="s">
        <v>1268</v>
      </c>
      <c r="F111" t="s">
        <v>1371</v>
      </c>
      <c r="G111" t="s">
        <v>1755</v>
      </c>
      <c r="I111" t="str">
        <f>CONCATENATE(Inbound___Outbound_Shifting[[#This Row],[Batch '#]],"-",Inbound___Outbound_Shifting[[#This Row],[Exp '# or Key]])</f>
        <v>--</v>
      </c>
      <c r="J111" t="s">
        <v>6497</v>
      </c>
      <c r="K111" t="s">
        <v>6395</v>
      </c>
      <c r="L111" t="s">
        <v>1755</v>
      </c>
      <c r="M111" t="s">
        <v>1755</v>
      </c>
      <c r="N111" t="s">
        <v>1755</v>
      </c>
      <c r="O111" t="s">
        <v>430</v>
      </c>
      <c r="P111" t="s">
        <v>6498</v>
      </c>
      <c r="Q111" t="s">
        <v>6499</v>
      </c>
      <c r="R111" t="s">
        <v>6465</v>
      </c>
      <c r="S111" t="s">
        <v>1755</v>
      </c>
      <c r="T111" t="s">
        <v>6500</v>
      </c>
      <c r="U111" t="s">
        <v>1755</v>
      </c>
      <c r="V111" t="s">
        <v>1755</v>
      </c>
      <c r="W111">
        <v>19874</v>
      </c>
      <c r="X111">
        <v>22054</v>
      </c>
      <c r="Y111">
        <v>46068</v>
      </c>
      <c r="Z111" t="s">
        <v>1755</v>
      </c>
      <c r="AA111" t="s">
        <v>1755</v>
      </c>
      <c r="AB111">
        <v>3</v>
      </c>
      <c r="AC111">
        <v>245600</v>
      </c>
      <c r="AD111">
        <v>330810</v>
      </c>
      <c r="AE111">
        <v>85210</v>
      </c>
      <c r="AF111" t="s">
        <v>1755</v>
      </c>
      <c r="AG111">
        <v>11.136301804661286</v>
      </c>
      <c r="AH111">
        <v>201.47662018047581</v>
      </c>
      <c r="AI111" t="s">
        <v>6308</v>
      </c>
      <c r="AJ111" t="s">
        <v>47</v>
      </c>
      <c r="AK111" t="s">
        <v>107</v>
      </c>
      <c r="AL111" t="s">
        <v>107</v>
      </c>
      <c r="AM111" t="s">
        <v>107</v>
      </c>
      <c r="AO111">
        <v>-85210</v>
      </c>
      <c r="AP111">
        <v>0.25757987968924762</v>
      </c>
      <c r="AQ111">
        <v>11.136301804661286</v>
      </c>
      <c r="AR111" t="s">
        <v>47</v>
      </c>
      <c r="AT111" t="s">
        <v>47</v>
      </c>
    </row>
    <row r="112" spans="1:46" x14ac:dyDescent="0.25">
      <c r="A112" t="s">
        <v>6329</v>
      </c>
      <c r="B112" s="19">
        <v>46065</v>
      </c>
      <c r="C112" t="s">
        <v>1755</v>
      </c>
      <c r="D112" t="s">
        <v>6462</v>
      </c>
      <c r="E112" t="s">
        <v>6502</v>
      </c>
      <c r="F112" t="s">
        <v>6501</v>
      </c>
      <c r="G112" t="s">
        <v>1755</v>
      </c>
      <c r="I112" t="str">
        <f>CONCATENATE(Inbound___Outbound_Shifting[[#This Row],[Batch '#]],"-",Inbound___Outbound_Shifting[[#This Row],[Exp '# or Key]])</f>
        <v>--</v>
      </c>
      <c r="J112" t="s">
        <v>1755</v>
      </c>
      <c r="K112">
        <v>1</v>
      </c>
      <c r="L112" t="s">
        <v>6502</v>
      </c>
      <c r="M112" t="s">
        <v>6384</v>
      </c>
      <c r="N112" t="s">
        <v>1755</v>
      </c>
      <c r="O112" t="s">
        <v>104</v>
      </c>
      <c r="P112" t="s">
        <v>6503</v>
      </c>
      <c r="Q112" t="s">
        <v>6504</v>
      </c>
      <c r="R112" t="s">
        <v>6333</v>
      </c>
      <c r="S112" t="s">
        <v>1755</v>
      </c>
      <c r="T112" t="s">
        <v>1755</v>
      </c>
      <c r="U112" t="s">
        <v>1755</v>
      </c>
      <c r="V112" t="s">
        <v>1755</v>
      </c>
      <c r="W112">
        <v>2000</v>
      </c>
      <c r="X112" t="s">
        <v>1755</v>
      </c>
      <c r="Y112">
        <v>46065</v>
      </c>
      <c r="Z112">
        <v>46065</v>
      </c>
      <c r="AA112" t="s">
        <v>1755</v>
      </c>
      <c r="AB112">
        <v>0</v>
      </c>
      <c r="AC112">
        <v>15000</v>
      </c>
      <c r="AE112">
        <v>0</v>
      </c>
      <c r="AF112" t="s">
        <v>1755</v>
      </c>
      <c r="AI112" t="s">
        <v>6308</v>
      </c>
      <c r="AJ112" t="s">
        <v>47</v>
      </c>
      <c r="AK112" t="s">
        <v>107</v>
      </c>
      <c r="AL112" t="s">
        <v>107</v>
      </c>
      <c r="AM112" t="s">
        <v>107</v>
      </c>
      <c r="AO112">
        <v>15000</v>
      </c>
      <c r="AR112" t="s">
        <v>47</v>
      </c>
      <c r="AT112" t="s">
        <v>47</v>
      </c>
    </row>
    <row r="113" spans="1:46" x14ac:dyDescent="0.25">
      <c r="A113" t="s">
        <v>6329</v>
      </c>
      <c r="B113" s="19">
        <v>46065</v>
      </c>
      <c r="C113" t="s">
        <v>1562</v>
      </c>
      <c r="D113" t="s">
        <v>1596</v>
      </c>
      <c r="E113" t="s">
        <v>117</v>
      </c>
      <c r="F113" t="s">
        <v>1563</v>
      </c>
      <c r="G113" t="s">
        <v>1755</v>
      </c>
      <c r="I113" t="str">
        <f>CONCATENATE(Inbound___Outbound_Shifting[[#This Row],[Batch '#]],"-",Inbound___Outbound_Shifting[[#This Row],[Exp '# or Key]])</f>
        <v>--</v>
      </c>
      <c r="J113" t="s">
        <v>1755</v>
      </c>
      <c r="K113">
        <v>1</v>
      </c>
      <c r="L113" t="s">
        <v>117</v>
      </c>
      <c r="M113" t="s">
        <v>6384</v>
      </c>
      <c r="N113" t="s">
        <v>1755</v>
      </c>
      <c r="O113" t="s">
        <v>455</v>
      </c>
      <c r="P113" t="s">
        <v>6505</v>
      </c>
      <c r="Q113" t="s">
        <v>1564</v>
      </c>
      <c r="R113" t="s">
        <v>6441</v>
      </c>
      <c r="S113" t="s">
        <v>1755</v>
      </c>
      <c r="T113" t="s">
        <v>1755</v>
      </c>
      <c r="U113" t="s">
        <v>1755</v>
      </c>
      <c r="V113" t="s">
        <v>1755</v>
      </c>
      <c r="W113">
        <v>600</v>
      </c>
      <c r="X113">
        <v>600</v>
      </c>
      <c r="Y113">
        <v>46065</v>
      </c>
      <c r="Z113">
        <v>46065</v>
      </c>
      <c r="AA113" t="s">
        <v>1755</v>
      </c>
      <c r="AB113">
        <v>0</v>
      </c>
      <c r="AC113">
        <v>27000</v>
      </c>
      <c r="AD113">
        <v>4500</v>
      </c>
      <c r="AE113">
        <v>-22500</v>
      </c>
      <c r="AF113" t="s">
        <v>1755</v>
      </c>
      <c r="AG113">
        <v>45</v>
      </c>
      <c r="AI113" t="s">
        <v>6308</v>
      </c>
      <c r="AJ113" t="s">
        <v>47</v>
      </c>
      <c r="AK113" t="s">
        <v>107</v>
      </c>
      <c r="AL113" t="s">
        <v>107</v>
      </c>
      <c r="AM113" t="s">
        <v>107</v>
      </c>
      <c r="AO113">
        <v>22500</v>
      </c>
      <c r="AP113">
        <v>-5</v>
      </c>
      <c r="AQ113">
        <v>45</v>
      </c>
      <c r="AR113" t="s">
        <v>47</v>
      </c>
      <c r="AT113" t="s">
        <v>47</v>
      </c>
    </row>
    <row r="114" spans="1:46" x14ac:dyDescent="0.25">
      <c r="A114" t="s">
        <v>6329</v>
      </c>
      <c r="B114" s="19">
        <v>46065</v>
      </c>
      <c r="C114" t="s">
        <v>1499</v>
      </c>
      <c r="D114" t="s">
        <v>1600</v>
      </c>
      <c r="E114" t="s">
        <v>4792</v>
      </c>
      <c r="F114" t="s">
        <v>1297</v>
      </c>
      <c r="G114" t="s">
        <v>1755</v>
      </c>
      <c r="I114" t="str">
        <f>CONCATENATE(Inbound___Outbound_Shifting[[#This Row],[Batch '#]],"-",Inbound___Outbound_Shifting[[#This Row],[Exp '# or Key]])</f>
        <v>--</v>
      </c>
      <c r="J114" t="s">
        <v>1755</v>
      </c>
      <c r="K114">
        <v>7</v>
      </c>
      <c r="L114" t="s">
        <v>4792</v>
      </c>
      <c r="M114" t="s">
        <v>6364</v>
      </c>
      <c r="N114" t="s">
        <v>1755</v>
      </c>
      <c r="O114" t="s">
        <v>455</v>
      </c>
      <c r="P114" t="s">
        <v>6506</v>
      </c>
      <c r="Q114" t="s">
        <v>1500</v>
      </c>
      <c r="R114" t="s">
        <v>6307</v>
      </c>
      <c r="S114" t="s">
        <v>1755</v>
      </c>
      <c r="T114" t="s">
        <v>1755</v>
      </c>
      <c r="U114" t="s">
        <v>1755</v>
      </c>
      <c r="V114" t="s">
        <v>1755</v>
      </c>
      <c r="W114">
        <v>5500</v>
      </c>
      <c r="X114">
        <v>13000</v>
      </c>
      <c r="Y114">
        <v>46065</v>
      </c>
      <c r="Z114">
        <v>46065</v>
      </c>
      <c r="AA114" t="s">
        <v>1755</v>
      </c>
      <c r="AB114">
        <v>0</v>
      </c>
      <c r="AC114">
        <v>140000</v>
      </c>
      <c r="AD114">
        <v>97500</v>
      </c>
      <c r="AE114">
        <v>-42500</v>
      </c>
      <c r="AF114" t="s">
        <v>1755</v>
      </c>
      <c r="AG114">
        <v>10.76923076923077</v>
      </c>
      <c r="AI114" t="s">
        <v>6308</v>
      </c>
      <c r="AJ114" t="s">
        <v>47</v>
      </c>
      <c r="AK114" t="s">
        <v>107</v>
      </c>
      <c r="AL114" t="s">
        <v>107</v>
      </c>
      <c r="AM114" t="s">
        <v>107</v>
      </c>
      <c r="AO114">
        <v>42500</v>
      </c>
      <c r="AP114">
        <v>-0.4358974358974359</v>
      </c>
      <c r="AQ114">
        <v>10.76923076923077</v>
      </c>
      <c r="AR114" t="s">
        <v>47</v>
      </c>
      <c r="AT114" t="s">
        <v>47</v>
      </c>
    </row>
    <row r="115" spans="1:46" x14ac:dyDescent="0.25">
      <c r="A115" t="s">
        <v>1755</v>
      </c>
      <c r="B115" s="19">
        <v>46065</v>
      </c>
      <c r="C115" t="s">
        <v>1284</v>
      </c>
      <c r="D115" t="s">
        <v>1600</v>
      </c>
      <c r="E115" t="s">
        <v>4792</v>
      </c>
      <c r="F115" t="s">
        <v>1270</v>
      </c>
      <c r="G115" t="s">
        <v>1755</v>
      </c>
      <c r="I115" t="str">
        <f>CONCATENATE(Inbound___Outbound_Shifting[[#This Row],[Batch '#]],"-",Inbound___Outbound_Shifting[[#This Row],[Exp '# or Key]])</f>
        <v>--</v>
      </c>
      <c r="J115" t="s">
        <v>1755</v>
      </c>
      <c r="K115">
        <v>2</v>
      </c>
      <c r="L115" t="s">
        <v>4792</v>
      </c>
      <c r="M115" t="s">
        <v>1755</v>
      </c>
      <c r="N115" t="s">
        <v>1755</v>
      </c>
      <c r="O115" t="s">
        <v>1755</v>
      </c>
      <c r="P115" t="s">
        <v>1755</v>
      </c>
      <c r="Q115" t="s">
        <v>1755</v>
      </c>
      <c r="R115" t="s">
        <v>1755</v>
      </c>
      <c r="S115" t="s">
        <v>1755</v>
      </c>
      <c r="T115" t="s">
        <v>1755</v>
      </c>
      <c r="U115" t="s">
        <v>1755</v>
      </c>
      <c r="V115" t="s">
        <v>1755</v>
      </c>
      <c r="W115">
        <v>500</v>
      </c>
      <c r="X115" t="s">
        <v>1755</v>
      </c>
      <c r="Y115">
        <v>46065</v>
      </c>
      <c r="Z115">
        <v>46065</v>
      </c>
      <c r="AA115" t="s">
        <v>1755</v>
      </c>
      <c r="AB115">
        <v>0</v>
      </c>
      <c r="AC115" t="s">
        <v>1755</v>
      </c>
      <c r="AE115">
        <v>0</v>
      </c>
      <c r="AF115" t="s">
        <v>1755</v>
      </c>
      <c r="AI115" t="s">
        <v>1755</v>
      </c>
      <c r="AJ115" t="s">
        <v>1755</v>
      </c>
      <c r="AK115" t="s">
        <v>1755</v>
      </c>
      <c r="AL115" t="s">
        <v>1755</v>
      </c>
      <c r="AM115" t="s">
        <v>1755</v>
      </c>
      <c r="AO115">
        <v>0</v>
      </c>
    </row>
    <row r="116" spans="1:46" x14ac:dyDescent="0.25">
      <c r="A116" t="s">
        <v>1755</v>
      </c>
      <c r="B116" s="19">
        <v>46065</v>
      </c>
      <c r="C116" t="s">
        <v>715</v>
      </c>
      <c r="D116" t="s">
        <v>6330</v>
      </c>
      <c r="E116" t="s">
        <v>117</v>
      </c>
      <c r="F116" t="s">
        <v>702</v>
      </c>
      <c r="G116" t="s">
        <v>1755</v>
      </c>
      <c r="I116" t="str">
        <f>CONCATENATE(Inbound___Outbound_Shifting[[#This Row],[Batch '#]],"-",Inbound___Outbound_Shifting[[#This Row],[Exp '# or Key]])</f>
        <v>--</v>
      </c>
      <c r="J116" t="s">
        <v>1755</v>
      </c>
      <c r="K116">
        <v>3</v>
      </c>
      <c r="L116" t="s">
        <v>117</v>
      </c>
      <c r="M116" t="s">
        <v>1755</v>
      </c>
      <c r="N116" t="s">
        <v>1755</v>
      </c>
      <c r="O116" t="s">
        <v>1755</v>
      </c>
      <c r="P116" t="s">
        <v>1755</v>
      </c>
      <c r="Q116" t="s">
        <v>1755</v>
      </c>
      <c r="R116" t="s">
        <v>1755</v>
      </c>
      <c r="S116" t="s">
        <v>1755</v>
      </c>
      <c r="T116" t="s">
        <v>1755</v>
      </c>
      <c r="U116" t="s">
        <v>1755</v>
      </c>
      <c r="V116" t="s">
        <v>1755</v>
      </c>
      <c r="W116">
        <v>2000</v>
      </c>
      <c r="X116" t="s">
        <v>1755</v>
      </c>
      <c r="Y116">
        <v>46065</v>
      </c>
      <c r="Z116">
        <v>46065</v>
      </c>
      <c r="AA116" t="s">
        <v>1755</v>
      </c>
      <c r="AB116">
        <v>0</v>
      </c>
      <c r="AC116" t="s">
        <v>1755</v>
      </c>
      <c r="AE116">
        <v>0</v>
      </c>
      <c r="AF116" t="s">
        <v>1755</v>
      </c>
      <c r="AI116" t="s">
        <v>1755</v>
      </c>
      <c r="AJ116" t="s">
        <v>1755</v>
      </c>
      <c r="AK116" t="s">
        <v>1755</v>
      </c>
      <c r="AL116" t="s">
        <v>1755</v>
      </c>
      <c r="AM116" t="s">
        <v>1755</v>
      </c>
      <c r="AO116">
        <v>0</v>
      </c>
    </row>
    <row r="117" spans="1:46" x14ac:dyDescent="0.25">
      <c r="A117" t="s">
        <v>1755</v>
      </c>
      <c r="B117" s="19">
        <v>46065</v>
      </c>
      <c r="C117" t="s">
        <v>701</v>
      </c>
      <c r="D117" t="s">
        <v>6330</v>
      </c>
      <c r="E117" t="s">
        <v>117</v>
      </c>
      <c r="F117" t="s">
        <v>1755</v>
      </c>
      <c r="G117" t="s">
        <v>1755</v>
      </c>
      <c r="I117" t="str">
        <f>CONCATENATE(Inbound___Outbound_Shifting[[#This Row],[Batch '#]],"-",Inbound___Outbound_Shifting[[#This Row],[Exp '# or Key]])</f>
        <v>--</v>
      </c>
      <c r="J117" t="s">
        <v>1755</v>
      </c>
      <c r="K117">
        <v>2</v>
      </c>
      <c r="L117" t="s">
        <v>117</v>
      </c>
      <c r="M117" t="s">
        <v>1755</v>
      </c>
      <c r="N117" t="s">
        <v>1755</v>
      </c>
      <c r="O117" t="s">
        <v>1755</v>
      </c>
      <c r="P117" t="s">
        <v>1755</v>
      </c>
      <c r="Q117" t="s">
        <v>1755</v>
      </c>
      <c r="R117" t="s">
        <v>1755</v>
      </c>
      <c r="S117" t="s">
        <v>1755</v>
      </c>
      <c r="T117" t="s">
        <v>1755</v>
      </c>
      <c r="U117" t="s">
        <v>1755</v>
      </c>
      <c r="V117" t="s">
        <v>1755</v>
      </c>
      <c r="W117">
        <v>2000</v>
      </c>
      <c r="X117" t="s">
        <v>1755</v>
      </c>
      <c r="Y117">
        <v>46065</v>
      </c>
      <c r="Z117">
        <v>46065</v>
      </c>
      <c r="AA117" t="s">
        <v>1755</v>
      </c>
      <c r="AB117">
        <v>0</v>
      </c>
      <c r="AC117" t="s">
        <v>1755</v>
      </c>
      <c r="AE117">
        <v>0</v>
      </c>
      <c r="AF117" t="s">
        <v>1755</v>
      </c>
      <c r="AI117" t="s">
        <v>1755</v>
      </c>
      <c r="AJ117" t="s">
        <v>1755</v>
      </c>
      <c r="AK117" t="s">
        <v>1755</v>
      </c>
      <c r="AL117" t="s">
        <v>1755</v>
      </c>
      <c r="AM117" t="s">
        <v>1755</v>
      </c>
      <c r="AO117">
        <v>0</v>
      </c>
    </row>
    <row r="118" spans="1:46" x14ac:dyDescent="0.25">
      <c r="A118" t="s">
        <v>1755</v>
      </c>
      <c r="B118" s="19">
        <v>46065</v>
      </c>
      <c r="C118" t="s">
        <v>1280</v>
      </c>
      <c r="D118" t="s">
        <v>1602</v>
      </c>
      <c r="E118" t="s">
        <v>117</v>
      </c>
      <c r="F118" t="s">
        <v>1281</v>
      </c>
      <c r="G118" t="s">
        <v>1755</v>
      </c>
      <c r="I118" t="str">
        <f>CONCATENATE(Inbound___Outbound_Shifting[[#This Row],[Batch '#]],"-",Inbound___Outbound_Shifting[[#This Row],[Exp '# or Key]])</f>
        <v>--</v>
      </c>
      <c r="J118" t="s">
        <v>1755</v>
      </c>
      <c r="K118">
        <v>6</v>
      </c>
      <c r="L118" t="s">
        <v>117</v>
      </c>
      <c r="M118" t="s">
        <v>1755</v>
      </c>
      <c r="N118" t="s">
        <v>1755</v>
      </c>
      <c r="O118" t="s">
        <v>1755</v>
      </c>
      <c r="P118" t="s">
        <v>1755</v>
      </c>
      <c r="Q118" t="s">
        <v>1755</v>
      </c>
      <c r="R118" t="s">
        <v>1755</v>
      </c>
      <c r="S118" t="s">
        <v>1755</v>
      </c>
      <c r="T118" t="s">
        <v>1755</v>
      </c>
      <c r="U118" t="s">
        <v>1755</v>
      </c>
      <c r="V118" t="s">
        <v>1755</v>
      </c>
      <c r="W118">
        <v>3000</v>
      </c>
      <c r="X118" t="s">
        <v>1755</v>
      </c>
      <c r="Y118">
        <v>46065</v>
      </c>
      <c r="Z118">
        <v>46065</v>
      </c>
      <c r="AA118" t="s">
        <v>1755</v>
      </c>
      <c r="AB118">
        <v>0</v>
      </c>
      <c r="AC118" t="s">
        <v>1755</v>
      </c>
      <c r="AE118">
        <v>0</v>
      </c>
      <c r="AF118" t="s">
        <v>1755</v>
      </c>
      <c r="AI118" t="s">
        <v>1755</v>
      </c>
      <c r="AJ118" t="s">
        <v>1755</v>
      </c>
      <c r="AK118" t="s">
        <v>1755</v>
      </c>
      <c r="AL118" t="s">
        <v>1755</v>
      </c>
      <c r="AM118" t="s">
        <v>1755</v>
      </c>
      <c r="AO118">
        <v>0</v>
      </c>
    </row>
    <row r="119" spans="1:46" x14ac:dyDescent="0.25">
      <c r="A119" t="s">
        <v>6329</v>
      </c>
      <c r="B119" s="19">
        <v>46065</v>
      </c>
      <c r="C119" t="s">
        <v>1479</v>
      </c>
      <c r="D119" t="s">
        <v>1600</v>
      </c>
      <c r="E119" t="s">
        <v>366</v>
      </c>
      <c r="F119" t="s">
        <v>1259</v>
      </c>
      <c r="G119" t="s">
        <v>1755</v>
      </c>
      <c r="I119" t="str">
        <f>CONCATENATE(Inbound___Outbound_Shifting[[#This Row],[Batch '#]],"-",Inbound___Outbound_Shifting[[#This Row],[Exp '# or Key]])</f>
        <v>--</v>
      </c>
      <c r="J119" t="s">
        <v>1755</v>
      </c>
      <c r="K119">
        <v>2</v>
      </c>
      <c r="L119" t="s">
        <v>366</v>
      </c>
      <c r="M119" t="s">
        <v>6507</v>
      </c>
      <c r="N119" t="s">
        <v>1755</v>
      </c>
      <c r="O119" t="s">
        <v>1480</v>
      </c>
      <c r="P119" t="s">
        <v>1755</v>
      </c>
      <c r="Q119" t="s">
        <v>1755</v>
      </c>
      <c r="R119" t="s">
        <v>1755</v>
      </c>
      <c r="S119" t="s">
        <v>1755</v>
      </c>
      <c r="T119" t="s">
        <v>1755</v>
      </c>
      <c r="U119" t="s">
        <v>1755</v>
      </c>
      <c r="V119" t="s">
        <v>1755</v>
      </c>
      <c r="W119">
        <v>3000</v>
      </c>
      <c r="X119" t="s">
        <v>1755</v>
      </c>
      <c r="Y119">
        <v>46065</v>
      </c>
      <c r="Z119">
        <v>46065</v>
      </c>
      <c r="AA119" t="s">
        <v>1755</v>
      </c>
      <c r="AB119">
        <v>0</v>
      </c>
      <c r="AC119">
        <v>20000</v>
      </c>
      <c r="AE119">
        <v>0</v>
      </c>
      <c r="AF119" t="s">
        <v>1755</v>
      </c>
      <c r="AI119" t="s">
        <v>6308</v>
      </c>
      <c r="AJ119" t="s">
        <v>47</v>
      </c>
      <c r="AK119" t="s">
        <v>1755</v>
      </c>
      <c r="AL119" t="s">
        <v>1755</v>
      </c>
      <c r="AM119" t="s">
        <v>1755</v>
      </c>
      <c r="AO119">
        <v>20000</v>
      </c>
      <c r="AR119" t="s">
        <v>47</v>
      </c>
      <c r="AT119" t="s">
        <v>47</v>
      </c>
    </row>
    <row r="120" spans="1:46" x14ac:dyDescent="0.25">
      <c r="A120" t="s">
        <v>6329</v>
      </c>
      <c r="B120" s="19">
        <v>46065</v>
      </c>
      <c r="C120" t="s">
        <v>1543</v>
      </c>
      <c r="D120" t="s">
        <v>1596</v>
      </c>
      <c r="E120" t="s">
        <v>366</v>
      </c>
      <c r="F120" t="s">
        <v>1544</v>
      </c>
      <c r="G120" t="s">
        <v>1755</v>
      </c>
      <c r="I120" t="str">
        <f>CONCATENATE(Inbound___Outbound_Shifting[[#This Row],[Batch '#]],"-",Inbound___Outbound_Shifting[[#This Row],[Exp '# or Key]])</f>
        <v>--</v>
      </c>
      <c r="J120" t="s">
        <v>1755</v>
      </c>
      <c r="K120">
        <v>6</v>
      </c>
      <c r="L120" t="s">
        <v>366</v>
      </c>
      <c r="M120" t="s">
        <v>6508</v>
      </c>
      <c r="N120" t="s">
        <v>1755</v>
      </c>
      <c r="O120" t="s">
        <v>1480</v>
      </c>
      <c r="P120" t="s">
        <v>1755</v>
      </c>
      <c r="Q120" t="s">
        <v>1755</v>
      </c>
      <c r="R120" t="s">
        <v>1755</v>
      </c>
      <c r="S120" t="s">
        <v>1755</v>
      </c>
      <c r="T120" t="s">
        <v>1755</v>
      </c>
      <c r="U120" t="s">
        <v>1755</v>
      </c>
      <c r="V120" t="s">
        <v>1755</v>
      </c>
      <c r="W120">
        <v>30000</v>
      </c>
      <c r="X120">
        <v>400</v>
      </c>
      <c r="Y120">
        <v>46065</v>
      </c>
      <c r="Z120">
        <v>46065</v>
      </c>
      <c r="AA120" t="s">
        <v>1755</v>
      </c>
      <c r="AB120">
        <v>0</v>
      </c>
      <c r="AC120" t="s">
        <v>1755</v>
      </c>
      <c r="AD120">
        <v>3000</v>
      </c>
      <c r="AE120">
        <v>0</v>
      </c>
      <c r="AF120" t="s">
        <v>1755</v>
      </c>
      <c r="AI120" t="s">
        <v>6334</v>
      </c>
      <c r="AJ120" t="s">
        <v>47</v>
      </c>
      <c r="AK120" t="s">
        <v>6335</v>
      </c>
      <c r="AL120" t="s">
        <v>6335</v>
      </c>
      <c r="AM120" t="s">
        <v>6335</v>
      </c>
      <c r="AO120">
        <v>-3000</v>
      </c>
      <c r="AP120">
        <v>1</v>
      </c>
      <c r="AQ120">
        <v>0</v>
      </c>
      <c r="AR120" t="s">
        <v>47</v>
      </c>
      <c r="AT120" t="s">
        <v>47</v>
      </c>
    </row>
    <row r="121" spans="1:46" x14ac:dyDescent="0.25">
      <c r="A121" t="s">
        <v>6300</v>
      </c>
      <c r="B121" s="19">
        <v>46070</v>
      </c>
      <c r="C121" t="s">
        <v>6509</v>
      </c>
      <c r="D121" t="s">
        <v>6302</v>
      </c>
      <c r="E121" t="s">
        <v>1268</v>
      </c>
      <c r="F121" t="s">
        <v>1371</v>
      </c>
      <c r="G121" t="s">
        <v>1755</v>
      </c>
      <c r="I121" t="str">
        <f>CONCATENATE(Inbound___Outbound_Shifting[[#This Row],[Batch '#]],"-",Inbound___Outbound_Shifting[[#This Row],[Exp '# or Key]])</f>
        <v>--</v>
      </c>
      <c r="J121" t="s">
        <v>6510</v>
      </c>
      <c r="K121" t="s">
        <v>6434</v>
      </c>
      <c r="L121" t="s">
        <v>1755</v>
      </c>
      <c r="M121" t="s">
        <v>1755</v>
      </c>
      <c r="N121" t="s">
        <v>1755</v>
      </c>
      <c r="O121" t="s">
        <v>6511</v>
      </c>
      <c r="P121" t="s">
        <v>6512</v>
      </c>
      <c r="Q121" t="s">
        <v>6513</v>
      </c>
      <c r="R121" t="s">
        <v>6307</v>
      </c>
      <c r="S121">
        <v>1</v>
      </c>
      <c r="T121" t="s">
        <v>1755</v>
      </c>
      <c r="U121" t="s">
        <v>1755</v>
      </c>
      <c r="V121" t="s">
        <v>1755</v>
      </c>
      <c r="W121">
        <v>41320</v>
      </c>
      <c r="X121">
        <v>41320</v>
      </c>
      <c r="Y121">
        <v>46073</v>
      </c>
      <c r="Z121" t="s">
        <v>1755</v>
      </c>
      <c r="AA121" t="s">
        <v>1755</v>
      </c>
      <c r="AB121">
        <v>3</v>
      </c>
      <c r="AC121">
        <v>475180</v>
      </c>
      <c r="AD121">
        <v>619800</v>
      </c>
      <c r="AE121">
        <v>144620</v>
      </c>
      <c r="AF121" t="s">
        <v>1755</v>
      </c>
      <c r="AG121">
        <v>11.5</v>
      </c>
      <c r="AH121">
        <v>389.81132075471697</v>
      </c>
      <c r="AI121" t="s">
        <v>6308</v>
      </c>
      <c r="AJ121" t="s">
        <v>47</v>
      </c>
      <c r="AK121" t="s">
        <v>107</v>
      </c>
      <c r="AL121" t="s">
        <v>107</v>
      </c>
      <c r="AM121" t="s">
        <v>107</v>
      </c>
      <c r="AO121">
        <v>-144620</v>
      </c>
      <c r="AP121">
        <v>0.23333333333333334</v>
      </c>
      <c r="AQ121">
        <v>11.5</v>
      </c>
      <c r="AR121" t="s">
        <v>47</v>
      </c>
      <c r="AT121" t="s">
        <v>47</v>
      </c>
    </row>
    <row r="122" spans="1:46" x14ac:dyDescent="0.25">
      <c r="A122" t="s">
        <v>6300</v>
      </c>
      <c r="B122" s="19">
        <v>46070</v>
      </c>
      <c r="C122" t="s">
        <v>6509</v>
      </c>
      <c r="D122" t="s">
        <v>6302</v>
      </c>
      <c r="E122" t="s">
        <v>1268</v>
      </c>
      <c r="F122" t="s">
        <v>1371</v>
      </c>
      <c r="G122" t="s">
        <v>1755</v>
      </c>
      <c r="I122" t="str">
        <f>CONCATENATE(Inbound___Outbound_Shifting[[#This Row],[Batch '#]],"-",Inbound___Outbound_Shifting[[#This Row],[Exp '# or Key]])</f>
        <v>--</v>
      </c>
      <c r="J122" t="s">
        <v>6510</v>
      </c>
      <c r="K122" t="s">
        <v>6434</v>
      </c>
      <c r="L122" t="s">
        <v>1755</v>
      </c>
      <c r="M122" t="s">
        <v>1755</v>
      </c>
      <c r="N122" t="s">
        <v>1755</v>
      </c>
      <c r="O122" t="s">
        <v>6511</v>
      </c>
      <c r="P122" t="s">
        <v>6514</v>
      </c>
      <c r="Q122" t="s">
        <v>6515</v>
      </c>
      <c r="R122" t="s">
        <v>6307</v>
      </c>
      <c r="S122">
        <v>1</v>
      </c>
      <c r="T122" t="s">
        <v>1755</v>
      </c>
      <c r="U122" t="s">
        <v>1755</v>
      </c>
      <c r="V122" t="s">
        <v>1755</v>
      </c>
      <c r="W122">
        <v>42320</v>
      </c>
      <c r="X122">
        <v>42320</v>
      </c>
      <c r="Y122">
        <v>46073</v>
      </c>
      <c r="Z122" t="s">
        <v>1755</v>
      </c>
      <c r="AA122" t="s">
        <v>1755</v>
      </c>
      <c r="AB122">
        <v>3</v>
      </c>
      <c r="AC122">
        <v>486680</v>
      </c>
      <c r="AD122">
        <v>634800</v>
      </c>
      <c r="AE122">
        <v>148120</v>
      </c>
      <c r="AF122" t="s">
        <v>1755</v>
      </c>
      <c r="AG122">
        <v>11.5</v>
      </c>
      <c r="AH122">
        <v>399.24528301886795</v>
      </c>
      <c r="AI122" t="s">
        <v>6308</v>
      </c>
      <c r="AJ122" t="s">
        <v>47</v>
      </c>
      <c r="AK122" t="s">
        <v>107</v>
      </c>
      <c r="AL122" t="s">
        <v>107</v>
      </c>
      <c r="AM122" t="s">
        <v>107</v>
      </c>
      <c r="AO122">
        <v>-148120</v>
      </c>
      <c r="AP122">
        <v>0.23333333333333334</v>
      </c>
      <c r="AQ122">
        <v>11.5</v>
      </c>
      <c r="AR122" t="s">
        <v>47</v>
      </c>
      <c r="AT122" t="s">
        <v>47</v>
      </c>
    </row>
    <row r="123" spans="1:46" x14ac:dyDescent="0.25">
      <c r="A123" t="s">
        <v>1755</v>
      </c>
      <c r="B123" s="19">
        <v>46070</v>
      </c>
      <c r="C123" t="s">
        <v>6516</v>
      </c>
      <c r="D123" t="s">
        <v>6302</v>
      </c>
      <c r="E123" t="s">
        <v>1268</v>
      </c>
      <c r="F123" t="s">
        <v>1371</v>
      </c>
      <c r="G123" t="s">
        <v>1755</v>
      </c>
      <c r="I123" t="str">
        <f>CONCATENATE(Inbound___Outbound_Shifting[[#This Row],[Batch '#]],"-",Inbound___Outbound_Shifting[[#This Row],[Exp '# or Key]])</f>
        <v>--</v>
      </c>
      <c r="J123" t="s">
        <v>6517</v>
      </c>
      <c r="K123" t="s">
        <v>6518</v>
      </c>
      <c r="L123" t="s">
        <v>1755</v>
      </c>
      <c r="M123" t="s">
        <v>1755</v>
      </c>
      <c r="N123" t="s">
        <v>1755</v>
      </c>
      <c r="O123" t="s">
        <v>1755</v>
      </c>
      <c r="P123" t="s">
        <v>1755</v>
      </c>
      <c r="Q123" t="s">
        <v>1755</v>
      </c>
      <c r="R123" t="s">
        <v>1755</v>
      </c>
      <c r="S123" t="s">
        <v>1755</v>
      </c>
      <c r="T123" t="s">
        <v>1755</v>
      </c>
      <c r="U123" t="s">
        <v>1755</v>
      </c>
      <c r="V123" t="s">
        <v>1755</v>
      </c>
      <c r="W123" t="s">
        <v>1755</v>
      </c>
      <c r="X123" t="s">
        <v>1755</v>
      </c>
      <c r="Y123">
        <v>46073</v>
      </c>
      <c r="Z123" t="s">
        <v>1755</v>
      </c>
      <c r="AA123" t="s">
        <v>1755</v>
      </c>
      <c r="AB123">
        <v>3</v>
      </c>
      <c r="AC123">
        <v>0</v>
      </c>
      <c r="AE123">
        <v>0</v>
      </c>
      <c r="AF123" t="s">
        <v>1755</v>
      </c>
      <c r="AH123">
        <v>0</v>
      </c>
      <c r="AI123" t="s">
        <v>1755</v>
      </c>
      <c r="AJ123" t="s">
        <v>1755</v>
      </c>
      <c r="AK123" t="s">
        <v>1755</v>
      </c>
      <c r="AL123" t="s">
        <v>1755</v>
      </c>
      <c r="AM123" t="s">
        <v>1755</v>
      </c>
      <c r="AO123">
        <v>0</v>
      </c>
    </row>
    <row r="124" spans="1:46" x14ac:dyDescent="0.25">
      <c r="A124" t="s">
        <v>6300</v>
      </c>
      <c r="B124" s="19">
        <v>46070</v>
      </c>
      <c r="C124" t="s">
        <v>6509</v>
      </c>
      <c r="D124" t="s">
        <v>6302</v>
      </c>
      <c r="E124" t="s">
        <v>1268</v>
      </c>
      <c r="F124" t="s">
        <v>1371</v>
      </c>
      <c r="G124" t="s">
        <v>1755</v>
      </c>
      <c r="I124" t="str">
        <f>CONCATENATE(Inbound___Outbound_Shifting[[#This Row],[Batch '#]],"-",Inbound___Outbound_Shifting[[#This Row],[Exp '# or Key]])</f>
        <v>--</v>
      </c>
      <c r="J124" t="s">
        <v>6510</v>
      </c>
      <c r="K124" t="s">
        <v>6434</v>
      </c>
      <c r="L124" t="s">
        <v>1755</v>
      </c>
      <c r="M124" t="s">
        <v>1755</v>
      </c>
      <c r="N124" t="s">
        <v>1755</v>
      </c>
      <c r="O124" t="s">
        <v>6511</v>
      </c>
      <c r="P124" t="s">
        <v>6519</v>
      </c>
      <c r="Q124" t="s">
        <v>6520</v>
      </c>
      <c r="R124" t="s">
        <v>6307</v>
      </c>
      <c r="S124">
        <v>1</v>
      </c>
      <c r="T124" t="s">
        <v>1755</v>
      </c>
      <c r="U124" t="s">
        <v>1755</v>
      </c>
      <c r="V124" t="s">
        <v>1755</v>
      </c>
      <c r="W124">
        <v>25090</v>
      </c>
      <c r="X124">
        <v>38990</v>
      </c>
      <c r="Y124">
        <v>46073</v>
      </c>
      <c r="Z124" t="s">
        <v>1755</v>
      </c>
      <c r="AA124" t="s">
        <v>1755</v>
      </c>
      <c r="AB124">
        <v>3</v>
      </c>
      <c r="AC124">
        <v>448385</v>
      </c>
      <c r="AD124">
        <v>584850</v>
      </c>
      <c r="AE124">
        <v>136465</v>
      </c>
      <c r="AF124" t="s">
        <v>1755</v>
      </c>
      <c r="AG124">
        <v>11.5</v>
      </c>
      <c r="AH124">
        <v>367.83018867924528</v>
      </c>
      <c r="AI124" t="s">
        <v>6308</v>
      </c>
      <c r="AJ124" t="s">
        <v>47</v>
      </c>
      <c r="AK124" t="s">
        <v>107</v>
      </c>
      <c r="AL124" t="s">
        <v>107</v>
      </c>
      <c r="AM124" t="s">
        <v>107</v>
      </c>
      <c r="AO124">
        <v>-136465</v>
      </c>
      <c r="AP124">
        <v>0.23333333333333334</v>
      </c>
      <c r="AQ124">
        <v>11.5</v>
      </c>
      <c r="AR124" t="s">
        <v>47</v>
      </c>
      <c r="AT124" t="s">
        <v>47</v>
      </c>
    </row>
    <row r="125" spans="1:46" x14ac:dyDescent="0.25">
      <c r="A125" t="s">
        <v>1755</v>
      </c>
      <c r="B125" s="19">
        <v>46070</v>
      </c>
      <c r="C125" t="s">
        <v>6479</v>
      </c>
      <c r="D125" t="s">
        <v>6302</v>
      </c>
      <c r="E125" t="s">
        <v>1268</v>
      </c>
      <c r="F125" t="s">
        <v>1371</v>
      </c>
      <c r="G125" t="s">
        <v>1755</v>
      </c>
      <c r="I125" t="str">
        <f>CONCATENATE(Inbound___Outbound_Shifting[[#This Row],[Batch '#]],"-",Inbound___Outbound_Shifting[[#This Row],[Exp '# or Key]])</f>
        <v>--</v>
      </c>
      <c r="J125" t="s">
        <v>6480</v>
      </c>
      <c r="K125" t="s">
        <v>6317</v>
      </c>
      <c r="L125" t="s">
        <v>1755</v>
      </c>
      <c r="M125" t="s">
        <v>1755</v>
      </c>
      <c r="N125" t="s">
        <v>1755</v>
      </c>
      <c r="O125" t="s">
        <v>1755</v>
      </c>
      <c r="P125" t="s">
        <v>1755</v>
      </c>
      <c r="Q125" t="s">
        <v>1755</v>
      </c>
      <c r="R125" t="s">
        <v>1755</v>
      </c>
      <c r="S125" t="s">
        <v>1755</v>
      </c>
      <c r="T125" t="s">
        <v>1755</v>
      </c>
      <c r="U125" t="s">
        <v>1755</v>
      </c>
      <c r="V125" t="s">
        <v>1755</v>
      </c>
      <c r="W125">
        <v>2400</v>
      </c>
      <c r="X125" t="s">
        <v>1755</v>
      </c>
      <c r="Y125">
        <v>46073</v>
      </c>
      <c r="Z125" t="s">
        <v>1755</v>
      </c>
      <c r="AA125" t="s">
        <v>1755</v>
      </c>
      <c r="AB125">
        <v>3</v>
      </c>
      <c r="AC125">
        <v>0</v>
      </c>
      <c r="AE125">
        <v>0</v>
      </c>
      <c r="AF125" t="s">
        <v>1755</v>
      </c>
      <c r="AH125">
        <v>0</v>
      </c>
      <c r="AI125" t="s">
        <v>1755</v>
      </c>
      <c r="AJ125" t="s">
        <v>1755</v>
      </c>
      <c r="AK125" t="s">
        <v>1755</v>
      </c>
      <c r="AL125" t="s">
        <v>1755</v>
      </c>
      <c r="AM125" t="s">
        <v>1755</v>
      </c>
      <c r="AO125">
        <v>0</v>
      </c>
    </row>
    <row r="126" spans="1:46" x14ac:dyDescent="0.25">
      <c r="A126" t="s">
        <v>1755</v>
      </c>
      <c r="B126" s="19">
        <v>46070</v>
      </c>
      <c r="C126" t="s">
        <v>6481</v>
      </c>
      <c r="D126" t="s">
        <v>6302</v>
      </c>
      <c r="E126" t="s">
        <v>1268</v>
      </c>
      <c r="F126" t="s">
        <v>1371</v>
      </c>
      <c r="G126" t="s">
        <v>1755</v>
      </c>
      <c r="I126" t="str">
        <f>CONCATENATE(Inbound___Outbound_Shifting[[#This Row],[Batch '#]],"-",Inbound___Outbound_Shifting[[#This Row],[Exp '# or Key]])</f>
        <v>--</v>
      </c>
      <c r="J126" t="s">
        <v>6482</v>
      </c>
      <c r="K126" t="s">
        <v>6483</v>
      </c>
      <c r="L126" t="s">
        <v>1755</v>
      </c>
      <c r="M126" t="s">
        <v>1755</v>
      </c>
      <c r="N126" t="s">
        <v>1755</v>
      </c>
      <c r="O126" t="s">
        <v>1755</v>
      </c>
      <c r="P126" t="s">
        <v>1755</v>
      </c>
      <c r="Q126" t="s">
        <v>1755</v>
      </c>
      <c r="R126" t="s">
        <v>1755</v>
      </c>
      <c r="S126" t="s">
        <v>1755</v>
      </c>
      <c r="T126" t="s">
        <v>1755</v>
      </c>
      <c r="U126" t="s">
        <v>1755</v>
      </c>
      <c r="V126" t="s">
        <v>1755</v>
      </c>
      <c r="W126">
        <v>5000</v>
      </c>
      <c r="X126" t="s">
        <v>1755</v>
      </c>
      <c r="Y126">
        <v>46073</v>
      </c>
      <c r="Z126" t="s">
        <v>1755</v>
      </c>
      <c r="AA126" t="s">
        <v>1755</v>
      </c>
      <c r="AB126">
        <v>3</v>
      </c>
      <c r="AC126">
        <v>0</v>
      </c>
      <c r="AE126">
        <v>0</v>
      </c>
      <c r="AF126" t="s">
        <v>1755</v>
      </c>
      <c r="AH126">
        <v>0</v>
      </c>
      <c r="AI126" t="s">
        <v>1755</v>
      </c>
      <c r="AJ126" t="s">
        <v>1755</v>
      </c>
      <c r="AK126" t="s">
        <v>1755</v>
      </c>
      <c r="AL126" t="s">
        <v>1755</v>
      </c>
      <c r="AM126" t="s">
        <v>1755</v>
      </c>
      <c r="AO126">
        <v>0</v>
      </c>
    </row>
    <row r="127" spans="1:46" x14ac:dyDescent="0.25">
      <c r="A127" t="s">
        <v>1755</v>
      </c>
      <c r="B127" s="19">
        <v>46070</v>
      </c>
      <c r="C127" t="s">
        <v>6521</v>
      </c>
      <c r="D127" t="s">
        <v>6302</v>
      </c>
      <c r="E127" t="s">
        <v>1268</v>
      </c>
      <c r="F127" t="s">
        <v>1371</v>
      </c>
      <c r="G127" t="s">
        <v>1755</v>
      </c>
      <c r="I127" t="str">
        <f>CONCATENATE(Inbound___Outbound_Shifting[[#This Row],[Batch '#]],"-",Inbound___Outbound_Shifting[[#This Row],[Exp '# or Key]])</f>
        <v>--</v>
      </c>
      <c r="J127" t="s">
        <v>6522</v>
      </c>
      <c r="K127" t="s">
        <v>6321</v>
      </c>
      <c r="L127" t="s">
        <v>1755</v>
      </c>
      <c r="M127" t="s">
        <v>1755</v>
      </c>
      <c r="N127" t="s">
        <v>1755</v>
      </c>
      <c r="O127" t="s">
        <v>1755</v>
      </c>
      <c r="P127" t="s">
        <v>1755</v>
      </c>
      <c r="Q127" t="s">
        <v>1755</v>
      </c>
      <c r="R127" t="s">
        <v>1755</v>
      </c>
      <c r="S127" t="s">
        <v>1755</v>
      </c>
      <c r="T127" t="s">
        <v>1755</v>
      </c>
      <c r="U127" t="s">
        <v>1755</v>
      </c>
      <c r="V127" t="s">
        <v>1755</v>
      </c>
      <c r="W127">
        <v>5000</v>
      </c>
      <c r="X127" t="s">
        <v>1755</v>
      </c>
      <c r="Y127">
        <v>46073</v>
      </c>
      <c r="Z127" t="s">
        <v>1755</v>
      </c>
      <c r="AA127" t="s">
        <v>1755</v>
      </c>
      <c r="AB127">
        <v>3</v>
      </c>
      <c r="AC127">
        <v>0</v>
      </c>
      <c r="AE127">
        <v>0</v>
      </c>
      <c r="AF127" t="s">
        <v>1755</v>
      </c>
      <c r="AH127">
        <v>0</v>
      </c>
      <c r="AI127" t="s">
        <v>1755</v>
      </c>
      <c r="AJ127" t="s">
        <v>1755</v>
      </c>
      <c r="AK127" t="s">
        <v>1755</v>
      </c>
      <c r="AL127" t="s">
        <v>1755</v>
      </c>
      <c r="AM127" t="s">
        <v>1755</v>
      </c>
      <c r="AO127">
        <v>0</v>
      </c>
    </row>
    <row r="128" spans="1:46" x14ac:dyDescent="0.25">
      <c r="A128" t="s">
        <v>1755</v>
      </c>
      <c r="B128" s="19">
        <v>46070</v>
      </c>
      <c r="C128" t="s">
        <v>6523</v>
      </c>
      <c r="D128" t="s">
        <v>6302</v>
      </c>
      <c r="E128" t="s">
        <v>1268</v>
      </c>
      <c r="F128" t="s">
        <v>1371</v>
      </c>
      <c r="G128" t="s">
        <v>1755</v>
      </c>
      <c r="I128" t="str">
        <f>CONCATENATE(Inbound___Outbound_Shifting[[#This Row],[Batch '#]],"-",Inbound___Outbound_Shifting[[#This Row],[Exp '# or Key]])</f>
        <v>--</v>
      </c>
      <c r="J128" t="s">
        <v>6524</v>
      </c>
      <c r="K128" t="s">
        <v>6525</v>
      </c>
      <c r="L128" t="s">
        <v>1755</v>
      </c>
      <c r="M128" t="s">
        <v>1755</v>
      </c>
      <c r="N128" t="s">
        <v>1755</v>
      </c>
      <c r="O128" t="s">
        <v>1755</v>
      </c>
      <c r="P128" t="s">
        <v>1755</v>
      </c>
      <c r="Q128" t="s">
        <v>1755</v>
      </c>
      <c r="R128" t="s">
        <v>1755</v>
      </c>
      <c r="S128" t="s">
        <v>1755</v>
      </c>
      <c r="T128" t="s">
        <v>1755</v>
      </c>
      <c r="U128" t="s">
        <v>1755</v>
      </c>
      <c r="V128" t="s">
        <v>1755</v>
      </c>
      <c r="W128">
        <v>500</v>
      </c>
      <c r="X128" t="s">
        <v>1755</v>
      </c>
      <c r="Y128">
        <v>46073</v>
      </c>
      <c r="Z128" t="s">
        <v>1755</v>
      </c>
      <c r="AA128" t="s">
        <v>1755</v>
      </c>
      <c r="AB128">
        <v>3</v>
      </c>
      <c r="AC128">
        <v>0</v>
      </c>
      <c r="AE128">
        <v>0</v>
      </c>
      <c r="AF128" t="s">
        <v>1755</v>
      </c>
      <c r="AH128">
        <v>0</v>
      </c>
      <c r="AI128" t="s">
        <v>1755</v>
      </c>
      <c r="AJ128" t="s">
        <v>1755</v>
      </c>
      <c r="AK128" t="s">
        <v>1755</v>
      </c>
      <c r="AL128" t="s">
        <v>1755</v>
      </c>
      <c r="AM128" t="s">
        <v>1755</v>
      </c>
      <c r="AO128">
        <v>0</v>
      </c>
    </row>
    <row r="129" spans="1:46" x14ac:dyDescent="0.25">
      <c r="A129" t="s">
        <v>1755</v>
      </c>
      <c r="B129" s="19">
        <v>46070</v>
      </c>
      <c r="C129" t="s">
        <v>1755</v>
      </c>
      <c r="D129" t="s">
        <v>6302</v>
      </c>
      <c r="E129" t="s">
        <v>1268</v>
      </c>
      <c r="F129" t="s">
        <v>1371</v>
      </c>
      <c r="G129" t="s">
        <v>1755</v>
      </c>
      <c r="I129" t="str">
        <f>CONCATENATE(Inbound___Outbound_Shifting[[#This Row],[Batch '#]],"-",Inbound___Outbound_Shifting[[#This Row],[Exp '# or Key]])</f>
        <v>--</v>
      </c>
      <c r="J129" t="s">
        <v>6526</v>
      </c>
      <c r="K129" t="s">
        <v>6527</v>
      </c>
      <c r="L129" t="s">
        <v>1755</v>
      </c>
      <c r="M129" t="s">
        <v>1755</v>
      </c>
      <c r="N129" t="s">
        <v>1755</v>
      </c>
      <c r="O129" t="s">
        <v>1755</v>
      </c>
      <c r="P129" t="s">
        <v>1755</v>
      </c>
      <c r="Q129" t="s">
        <v>1755</v>
      </c>
      <c r="R129" t="s">
        <v>1755</v>
      </c>
      <c r="S129" t="s">
        <v>1755</v>
      </c>
      <c r="T129" t="s">
        <v>1755</v>
      </c>
      <c r="U129" t="s">
        <v>1755</v>
      </c>
      <c r="V129" t="s">
        <v>1755</v>
      </c>
      <c r="W129">
        <v>1000</v>
      </c>
      <c r="X129" t="s">
        <v>1755</v>
      </c>
      <c r="Y129">
        <v>46073</v>
      </c>
      <c r="Z129" t="s">
        <v>1755</v>
      </c>
      <c r="AA129" t="s">
        <v>1755</v>
      </c>
      <c r="AB129">
        <v>3</v>
      </c>
      <c r="AC129">
        <v>0</v>
      </c>
      <c r="AE129">
        <v>0</v>
      </c>
      <c r="AF129" t="s">
        <v>1755</v>
      </c>
      <c r="AH129">
        <v>0</v>
      </c>
      <c r="AI129" t="s">
        <v>1755</v>
      </c>
      <c r="AJ129" t="s">
        <v>1755</v>
      </c>
      <c r="AK129" t="s">
        <v>1755</v>
      </c>
      <c r="AL129" t="s">
        <v>1755</v>
      </c>
      <c r="AM129" t="s">
        <v>1755</v>
      </c>
      <c r="AO129">
        <v>0</v>
      </c>
    </row>
    <row r="130" spans="1:46" x14ac:dyDescent="0.25">
      <c r="A130" t="s">
        <v>6329</v>
      </c>
      <c r="B130" s="19">
        <v>46071</v>
      </c>
      <c r="C130" t="s">
        <v>1321</v>
      </c>
      <c r="D130" t="s">
        <v>6330</v>
      </c>
      <c r="E130" t="s">
        <v>117</v>
      </c>
      <c r="F130" t="s">
        <v>1103</v>
      </c>
      <c r="G130" t="s">
        <v>1755</v>
      </c>
      <c r="I130" t="str">
        <f>CONCATENATE(Inbound___Outbound_Shifting[[#This Row],[Batch '#]],"-",Inbound___Outbound_Shifting[[#This Row],[Exp '# or Key]])</f>
        <v>--</v>
      </c>
      <c r="J130" t="s">
        <v>1755</v>
      </c>
      <c r="K130">
        <v>2</v>
      </c>
      <c r="L130" t="s">
        <v>117</v>
      </c>
      <c r="M130" t="s">
        <v>6364</v>
      </c>
      <c r="N130" t="s">
        <v>1755</v>
      </c>
      <c r="O130" t="s">
        <v>767</v>
      </c>
      <c r="P130" t="s">
        <v>6528</v>
      </c>
      <c r="Q130" t="s">
        <v>1322</v>
      </c>
      <c r="R130" t="s">
        <v>6441</v>
      </c>
      <c r="S130" t="s">
        <v>1755</v>
      </c>
      <c r="T130" t="s">
        <v>1755</v>
      </c>
      <c r="U130" t="s">
        <v>1755</v>
      </c>
      <c r="V130" t="s">
        <v>1755</v>
      </c>
      <c r="W130">
        <v>2500</v>
      </c>
      <c r="X130">
        <v>5000</v>
      </c>
      <c r="Y130">
        <v>46073</v>
      </c>
      <c r="Z130">
        <v>46071</v>
      </c>
      <c r="AA130" t="s">
        <v>1755</v>
      </c>
      <c r="AB130">
        <v>2</v>
      </c>
      <c r="AC130">
        <v>70000</v>
      </c>
      <c r="AD130">
        <v>37500</v>
      </c>
      <c r="AE130">
        <v>-32500</v>
      </c>
      <c r="AF130" t="s">
        <v>1755</v>
      </c>
      <c r="AG130">
        <v>14</v>
      </c>
      <c r="AI130" t="s">
        <v>6308</v>
      </c>
      <c r="AJ130" t="s">
        <v>47</v>
      </c>
      <c r="AK130" t="s">
        <v>107</v>
      </c>
      <c r="AL130" t="s">
        <v>107</v>
      </c>
      <c r="AM130" t="s">
        <v>107</v>
      </c>
      <c r="AO130">
        <v>32500</v>
      </c>
      <c r="AP130">
        <v>-0.8666666666666667</v>
      </c>
      <c r="AQ130">
        <v>14</v>
      </c>
      <c r="AR130" t="s">
        <v>47</v>
      </c>
      <c r="AT130" t="s">
        <v>47</v>
      </c>
    </row>
    <row r="131" spans="1:46" x14ac:dyDescent="0.25">
      <c r="A131" t="s">
        <v>1755</v>
      </c>
      <c r="B131" s="19">
        <v>46071</v>
      </c>
      <c r="C131" t="s">
        <v>1318</v>
      </c>
      <c r="D131" t="s">
        <v>6330</v>
      </c>
      <c r="E131" t="s">
        <v>1755</v>
      </c>
      <c r="F131" t="s">
        <v>1319</v>
      </c>
      <c r="G131" t="s">
        <v>1755</v>
      </c>
      <c r="I131" t="str">
        <f>CONCATENATE(Inbound___Outbound_Shifting[[#This Row],[Batch '#]],"-",Inbound___Outbound_Shifting[[#This Row],[Exp '# or Key]])</f>
        <v>--</v>
      </c>
      <c r="J131" t="s">
        <v>1755</v>
      </c>
      <c r="K131">
        <v>2</v>
      </c>
      <c r="L131" t="s">
        <v>1755</v>
      </c>
      <c r="M131" t="s">
        <v>1755</v>
      </c>
      <c r="N131" t="s">
        <v>1755</v>
      </c>
      <c r="O131" t="s">
        <v>1755</v>
      </c>
      <c r="R131" t="s">
        <v>1755</v>
      </c>
      <c r="S131" t="s">
        <v>1755</v>
      </c>
      <c r="T131" t="s">
        <v>1755</v>
      </c>
      <c r="U131" t="s">
        <v>1755</v>
      </c>
      <c r="V131" t="s">
        <v>1755</v>
      </c>
      <c r="W131">
        <v>2500</v>
      </c>
      <c r="X131" t="s">
        <v>1755</v>
      </c>
      <c r="Y131">
        <v>46073</v>
      </c>
      <c r="Z131">
        <v>46071</v>
      </c>
      <c r="AA131" t="s">
        <v>1755</v>
      </c>
      <c r="AB131">
        <v>2</v>
      </c>
      <c r="AC131" t="s">
        <v>1755</v>
      </c>
      <c r="AE131">
        <v>0</v>
      </c>
      <c r="AF131" t="s">
        <v>1755</v>
      </c>
      <c r="AI131" t="s">
        <v>1755</v>
      </c>
      <c r="AJ131" t="s">
        <v>1755</v>
      </c>
      <c r="AK131" t="s">
        <v>1755</v>
      </c>
      <c r="AL131" t="s">
        <v>1755</v>
      </c>
      <c r="AM131" t="s">
        <v>1755</v>
      </c>
      <c r="AO131">
        <v>0</v>
      </c>
    </row>
    <row r="132" spans="1:46" x14ac:dyDescent="0.25">
      <c r="A132" t="s">
        <v>6329</v>
      </c>
      <c r="B132" s="19">
        <v>46073</v>
      </c>
      <c r="C132" t="s">
        <v>1321</v>
      </c>
      <c r="D132" t="s">
        <v>6330</v>
      </c>
      <c r="E132" t="s">
        <v>117</v>
      </c>
      <c r="F132" t="s">
        <v>1103</v>
      </c>
      <c r="G132" t="s">
        <v>1755</v>
      </c>
      <c r="I132" t="str">
        <f>CONCATENATE(Inbound___Outbound_Shifting[[#This Row],[Batch '#]],"-",Inbound___Outbound_Shifting[[#This Row],[Exp '# or Key]])</f>
        <v>--</v>
      </c>
      <c r="J132" t="s">
        <v>1755</v>
      </c>
      <c r="K132">
        <v>1</v>
      </c>
      <c r="L132" t="s">
        <v>117</v>
      </c>
      <c r="M132" t="s">
        <v>6364</v>
      </c>
      <c r="N132" t="s">
        <v>1755</v>
      </c>
      <c r="O132" t="s">
        <v>175</v>
      </c>
      <c r="P132" t="s">
        <v>6529</v>
      </c>
      <c r="Q132" t="s">
        <v>6530</v>
      </c>
      <c r="R132" t="s">
        <v>6307</v>
      </c>
      <c r="S132" t="s">
        <v>1755</v>
      </c>
      <c r="T132" t="s">
        <v>1755</v>
      </c>
      <c r="U132" t="s">
        <v>1755</v>
      </c>
      <c r="V132" t="s">
        <v>1755</v>
      </c>
      <c r="W132">
        <v>900</v>
      </c>
      <c r="X132">
        <v>12000</v>
      </c>
      <c r="Y132">
        <v>46076</v>
      </c>
      <c r="Z132">
        <v>46073</v>
      </c>
      <c r="AA132" t="s">
        <v>1755</v>
      </c>
      <c r="AB132">
        <v>3</v>
      </c>
      <c r="AC132">
        <v>120000</v>
      </c>
      <c r="AD132">
        <v>90000</v>
      </c>
      <c r="AE132">
        <v>-30000</v>
      </c>
      <c r="AF132" t="s">
        <v>1755</v>
      </c>
      <c r="AG132">
        <v>10</v>
      </c>
      <c r="AI132" t="s">
        <v>6308</v>
      </c>
      <c r="AJ132" t="s">
        <v>47</v>
      </c>
      <c r="AK132" t="s">
        <v>107</v>
      </c>
      <c r="AL132" t="s">
        <v>107</v>
      </c>
      <c r="AM132" t="s">
        <v>107</v>
      </c>
      <c r="AO132">
        <v>30000</v>
      </c>
      <c r="AP132">
        <v>-0.33333333333333331</v>
      </c>
      <c r="AQ132">
        <v>10</v>
      </c>
      <c r="AR132" t="s">
        <v>47</v>
      </c>
      <c r="AT132" t="s">
        <v>47</v>
      </c>
    </row>
    <row r="133" spans="1:46" x14ac:dyDescent="0.25">
      <c r="A133" t="s">
        <v>1755</v>
      </c>
      <c r="B133" s="19">
        <v>46073</v>
      </c>
      <c r="C133" t="s">
        <v>1323</v>
      </c>
      <c r="D133" t="s">
        <v>6330</v>
      </c>
      <c r="E133" t="s">
        <v>117</v>
      </c>
      <c r="F133" t="s">
        <v>1324</v>
      </c>
      <c r="G133" t="s">
        <v>1755</v>
      </c>
      <c r="I133" t="str">
        <f>CONCATENATE(Inbound___Outbound_Shifting[[#This Row],[Batch '#]],"-",Inbound___Outbound_Shifting[[#This Row],[Exp '# or Key]])</f>
        <v>--</v>
      </c>
      <c r="J133" t="s">
        <v>1755</v>
      </c>
      <c r="K133">
        <v>2</v>
      </c>
      <c r="L133" t="s">
        <v>117</v>
      </c>
      <c r="M133" t="s">
        <v>1755</v>
      </c>
      <c r="N133" t="s">
        <v>1755</v>
      </c>
      <c r="O133" t="s">
        <v>1755</v>
      </c>
      <c r="P133" t="s">
        <v>1755</v>
      </c>
      <c r="Q133" t="s">
        <v>1755</v>
      </c>
      <c r="R133" t="s">
        <v>1755</v>
      </c>
      <c r="S133" t="s">
        <v>1755</v>
      </c>
      <c r="T133" t="s">
        <v>1755</v>
      </c>
      <c r="U133" t="s">
        <v>1755</v>
      </c>
      <c r="V133" t="s">
        <v>1755</v>
      </c>
      <c r="W133">
        <v>6600</v>
      </c>
      <c r="X133" t="s">
        <v>1755</v>
      </c>
      <c r="Y133">
        <v>46076</v>
      </c>
      <c r="Z133">
        <v>46073</v>
      </c>
      <c r="AA133" t="s">
        <v>1755</v>
      </c>
      <c r="AB133">
        <v>3</v>
      </c>
      <c r="AC133" t="s">
        <v>1755</v>
      </c>
      <c r="AE133">
        <v>0</v>
      </c>
      <c r="AF133" t="s">
        <v>1755</v>
      </c>
      <c r="AI133" t="s">
        <v>1755</v>
      </c>
      <c r="AJ133" t="s">
        <v>1755</v>
      </c>
      <c r="AK133" t="s">
        <v>1755</v>
      </c>
      <c r="AL133" t="s">
        <v>1755</v>
      </c>
      <c r="AM133" t="s">
        <v>1755</v>
      </c>
      <c r="AO133">
        <v>0</v>
      </c>
    </row>
    <row r="134" spans="1:46" x14ac:dyDescent="0.25">
      <c r="A134" t="s">
        <v>1755</v>
      </c>
      <c r="B134" s="19">
        <v>46073</v>
      </c>
      <c r="C134" t="s">
        <v>1327</v>
      </c>
      <c r="D134" t="s">
        <v>6330</v>
      </c>
      <c r="E134" t="s">
        <v>366</v>
      </c>
      <c r="F134" t="s">
        <v>1328</v>
      </c>
      <c r="G134" t="s">
        <v>1755</v>
      </c>
      <c r="I134" t="str">
        <f>CONCATENATE(Inbound___Outbound_Shifting[[#This Row],[Batch '#]],"-",Inbound___Outbound_Shifting[[#This Row],[Exp '# or Key]])</f>
        <v>--</v>
      </c>
      <c r="J134" t="s">
        <v>1755</v>
      </c>
      <c r="K134">
        <v>2</v>
      </c>
      <c r="L134" t="s">
        <v>366</v>
      </c>
      <c r="M134" t="s">
        <v>1755</v>
      </c>
      <c r="N134" t="s">
        <v>1755</v>
      </c>
      <c r="O134" t="s">
        <v>1755</v>
      </c>
      <c r="P134" t="s">
        <v>1755</v>
      </c>
      <c r="Q134" t="s">
        <v>1755</v>
      </c>
      <c r="R134" t="s">
        <v>1755</v>
      </c>
      <c r="S134" t="s">
        <v>1755</v>
      </c>
      <c r="T134" t="s">
        <v>1755</v>
      </c>
      <c r="U134" t="s">
        <v>1755</v>
      </c>
      <c r="V134" t="s">
        <v>1755</v>
      </c>
      <c r="W134">
        <v>2100</v>
      </c>
      <c r="X134" t="s">
        <v>1755</v>
      </c>
      <c r="Y134">
        <v>46076</v>
      </c>
      <c r="Z134">
        <v>46073</v>
      </c>
      <c r="AA134" t="s">
        <v>1755</v>
      </c>
      <c r="AB134">
        <v>3</v>
      </c>
      <c r="AC134" t="s">
        <v>1755</v>
      </c>
      <c r="AE134">
        <v>0</v>
      </c>
      <c r="AF134" t="s">
        <v>1755</v>
      </c>
      <c r="AI134" t="s">
        <v>1755</v>
      </c>
      <c r="AJ134" t="s">
        <v>1755</v>
      </c>
      <c r="AK134" t="s">
        <v>1755</v>
      </c>
      <c r="AL134" t="s">
        <v>1755</v>
      </c>
      <c r="AM134" t="s">
        <v>1755</v>
      </c>
      <c r="AO134">
        <v>0</v>
      </c>
    </row>
    <row r="135" spans="1:46" x14ac:dyDescent="0.25">
      <c r="A135" t="s">
        <v>1755</v>
      </c>
      <c r="B135" s="19">
        <v>46073</v>
      </c>
      <c r="C135" t="s">
        <v>1320</v>
      </c>
      <c r="D135" t="s">
        <v>6330</v>
      </c>
      <c r="E135" t="s">
        <v>117</v>
      </c>
      <c r="F135" t="s">
        <v>330</v>
      </c>
      <c r="G135" t="s">
        <v>1755</v>
      </c>
      <c r="I135" t="str">
        <f>CONCATENATE(Inbound___Outbound_Shifting[[#This Row],[Batch '#]],"-",Inbound___Outbound_Shifting[[#This Row],[Exp '# or Key]])</f>
        <v>--</v>
      </c>
      <c r="J135" t="s">
        <v>1755</v>
      </c>
      <c r="K135">
        <v>2</v>
      </c>
      <c r="L135" t="s">
        <v>117</v>
      </c>
      <c r="M135" t="s">
        <v>1755</v>
      </c>
      <c r="N135" t="s">
        <v>1755</v>
      </c>
      <c r="O135" t="s">
        <v>1755</v>
      </c>
      <c r="P135" t="s">
        <v>1755</v>
      </c>
      <c r="Q135" t="s">
        <v>1755</v>
      </c>
      <c r="R135" t="s">
        <v>1755</v>
      </c>
      <c r="S135" t="s">
        <v>1755</v>
      </c>
      <c r="T135" t="s">
        <v>1755</v>
      </c>
      <c r="U135" t="s">
        <v>1755</v>
      </c>
      <c r="V135" t="s">
        <v>1755</v>
      </c>
      <c r="W135">
        <v>2400</v>
      </c>
      <c r="X135" t="s">
        <v>1755</v>
      </c>
      <c r="Y135">
        <v>46076</v>
      </c>
      <c r="Z135">
        <v>46073</v>
      </c>
      <c r="AA135" t="s">
        <v>1755</v>
      </c>
      <c r="AB135">
        <v>3</v>
      </c>
      <c r="AC135" t="s">
        <v>1755</v>
      </c>
      <c r="AE135">
        <v>0</v>
      </c>
      <c r="AF135" t="s">
        <v>1755</v>
      </c>
      <c r="AI135" t="s">
        <v>1755</v>
      </c>
      <c r="AJ135" t="s">
        <v>1755</v>
      </c>
      <c r="AK135" t="s">
        <v>1755</v>
      </c>
      <c r="AL135" t="s">
        <v>1755</v>
      </c>
      <c r="AM135" t="s">
        <v>1755</v>
      </c>
      <c r="AO135">
        <v>0</v>
      </c>
    </row>
    <row r="136" spans="1:46" x14ac:dyDescent="0.25">
      <c r="A136" t="s">
        <v>6300</v>
      </c>
      <c r="B136" s="19">
        <v>46077</v>
      </c>
      <c r="C136" t="s">
        <v>6531</v>
      </c>
      <c r="D136" t="s">
        <v>6302</v>
      </c>
      <c r="E136" t="s">
        <v>6061</v>
      </c>
      <c r="F136" t="s">
        <v>1371</v>
      </c>
      <c r="G136" t="s">
        <v>1755</v>
      </c>
      <c r="I136" t="str">
        <f>CONCATENATE(Inbound___Outbound_Shifting[[#This Row],[Batch '#]],"-",Inbound___Outbound_Shifting[[#This Row],[Exp '# or Key]])</f>
        <v>--</v>
      </c>
      <c r="J136" t="s">
        <v>6532</v>
      </c>
      <c r="K136" t="s">
        <v>6430</v>
      </c>
      <c r="L136" t="s">
        <v>1755</v>
      </c>
      <c r="M136" t="s">
        <v>1755</v>
      </c>
      <c r="N136" t="s">
        <v>1755</v>
      </c>
      <c r="O136" t="s">
        <v>430</v>
      </c>
      <c r="P136" t="s">
        <v>6533</v>
      </c>
      <c r="Q136" t="s">
        <v>6534</v>
      </c>
      <c r="R136" t="s">
        <v>6535</v>
      </c>
      <c r="S136" t="s">
        <v>1755</v>
      </c>
      <c r="T136" t="s">
        <v>6536</v>
      </c>
      <c r="U136">
        <v>1</v>
      </c>
      <c r="V136" t="s">
        <v>1755</v>
      </c>
      <c r="W136">
        <v>21600</v>
      </c>
      <c r="X136">
        <v>42718</v>
      </c>
      <c r="Y136">
        <v>46080</v>
      </c>
      <c r="Z136" t="s">
        <v>1755</v>
      </c>
      <c r="AA136" t="s">
        <v>1755</v>
      </c>
      <c r="AB136">
        <v>3</v>
      </c>
      <c r="AC136">
        <v>496080</v>
      </c>
      <c r="AD136">
        <v>640770</v>
      </c>
      <c r="AE136">
        <v>144690</v>
      </c>
      <c r="AF136" t="s">
        <v>1755</v>
      </c>
      <c r="AG136">
        <v>11.612903225806452</v>
      </c>
      <c r="AH136">
        <v>406.95652173913044</v>
      </c>
      <c r="AI136" t="s">
        <v>6308</v>
      </c>
      <c r="AJ136" t="s">
        <v>47</v>
      </c>
      <c r="AK136" t="s">
        <v>107</v>
      </c>
      <c r="AL136" t="s">
        <v>107</v>
      </c>
      <c r="AM136" t="s">
        <v>107</v>
      </c>
      <c r="AO136">
        <v>-144690</v>
      </c>
      <c r="AP136">
        <v>0.22580645161290322</v>
      </c>
      <c r="AQ136">
        <v>11.612903225806452</v>
      </c>
      <c r="AR136" t="s">
        <v>47</v>
      </c>
      <c r="AT136" t="s">
        <v>47</v>
      </c>
    </row>
    <row r="137" spans="1:46" x14ac:dyDescent="0.25">
      <c r="A137" t="s">
        <v>1755</v>
      </c>
      <c r="B137" s="19">
        <v>46077</v>
      </c>
      <c r="C137" t="s">
        <v>6537</v>
      </c>
      <c r="D137" t="s">
        <v>6302</v>
      </c>
      <c r="E137" t="s">
        <v>6061</v>
      </c>
      <c r="F137" t="s">
        <v>1371</v>
      </c>
      <c r="G137" t="s">
        <v>1755</v>
      </c>
      <c r="I137" t="str">
        <f>CONCATENATE(Inbound___Outbound_Shifting[[#This Row],[Batch '#]],"-",Inbound___Outbound_Shifting[[#This Row],[Exp '# or Key]])</f>
        <v>--</v>
      </c>
      <c r="J137" t="s">
        <v>6538</v>
      </c>
      <c r="K137" t="s">
        <v>6539</v>
      </c>
      <c r="L137" t="s">
        <v>1755</v>
      </c>
      <c r="M137" t="s">
        <v>1755</v>
      </c>
      <c r="N137" t="s">
        <v>1755</v>
      </c>
      <c r="O137" t="s">
        <v>1755</v>
      </c>
      <c r="P137" t="s">
        <v>1755</v>
      </c>
      <c r="Q137" t="s">
        <v>1755</v>
      </c>
      <c r="R137" t="s">
        <v>1755</v>
      </c>
      <c r="S137" t="s">
        <v>1755</v>
      </c>
      <c r="T137" t="s">
        <v>6540</v>
      </c>
      <c r="U137">
        <v>1</v>
      </c>
      <c r="V137" t="s">
        <v>1755</v>
      </c>
      <c r="W137">
        <v>21118</v>
      </c>
      <c r="X137" t="s">
        <v>1755</v>
      </c>
      <c r="Y137">
        <v>46080</v>
      </c>
      <c r="Z137" t="s">
        <v>1755</v>
      </c>
      <c r="AA137" t="s">
        <v>1755</v>
      </c>
      <c r="AB137">
        <v>3</v>
      </c>
      <c r="AC137">
        <v>0</v>
      </c>
      <c r="AE137">
        <v>0</v>
      </c>
      <c r="AF137" t="s">
        <v>1755</v>
      </c>
      <c r="AH137">
        <v>0</v>
      </c>
      <c r="AI137" t="s">
        <v>1755</v>
      </c>
      <c r="AJ137" t="s">
        <v>1755</v>
      </c>
      <c r="AK137" t="s">
        <v>1755</v>
      </c>
      <c r="AL137" t="s">
        <v>1755</v>
      </c>
      <c r="AM137" t="s">
        <v>1755</v>
      </c>
      <c r="AO137">
        <v>0</v>
      </c>
    </row>
    <row r="138" spans="1:46" x14ac:dyDescent="0.25">
      <c r="A138" t="s">
        <v>6329</v>
      </c>
      <c r="B138" s="19">
        <v>46077</v>
      </c>
      <c r="C138" t="s">
        <v>1347</v>
      </c>
      <c r="D138" t="s">
        <v>1141</v>
      </c>
      <c r="E138" t="s">
        <v>117</v>
      </c>
      <c r="F138" t="s">
        <v>6541</v>
      </c>
      <c r="G138" t="s">
        <v>1755</v>
      </c>
      <c r="I138" t="str">
        <f>CONCATENATE(Inbound___Outbound_Shifting[[#This Row],[Batch '#]],"-",Inbound___Outbound_Shifting[[#This Row],[Exp '# or Key]])</f>
        <v>--</v>
      </c>
      <c r="J138" t="s">
        <v>1755</v>
      </c>
      <c r="K138">
        <v>2</v>
      </c>
      <c r="L138" t="s">
        <v>117</v>
      </c>
      <c r="M138" t="s">
        <v>6364</v>
      </c>
      <c r="N138" t="s">
        <v>1755</v>
      </c>
      <c r="O138" t="s">
        <v>455</v>
      </c>
      <c r="P138" t="s">
        <v>6542</v>
      </c>
      <c r="Q138" t="s">
        <v>1357</v>
      </c>
      <c r="R138" t="s">
        <v>6402</v>
      </c>
      <c r="S138" t="s">
        <v>1755</v>
      </c>
      <c r="T138" t="s">
        <v>1755</v>
      </c>
      <c r="U138" t="s">
        <v>1755</v>
      </c>
      <c r="V138" t="s">
        <v>1755</v>
      </c>
      <c r="W138">
        <v>3500</v>
      </c>
      <c r="X138">
        <v>4500</v>
      </c>
      <c r="Y138">
        <v>46080</v>
      </c>
      <c r="Z138">
        <v>46077</v>
      </c>
      <c r="AA138" t="s">
        <v>1755</v>
      </c>
      <c r="AB138">
        <v>3</v>
      </c>
      <c r="AC138">
        <v>75000</v>
      </c>
      <c r="AD138">
        <v>33750</v>
      </c>
      <c r="AE138">
        <v>-41250</v>
      </c>
      <c r="AF138" t="s">
        <v>1755</v>
      </c>
      <c r="AG138">
        <v>16.666666666666668</v>
      </c>
      <c r="AI138" t="s">
        <v>6308</v>
      </c>
      <c r="AJ138" t="s">
        <v>47</v>
      </c>
      <c r="AK138" t="s">
        <v>6543</v>
      </c>
      <c r="AL138" t="s">
        <v>107</v>
      </c>
      <c r="AM138" t="s">
        <v>107</v>
      </c>
      <c r="AO138">
        <v>41250</v>
      </c>
      <c r="AP138">
        <v>-1.2222222222222223</v>
      </c>
      <c r="AQ138">
        <v>16.666666666666668</v>
      </c>
      <c r="AR138" t="s">
        <v>47</v>
      </c>
      <c r="AT138" t="s">
        <v>47</v>
      </c>
    </row>
    <row r="139" spans="1:46" x14ac:dyDescent="0.25">
      <c r="A139" t="s">
        <v>1755</v>
      </c>
      <c r="B139" s="19">
        <v>46077</v>
      </c>
      <c r="C139" t="s">
        <v>1325</v>
      </c>
      <c r="D139" t="s">
        <v>6330</v>
      </c>
      <c r="E139" t="s">
        <v>1755</v>
      </c>
      <c r="F139" t="s">
        <v>1326</v>
      </c>
      <c r="G139" t="s">
        <v>1755</v>
      </c>
      <c r="I139" t="str">
        <f>CONCATENATE(Inbound___Outbound_Shifting[[#This Row],[Batch '#]],"-",Inbound___Outbound_Shifting[[#This Row],[Exp '# or Key]])</f>
        <v>--</v>
      </c>
      <c r="J139" t="s">
        <v>1755</v>
      </c>
      <c r="K139">
        <v>2</v>
      </c>
      <c r="L139" t="s">
        <v>1755</v>
      </c>
      <c r="M139" t="s">
        <v>1755</v>
      </c>
      <c r="N139" t="s">
        <v>1755</v>
      </c>
      <c r="O139" t="s">
        <v>1755</v>
      </c>
      <c r="P139" t="s">
        <v>1755</v>
      </c>
      <c r="Q139" t="s">
        <v>1755</v>
      </c>
      <c r="R139" t="s">
        <v>1755</v>
      </c>
      <c r="S139" t="s">
        <v>1755</v>
      </c>
      <c r="T139" t="s">
        <v>1755</v>
      </c>
      <c r="U139" t="s">
        <v>1755</v>
      </c>
      <c r="V139" t="s">
        <v>1755</v>
      </c>
      <c r="W139">
        <v>1000</v>
      </c>
      <c r="X139" t="s">
        <v>1755</v>
      </c>
      <c r="Y139">
        <v>46080</v>
      </c>
      <c r="Z139">
        <v>46077</v>
      </c>
      <c r="AA139" t="s">
        <v>1755</v>
      </c>
      <c r="AB139">
        <v>3</v>
      </c>
      <c r="AC139" t="s">
        <v>1755</v>
      </c>
      <c r="AE139">
        <v>0</v>
      </c>
      <c r="AF139" t="s">
        <v>1755</v>
      </c>
      <c r="AI139" t="s">
        <v>1755</v>
      </c>
      <c r="AJ139" t="s">
        <v>1755</v>
      </c>
      <c r="AK139" t="s">
        <v>1755</v>
      </c>
      <c r="AL139" t="s">
        <v>1755</v>
      </c>
      <c r="AM139" t="s">
        <v>1755</v>
      </c>
      <c r="AO139">
        <v>0</v>
      </c>
    </row>
    <row r="140" spans="1:46" x14ac:dyDescent="0.25">
      <c r="A140" t="s">
        <v>6329</v>
      </c>
      <c r="B140" s="19">
        <v>46077</v>
      </c>
      <c r="C140" t="s">
        <v>952</v>
      </c>
      <c r="D140" t="s">
        <v>1602</v>
      </c>
      <c r="E140" t="s">
        <v>117</v>
      </c>
      <c r="F140" t="s">
        <v>953</v>
      </c>
      <c r="G140" t="s">
        <v>1755</v>
      </c>
      <c r="I140" t="str">
        <f>CONCATENATE(Inbound___Outbound_Shifting[[#This Row],[Batch '#]],"-",Inbound___Outbound_Shifting[[#This Row],[Exp '# or Key]])</f>
        <v>--</v>
      </c>
      <c r="J140" t="s">
        <v>1755</v>
      </c>
      <c r="K140">
        <v>1</v>
      </c>
      <c r="L140" t="s">
        <v>117</v>
      </c>
      <c r="M140" t="s">
        <v>6544</v>
      </c>
      <c r="N140" t="s">
        <v>1755</v>
      </c>
      <c r="O140" t="s">
        <v>767</v>
      </c>
      <c r="P140" t="s">
        <v>6545</v>
      </c>
      <c r="Q140" t="s">
        <v>947</v>
      </c>
      <c r="R140" t="s">
        <v>6421</v>
      </c>
      <c r="S140" t="s">
        <v>1755</v>
      </c>
      <c r="T140" t="s">
        <v>1755</v>
      </c>
      <c r="U140" t="s">
        <v>1755</v>
      </c>
      <c r="V140" t="s">
        <v>1755</v>
      </c>
      <c r="W140">
        <v>1500</v>
      </c>
      <c r="X140" t="s">
        <v>1755</v>
      </c>
      <c r="Y140">
        <v>46080</v>
      </c>
      <c r="Z140">
        <v>46077</v>
      </c>
      <c r="AA140" t="s">
        <v>1755</v>
      </c>
      <c r="AB140">
        <v>3</v>
      </c>
      <c r="AC140">
        <v>60000</v>
      </c>
      <c r="AE140">
        <v>0</v>
      </c>
      <c r="AF140" t="s">
        <v>1755</v>
      </c>
      <c r="AI140" t="s">
        <v>6308</v>
      </c>
      <c r="AJ140" t="s">
        <v>47</v>
      </c>
      <c r="AK140" t="s">
        <v>107</v>
      </c>
      <c r="AL140" t="s">
        <v>107</v>
      </c>
      <c r="AM140" t="s">
        <v>107</v>
      </c>
      <c r="AO140">
        <v>60000</v>
      </c>
      <c r="AR140" t="s">
        <v>47</v>
      </c>
      <c r="AT140" t="s">
        <v>47</v>
      </c>
    </row>
    <row r="141" spans="1:46" x14ac:dyDescent="0.25">
      <c r="A141" t="s">
        <v>6329</v>
      </c>
      <c r="B141" s="19">
        <v>46077</v>
      </c>
      <c r="C141" t="s">
        <v>6546</v>
      </c>
      <c r="D141" t="s">
        <v>6330</v>
      </c>
      <c r="E141" t="s">
        <v>117</v>
      </c>
      <c r="F141" t="s">
        <v>6547</v>
      </c>
      <c r="G141" t="s">
        <v>1755</v>
      </c>
      <c r="I141" t="str">
        <f>CONCATENATE(Inbound___Outbound_Shifting[[#This Row],[Batch '#]],"-",Inbound___Outbound_Shifting[[#This Row],[Exp '# or Key]])</f>
        <v>--</v>
      </c>
      <c r="J141" t="s">
        <v>1755</v>
      </c>
      <c r="K141" t="s">
        <v>1755</v>
      </c>
      <c r="L141" t="s">
        <v>117</v>
      </c>
      <c r="M141" t="s">
        <v>6364</v>
      </c>
      <c r="N141" t="s">
        <v>1755</v>
      </c>
      <c r="O141" t="s">
        <v>134</v>
      </c>
      <c r="P141" t="s">
        <v>6548</v>
      </c>
      <c r="Q141" t="s">
        <v>135</v>
      </c>
      <c r="R141" t="s">
        <v>6307</v>
      </c>
      <c r="S141" t="s">
        <v>1755</v>
      </c>
      <c r="T141" t="s">
        <v>1755</v>
      </c>
      <c r="U141" t="s">
        <v>1755</v>
      </c>
      <c r="V141" t="s">
        <v>1755</v>
      </c>
      <c r="W141">
        <v>25000</v>
      </c>
      <c r="X141">
        <v>25000</v>
      </c>
      <c r="Y141">
        <v>46080</v>
      </c>
      <c r="Z141">
        <v>46077</v>
      </c>
      <c r="AA141" t="s">
        <v>1755</v>
      </c>
      <c r="AB141">
        <v>3</v>
      </c>
      <c r="AC141">
        <v>150000</v>
      </c>
      <c r="AD141">
        <v>187500</v>
      </c>
      <c r="AE141">
        <v>37500</v>
      </c>
      <c r="AF141" t="s">
        <v>1755</v>
      </c>
      <c r="AG141">
        <v>6</v>
      </c>
      <c r="AI141" t="s">
        <v>6308</v>
      </c>
      <c r="AJ141" t="s">
        <v>47</v>
      </c>
      <c r="AK141" t="s">
        <v>107</v>
      </c>
      <c r="AL141" t="s">
        <v>107</v>
      </c>
      <c r="AM141" t="s">
        <v>107</v>
      </c>
      <c r="AO141">
        <v>-37500</v>
      </c>
      <c r="AP141">
        <v>0.2</v>
      </c>
      <c r="AQ141">
        <v>6</v>
      </c>
      <c r="AR141" t="s">
        <v>47</v>
      </c>
      <c r="AT141" t="s">
        <v>47</v>
      </c>
    </row>
    <row r="142" spans="1:46" x14ac:dyDescent="0.25">
      <c r="A142" t="s">
        <v>6329</v>
      </c>
      <c r="B142" s="19">
        <v>46078</v>
      </c>
      <c r="C142" t="s">
        <v>6549</v>
      </c>
      <c r="D142" t="s">
        <v>1600</v>
      </c>
      <c r="E142" t="s">
        <v>1371</v>
      </c>
      <c r="F142" t="s">
        <v>31</v>
      </c>
      <c r="G142" t="s">
        <v>1755</v>
      </c>
      <c r="I142" t="str">
        <f>CONCATENATE(Inbound___Outbound_Shifting[[#This Row],[Batch '#]],"-",Inbound___Outbound_Shifting[[#This Row],[Exp '# or Key]])</f>
        <v>--</v>
      </c>
      <c r="J142" t="s">
        <v>1755</v>
      </c>
      <c r="K142">
        <v>28</v>
      </c>
      <c r="L142" t="s">
        <v>1371</v>
      </c>
      <c r="M142" t="s">
        <v>6489</v>
      </c>
      <c r="N142" t="s">
        <v>1755</v>
      </c>
      <c r="O142" t="s">
        <v>455</v>
      </c>
      <c r="P142" t="s">
        <v>6550</v>
      </c>
      <c r="Q142" t="s">
        <v>1492</v>
      </c>
      <c r="R142" t="s">
        <v>6307</v>
      </c>
      <c r="S142" t="s">
        <v>1755</v>
      </c>
      <c r="T142" t="s">
        <v>1755</v>
      </c>
      <c r="U142" t="s">
        <v>1755</v>
      </c>
      <c r="V142" t="s">
        <v>1755</v>
      </c>
      <c r="W142">
        <v>11000</v>
      </c>
      <c r="X142">
        <v>11000</v>
      </c>
      <c r="Y142">
        <v>46079</v>
      </c>
      <c r="Z142">
        <v>46078</v>
      </c>
      <c r="AA142" t="s">
        <v>1755</v>
      </c>
      <c r="AB142">
        <v>1</v>
      </c>
      <c r="AC142">
        <v>140000</v>
      </c>
      <c r="AD142">
        <v>82500</v>
      </c>
      <c r="AE142">
        <v>-57500</v>
      </c>
      <c r="AF142" t="s">
        <v>1755</v>
      </c>
      <c r="AG142">
        <v>12.727272727272727</v>
      </c>
      <c r="AI142" t="s">
        <v>6308</v>
      </c>
      <c r="AJ142" t="s">
        <v>47</v>
      </c>
      <c r="AK142" t="s">
        <v>107</v>
      </c>
      <c r="AL142" t="s">
        <v>107</v>
      </c>
      <c r="AM142" t="s">
        <v>107</v>
      </c>
      <c r="AO142">
        <v>57500</v>
      </c>
      <c r="AP142">
        <v>-0.69696969696969702</v>
      </c>
      <c r="AQ142">
        <v>12.727272727272727</v>
      </c>
      <c r="AR142" t="s">
        <v>47</v>
      </c>
      <c r="AT142" t="s">
        <v>47</v>
      </c>
    </row>
    <row r="143" spans="1:46" x14ac:dyDescent="0.25">
      <c r="A143" t="s">
        <v>6329</v>
      </c>
      <c r="B143" s="19">
        <v>46078</v>
      </c>
      <c r="C143" t="s">
        <v>6551</v>
      </c>
      <c r="D143" t="s">
        <v>1600</v>
      </c>
      <c r="E143" t="s">
        <v>366</v>
      </c>
      <c r="F143" t="s">
        <v>31</v>
      </c>
      <c r="I143" t="str">
        <f>CONCATENATE(Inbound___Outbound_Shifting[[#This Row],[Batch '#]],"-",Inbound___Outbound_Shifting[[#This Row],[Exp '# or Key]])</f>
        <v>-</v>
      </c>
      <c r="J143" t="s">
        <v>1755</v>
      </c>
      <c r="K143">
        <v>6</v>
      </c>
      <c r="L143" t="s">
        <v>366</v>
      </c>
      <c r="M143" t="s">
        <v>6552</v>
      </c>
      <c r="N143" t="s">
        <v>1755</v>
      </c>
      <c r="O143" t="s">
        <v>455</v>
      </c>
      <c r="P143" t="s">
        <v>6553</v>
      </c>
      <c r="Q143" t="s">
        <v>1487</v>
      </c>
      <c r="R143" t="s">
        <v>6307</v>
      </c>
      <c r="S143" t="s">
        <v>1755</v>
      </c>
      <c r="T143" t="s">
        <v>1755</v>
      </c>
      <c r="U143" t="s">
        <v>1755</v>
      </c>
      <c r="V143" t="s">
        <v>1755</v>
      </c>
      <c r="W143">
        <v>35000</v>
      </c>
      <c r="X143">
        <v>35000</v>
      </c>
      <c r="Y143">
        <v>46079</v>
      </c>
      <c r="Z143">
        <v>46078</v>
      </c>
      <c r="AA143" t="s">
        <v>1755</v>
      </c>
      <c r="AB143">
        <v>1</v>
      </c>
      <c r="AC143">
        <v>255000</v>
      </c>
      <c r="AD143">
        <v>262500</v>
      </c>
      <c r="AE143">
        <v>7500</v>
      </c>
      <c r="AF143" t="s">
        <v>1755</v>
      </c>
      <c r="AG143">
        <v>7.2857142857142856</v>
      </c>
      <c r="AI143" t="s">
        <v>6308</v>
      </c>
      <c r="AJ143" t="s">
        <v>47</v>
      </c>
      <c r="AK143" t="s">
        <v>107</v>
      </c>
      <c r="AL143" t="s">
        <v>107</v>
      </c>
      <c r="AM143" t="s">
        <v>107</v>
      </c>
      <c r="AO143">
        <v>-7500</v>
      </c>
      <c r="AP143">
        <v>2.8571428571428571E-2</v>
      </c>
      <c r="AQ143">
        <v>7.2857142857142856</v>
      </c>
      <c r="AR143" t="s">
        <v>47</v>
      </c>
      <c r="AT143" t="s">
        <v>47</v>
      </c>
    </row>
    <row r="144" spans="1:46" x14ac:dyDescent="0.25">
      <c r="A144" t="s">
        <v>6329</v>
      </c>
      <c r="B144" s="19">
        <v>46079</v>
      </c>
      <c r="C144" t="s">
        <v>1546</v>
      </c>
      <c r="D144" t="s">
        <v>1596</v>
      </c>
      <c r="E144" t="s">
        <v>117</v>
      </c>
      <c r="F144" t="s">
        <v>1547</v>
      </c>
      <c r="G144" t="s">
        <v>1755</v>
      </c>
      <c r="I144" t="str">
        <f>CONCATENATE(Inbound___Outbound_Shifting[[#This Row],[Batch '#]],"-",Inbound___Outbound_Shifting[[#This Row],[Exp '# or Key]])</f>
        <v>--</v>
      </c>
      <c r="J144" t="s">
        <v>1755</v>
      </c>
      <c r="K144">
        <v>1</v>
      </c>
      <c r="L144" t="s">
        <v>117</v>
      </c>
      <c r="M144" t="s">
        <v>6471</v>
      </c>
      <c r="N144" t="s">
        <v>1755</v>
      </c>
      <c r="O144" t="s">
        <v>767</v>
      </c>
      <c r="P144" t="s">
        <v>6554</v>
      </c>
      <c r="Q144" t="s">
        <v>1548</v>
      </c>
      <c r="R144" t="s">
        <v>6307</v>
      </c>
      <c r="S144" t="s">
        <v>1755</v>
      </c>
      <c r="T144" t="s">
        <v>1755</v>
      </c>
      <c r="U144" t="s">
        <v>1755</v>
      </c>
      <c r="V144" t="s">
        <v>1755</v>
      </c>
      <c r="W144">
        <v>11000</v>
      </c>
      <c r="X144">
        <v>11500</v>
      </c>
      <c r="Y144">
        <v>46079</v>
      </c>
      <c r="Z144">
        <v>46079</v>
      </c>
      <c r="AA144" t="s">
        <v>1755</v>
      </c>
      <c r="AB144">
        <v>0</v>
      </c>
      <c r="AC144">
        <v>55000</v>
      </c>
      <c r="AD144">
        <v>86250</v>
      </c>
      <c r="AE144">
        <v>31250</v>
      </c>
      <c r="AF144" t="s">
        <v>1755</v>
      </c>
      <c r="AG144">
        <v>4.7826086956521738</v>
      </c>
      <c r="AI144" t="s">
        <v>6369</v>
      </c>
      <c r="AJ144" t="s">
        <v>47</v>
      </c>
      <c r="AK144" t="s">
        <v>6335</v>
      </c>
      <c r="AL144" t="s">
        <v>6335</v>
      </c>
      <c r="AM144" t="s">
        <v>6335</v>
      </c>
      <c r="AO144">
        <v>-31250</v>
      </c>
      <c r="AP144">
        <v>0.36231884057971014</v>
      </c>
      <c r="AQ144">
        <v>4.7826086956521738</v>
      </c>
      <c r="AR144" t="s">
        <v>47</v>
      </c>
      <c r="AT144" t="s">
        <v>47</v>
      </c>
    </row>
    <row r="145" spans="1:46" x14ac:dyDescent="0.25">
      <c r="A145" t="s">
        <v>6300</v>
      </c>
      <c r="B145" s="19">
        <v>46080</v>
      </c>
      <c r="C145" t="s">
        <v>6555</v>
      </c>
      <c r="D145" t="s">
        <v>6302</v>
      </c>
      <c r="E145" t="s">
        <v>6061</v>
      </c>
      <c r="F145" t="s">
        <v>6319</v>
      </c>
      <c r="G145" t="s">
        <v>1755</v>
      </c>
      <c r="I145" t="str">
        <f>CONCATENATE(Inbound___Outbound_Shifting[[#This Row],[Batch '#]],"-",Inbound___Outbound_Shifting[[#This Row],[Exp '# or Key]])</f>
        <v>--</v>
      </c>
      <c r="J145" t="s">
        <v>6556</v>
      </c>
      <c r="K145" t="s">
        <v>6557</v>
      </c>
      <c r="L145" t="s">
        <v>1755</v>
      </c>
      <c r="M145" t="s">
        <v>1755</v>
      </c>
      <c r="N145" t="s">
        <v>1755</v>
      </c>
      <c r="O145" t="s">
        <v>430</v>
      </c>
      <c r="P145" t="s">
        <v>6558</v>
      </c>
      <c r="Q145" t="s">
        <v>6559</v>
      </c>
      <c r="R145" t="s">
        <v>6560</v>
      </c>
      <c r="S145">
        <v>1</v>
      </c>
      <c r="U145">
        <v>1</v>
      </c>
      <c r="V145" t="s">
        <v>1755</v>
      </c>
      <c r="W145">
        <v>27000</v>
      </c>
      <c r="X145">
        <v>29100</v>
      </c>
      <c r="Y145">
        <v>46084</v>
      </c>
      <c r="Z145" t="s">
        <v>1755</v>
      </c>
      <c r="AA145" t="s">
        <v>1755</v>
      </c>
      <c r="AB145">
        <v>4</v>
      </c>
      <c r="AC145">
        <v>298920</v>
      </c>
      <c r="AD145">
        <v>436500</v>
      </c>
      <c r="AE145">
        <v>137580</v>
      </c>
      <c r="AF145" t="s">
        <v>1755</v>
      </c>
      <c r="AG145">
        <v>10.272164948453609</v>
      </c>
      <c r="AH145">
        <v>245.21739130434781</v>
      </c>
      <c r="AI145" t="s">
        <v>6308</v>
      </c>
      <c r="AJ145" t="s">
        <v>47</v>
      </c>
      <c r="AK145" t="s">
        <v>107</v>
      </c>
      <c r="AL145" t="s">
        <v>107</v>
      </c>
      <c r="AM145" t="s">
        <v>107</v>
      </c>
      <c r="AO145">
        <v>-137580</v>
      </c>
      <c r="AP145">
        <v>0.31518900343642614</v>
      </c>
      <c r="AQ145">
        <v>10.272164948453609</v>
      </c>
      <c r="AR145" t="s">
        <v>47</v>
      </c>
      <c r="AT145" t="s">
        <v>47</v>
      </c>
    </row>
    <row r="146" spans="1:46" x14ac:dyDescent="0.25">
      <c r="A146" t="s">
        <v>6329</v>
      </c>
      <c r="B146" s="19">
        <v>46084</v>
      </c>
      <c r="C146" t="s">
        <v>6546</v>
      </c>
      <c r="D146" t="s">
        <v>6330</v>
      </c>
      <c r="E146" t="s">
        <v>117</v>
      </c>
      <c r="F146" t="s">
        <v>6547</v>
      </c>
      <c r="G146" t="s">
        <v>1755</v>
      </c>
      <c r="I146" t="str">
        <f>CONCATENATE(Inbound___Outbound_Shifting[[#This Row],[Batch '#]],"-",Inbound___Outbound_Shifting[[#This Row],[Exp '# or Key]])</f>
        <v>--</v>
      </c>
      <c r="J146" t="s">
        <v>1755</v>
      </c>
      <c r="K146" t="s">
        <v>1755</v>
      </c>
      <c r="L146" t="s">
        <v>117</v>
      </c>
      <c r="M146" t="s">
        <v>6364</v>
      </c>
      <c r="N146" t="s">
        <v>1755</v>
      </c>
      <c r="O146" t="s">
        <v>134</v>
      </c>
      <c r="P146" t="s">
        <v>6561</v>
      </c>
      <c r="Q146" t="s">
        <v>6562</v>
      </c>
      <c r="R146" t="s">
        <v>6307</v>
      </c>
      <c r="S146" t="s">
        <v>1755</v>
      </c>
      <c r="T146" t="s">
        <v>1755</v>
      </c>
      <c r="U146" t="s">
        <v>1755</v>
      </c>
      <c r="V146" t="s">
        <v>1755</v>
      </c>
      <c r="W146">
        <v>23000</v>
      </c>
      <c r="X146">
        <v>24440</v>
      </c>
      <c r="Y146">
        <v>46087</v>
      </c>
      <c r="Z146">
        <v>46077</v>
      </c>
      <c r="AA146" t="s">
        <v>1755</v>
      </c>
      <c r="AB146">
        <v>3</v>
      </c>
      <c r="AC146">
        <v>140000</v>
      </c>
      <c r="AD146">
        <v>183300</v>
      </c>
      <c r="AE146">
        <v>43300</v>
      </c>
      <c r="AF146" t="s">
        <v>1755</v>
      </c>
      <c r="AG146">
        <v>5.728314238952537</v>
      </c>
      <c r="AI146" t="s">
        <v>6308</v>
      </c>
      <c r="AJ146" t="s">
        <v>47</v>
      </c>
      <c r="AK146" t="s">
        <v>107</v>
      </c>
      <c r="AL146" t="s">
        <v>107</v>
      </c>
      <c r="AM146" t="s">
        <v>107</v>
      </c>
      <c r="AO146">
        <v>-43300</v>
      </c>
      <c r="AP146">
        <v>0.23622476813966176</v>
      </c>
      <c r="AQ146">
        <v>5.728314238952537</v>
      </c>
      <c r="AR146" t="s">
        <v>47</v>
      </c>
      <c r="AT146" t="s">
        <v>47</v>
      </c>
    </row>
    <row r="147" spans="1:46" x14ac:dyDescent="0.25">
      <c r="A147" t="s">
        <v>6329</v>
      </c>
      <c r="B147" s="19">
        <v>46084</v>
      </c>
      <c r="C147" t="s">
        <v>6546</v>
      </c>
      <c r="D147" t="s">
        <v>6330</v>
      </c>
      <c r="E147" t="s">
        <v>117</v>
      </c>
      <c r="F147" t="s">
        <v>6547</v>
      </c>
      <c r="G147" t="s">
        <v>1755</v>
      </c>
      <c r="I147" t="str">
        <f>CONCATENATE(Inbound___Outbound_Shifting[[#This Row],[Batch '#]],"-",Inbound___Outbound_Shifting[[#This Row],[Exp '# or Key]])</f>
        <v>--</v>
      </c>
      <c r="J147" t="s">
        <v>1755</v>
      </c>
      <c r="K147" t="s">
        <v>1755</v>
      </c>
      <c r="L147" t="s">
        <v>117</v>
      </c>
      <c r="M147" t="s">
        <v>6364</v>
      </c>
      <c r="N147" t="s">
        <v>1755</v>
      </c>
      <c r="O147" t="s">
        <v>134</v>
      </c>
      <c r="P147" t="s">
        <v>6563</v>
      </c>
      <c r="Q147" t="s">
        <v>6564</v>
      </c>
      <c r="R147" t="s">
        <v>6307</v>
      </c>
      <c r="S147" t="s">
        <v>1755</v>
      </c>
      <c r="T147" t="s">
        <v>1755</v>
      </c>
      <c r="U147" t="s">
        <v>1755</v>
      </c>
      <c r="V147" t="s">
        <v>1755</v>
      </c>
      <c r="W147">
        <v>19000</v>
      </c>
      <c r="X147">
        <v>19770</v>
      </c>
      <c r="Y147">
        <v>46087</v>
      </c>
      <c r="Z147">
        <v>46077</v>
      </c>
      <c r="AA147" t="s">
        <v>1755</v>
      </c>
      <c r="AB147">
        <v>3</v>
      </c>
      <c r="AC147">
        <v>150000</v>
      </c>
      <c r="AD147">
        <v>148275</v>
      </c>
      <c r="AE147">
        <v>-1725</v>
      </c>
      <c r="AF147" t="s">
        <v>1755</v>
      </c>
      <c r="AG147">
        <v>7.587253414264036</v>
      </c>
      <c r="AI147" t="s">
        <v>6308</v>
      </c>
      <c r="AJ147" t="s">
        <v>47</v>
      </c>
      <c r="AK147" t="s">
        <v>107</v>
      </c>
      <c r="AL147" t="s">
        <v>107</v>
      </c>
      <c r="AM147" t="s">
        <v>107</v>
      </c>
      <c r="AO147">
        <v>1725</v>
      </c>
      <c r="AP147">
        <v>-1.163378856853819E-2</v>
      </c>
      <c r="AQ147">
        <v>7.587253414264036</v>
      </c>
      <c r="AR147" t="s">
        <v>47</v>
      </c>
      <c r="AT147" t="s">
        <v>47</v>
      </c>
    </row>
    <row r="148" spans="1:46" x14ac:dyDescent="0.25">
      <c r="A148" t="s">
        <v>6329</v>
      </c>
      <c r="B148" s="19">
        <v>46084</v>
      </c>
      <c r="C148" t="s">
        <v>1536</v>
      </c>
      <c r="D148" t="s">
        <v>1596</v>
      </c>
      <c r="E148" t="s">
        <v>366</v>
      </c>
      <c r="F148" t="s">
        <v>1305</v>
      </c>
      <c r="G148" t="s">
        <v>1755</v>
      </c>
      <c r="I148" t="str">
        <f>CONCATENATE(Inbound___Outbound_Shifting[[#This Row],[Batch '#]],"-",Inbound___Outbound_Shifting[[#This Row],[Exp '# or Key]])</f>
        <v>--</v>
      </c>
      <c r="J148" t="s">
        <v>1755</v>
      </c>
      <c r="K148" t="s">
        <v>1755</v>
      </c>
      <c r="L148" t="s">
        <v>366</v>
      </c>
      <c r="M148" t="s">
        <v>6364</v>
      </c>
      <c r="N148" t="s">
        <v>1755</v>
      </c>
      <c r="O148" t="s">
        <v>767</v>
      </c>
      <c r="P148" t="s">
        <v>6565</v>
      </c>
      <c r="Q148" t="s">
        <v>1537</v>
      </c>
      <c r="R148" t="s">
        <v>6441</v>
      </c>
      <c r="S148" t="s">
        <v>1755</v>
      </c>
      <c r="T148" t="s">
        <v>1755</v>
      </c>
      <c r="U148" t="s">
        <v>1755</v>
      </c>
      <c r="V148" t="s">
        <v>1755</v>
      </c>
      <c r="W148">
        <v>22000</v>
      </c>
      <c r="X148">
        <v>22515</v>
      </c>
      <c r="Y148">
        <v>46087</v>
      </c>
      <c r="Z148">
        <v>46080</v>
      </c>
      <c r="AA148" t="s">
        <v>1755</v>
      </c>
      <c r="AB148">
        <v>3</v>
      </c>
      <c r="AC148">
        <v>45000</v>
      </c>
      <c r="AD148">
        <v>168862.5</v>
      </c>
      <c r="AE148">
        <v>123862.5</v>
      </c>
      <c r="AF148" t="s">
        <v>1755</v>
      </c>
      <c r="AG148">
        <v>1.9986675549633577</v>
      </c>
      <c r="AI148" t="s">
        <v>6369</v>
      </c>
      <c r="AJ148" t="s">
        <v>47</v>
      </c>
      <c r="AK148" t="s">
        <v>6335</v>
      </c>
      <c r="AL148" t="s">
        <v>6335</v>
      </c>
      <c r="AM148" t="s">
        <v>6335</v>
      </c>
      <c r="AO148">
        <v>-123862.5</v>
      </c>
      <c r="AP148">
        <v>0.73351099267155229</v>
      </c>
      <c r="AQ148">
        <v>1.9986675549633577</v>
      </c>
      <c r="AR148" t="s">
        <v>47</v>
      </c>
      <c r="AT148" t="s">
        <v>47</v>
      </c>
    </row>
    <row r="149" spans="1:46" x14ac:dyDescent="0.25">
      <c r="A149" t="s">
        <v>6329</v>
      </c>
      <c r="B149" s="19">
        <v>46085</v>
      </c>
      <c r="C149" t="s">
        <v>932</v>
      </c>
      <c r="D149" t="s">
        <v>6330</v>
      </c>
      <c r="E149" t="s">
        <v>366</v>
      </c>
      <c r="F149" t="s">
        <v>23</v>
      </c>
      <c r="G149" t="s">
        <v>761</v>
      </c>
      <c r="I149" t="str">
        <f>CONCATENATE(Inbound___Outbound_Shifting[[#This Row],[Batch '#]],"-",Inbound___Outbound_Shifting[[#This Row],[Exp '# or Key]])</f>
        <v>1st-</v>
      </c>
      <c r="J149" t="s">
        <v>1755</v>
      </c>
      <c r="K149">
        <v>1</v>
      </c>
      <c r="L149" t="s">
        <v>366</v>
      </c>
      <c r="M149" t="s">
        <v>6331</v>
      </c>
      <c r="N149" t="s">
        <v>1755</v>
      </c>
      <c r="O149" t="s">
        <v>455</v>
      </c>
      <c r="P149" t="s">
        <v>6566</v>
      </c>
      <c r="Q149" t="s">
        <v>933</v>
      </c>
      <c r="R149" t="s">
        <v>6333</v>
      </c>
      <c r="S149" t="s">
        <v>1755</v>
      </c>
      <c r="T149" t="s">
        <v>1755</v>
      </c>
      <c r="U149" t="s">
        <v>1755</v>
      </c>
      <c r="V149" t="s">
        <v>1755</v>
      </c>
      <c r="W149">
        <v>2200</v>
      </c>
      <c r="X149">
        <v>2200</v>
      </c>
      <c r="Y149">
        <v>46085</v>
      </c>
      <c r="Z149">
        <v>46085</v>
      </c>
      <c r="AA149" t="s">
        <v>1755</v>
      </c>
      <c r="AB149">
        <v>0</v>
      </c>
      <c r="AC149">
        <v>22000</v>
      </c>
      <c r="AD149">
        <v>16500</v>
      </c>
      <c r="AE149">
        <v>-5500</v>
      </c>
      <c r="AF149" t="s">
        <v>1755</v>
      </c>
      <c r="AG149">
        <v>10</v>
      </c>
      <c r="AI149" t="s">
        <v>6308</v>
      </c>
      <c r="AJ149" t="s">
        <v>47</v>
      </c>
      <c r="AK149" t="s">
        <v>107</v>
      </c>
      <c r="AL149" t="s">
        <v>107</v>
      </c>
      <c r="AM149" t="s">
        <v>107</v>
      </c>
      <c r="AO149">
        <v>5500</v>
      </c>
      <c r="AP149">
        <v>-0.33333333333333331</v>
      </c>
      <c r="AQ149">
        <v>10</v>
      </c>
      <c r="AR149" t="s">
        <v>47</v>
      </c>
      <c r="AT149" t="s">
        <v>47</v>
      </c>
    </row>
    <row r="150" spans="1:46" x14ac:dyDescent="0.25">
      <c r="A150" t="s">
        <v>6300</v>
      </c>
      <c r="B150" s="19">
        <v>46086</v>
      </c>
      <c r="C150" t="s">
        <v>6567</v>
      </c>
      <c r="D150" t="s">
        <v>6302</v>
      </c>
      <c r="E150" t="s">
        <v>6061</v>
      </c>
      <c r="F150" t="s">
        <v>1371</v>
      </c>
      <c r="G150" t="s">
        <v>1755</v>
      </c>
      <c r="I150" t="str">
        <f>CONCATENATE(Inbound___Outbound_Shifting[[#This Row],[Batch '#]],"-",Inbound___Outbound_Shifting[[#This Row],[Exp '# or Key]])</f>
        <v>--</v>
      </c>
      <c r="J150" t="s">
        <v>6532</v>
      </c>
      <c r="K150" t="s">
        <v>6568</v>
      </c>
      <c r="L150" t="s">
        <v>1755</v>
      </c>
      <c r="M150" t="s">
        <v>1755</v>
      </c>
      <c r="N150" t="s">
        <v>1755</v>
      </c>
      <c r="O150" t="s">
        <v>430</v>
      </c>
      <c r="P150" t="s">
        <v>6569</v>
      </c>
      <c r="Q150" t="s">
        <v>6570</v>
      </c>
      <c r="R150" t="s">
        <v>6560</v>
      </c>
      <c r="S150">
        <v>1</v>
      </c>
      <c r="T150" t="s">
        <v>6571</v>
      </c>
      <c r="U150">
        <v>1</v>
      </c>
      <c r="V150" t="s">
        <v>1755</v>
      </c>
      <c r="W150">
        <v>21600</v>
      </c>
      <c r="X150">
        <v>22608</v>
      </c>
      <c r="Y150">
        <v>46089</v>
      </c>
      <c r="Z150" t="s">
        <v>1755</v>
      </c>
      <c r="AA150" t="s">
        <v>1755</v>
      </c>
      <c r="AB150">
        <v>3</v>
      </c>
      <c r="AC150">
        <v>277580</v>
      </c>
      <c r="AD150">
        <v>339120</v>
      </c>
      <c r="AE150">
        <v>61540</v>
      </c>
      <c r="AF150" t="s">
        <v>1755</v>
      </c>
      <c r="AG150">
        <v>12.277954706298654</v>
      </c>
      <c r="AH150">
        <v>227.71123872026251</v>
      </c>
      <c r="AI150" t="s">
        <v>6308</v>
      </c>
      <c r="AJ150" t="s">
        <v>47</v>
      </c>
      <c r="AK150" t="s">
        <v>107</v>
      </c>
      <c r="AL150" t="s">
        <v>107</v>
      </c>
      <c r="AM150" t="s">
        <v>107</v>
      </c>
      <c r="AO150">
        <v>-61540</v>
      </c>
      <c r="AP150">
        <v>0.1814696862467563</v>
      </c>
      <c r="AQ150">
        <v>12.277954706298654</v>
      </c>
      <c r="AR150" t="s">
        <v>47</v>
      </c>
      <c r="AT150" t="s">
        <v>47</v>
      </c>
    </row>
    <row r="151" spans="1:46" x14ac:dyDescent="0.25">
      <c r="A151" t="s">
        <v>6300</v>
      </c>
      <c r="B151" s="19">
        <v>46086</v>
      </c>
      <c r="C151" t="s">
        <v>6572</v>
      </c>
      <c r="D151" t="s">
        <v>6302</v>
      </c>
      <c r="E151" t="s">
        <v>1268</v>
      </c>
      <c r="F151" t="s">
        <v>117</v>
      </c>
      <c r="G151" t="s">
        <v>1755</v>
      </c>
      <c r="I151" t="str">
        <f>CONCATENATE(Inbound___Outbound_Shifting[[#This Row],[Batch '#]],"-",Inbound___Outbound_Shifting[[#This Row],[Exp '# or Key]])</f>
        <v>--</v>
      </c>
      <c r="J151" t="s">
        <v>6573</v>
      </c>
      <c r="K151" t="s">
        <v>2337</v>
      </c>
      <c r="L151" t="s">
        <v>1755</v>
      </c>
      <c r="M151" t="s">
        <v>1755</v>
      </c>
      <c r="N151" t="s">
        <v>1755</v>
      </c>
      <c r="O151" t="s">
        <v>175</v>
      </c>
      <c r="P151" t="s">
        <v>6574</v>
      </c>
      <c r="Q151">
        <v>0</v>
      </c>
      <c r="R151" t="s">
        <v>6575</v>
      </c>
      <c r="S151">
        <v>1</v>
      </c>
      <c r="T151" t="s">
        <v>1755</v>
      </c>
      <c r="U151" t="s">
        <v>1755</v>
      </c>
      <c r="V151" t="s">
        <v>1755</v>
      </c>
      <c r="W151">
        <v>3300</v>
      </c>
      <c r="X151">
        <v>5450</v>
      </c>
      <c r="Y151">
        <v>46089</v>
      </c>
      <c r="Z151" t="s">
        <v>1755</v>
      </c>
      <c r="AA151" t="s">
        <v>1755</v>
      </c>
      <c r="AB151">
        <v>3</v>
      </c>
      <c r="AC151">
        <v>160000</v>
      </c>
      <c r="AD151">
        <v>81750</v>
      </c>
      <c r="AE151">
        <v>-78250</v>
      </c>
      <c r="AF151" t="s">
        <v>1755</v>
      </c>
      <c r="AG151">
        <v>29.357798165137616</v>
      </c>
      <c r="AH151">
        <v>131.25512715340443</v>
      </c>
      <c r="AI151" t="s">
        <v>6308</v>
      </c>
      <c r="AJ151" t="s">
        <v>47</v>
      </c>
      <c r="AK151" t="s">
        <v>107</v>
      </c>
      <c r="AL151" t="s">
        <v>107</v>
      </c>
      <c r="AM151" t="s">
        <v>107</v>
      </c>
      <c r="AO151">
        <v>78250</v>
      </c>
      <c r="AP151">
        <v>-0.95718654434250761</v>
      </c>
      <c r="AQ151">
        <v>29.357798165137616</v>
      </c>
      <c r="AR151" t="s">
        <v>47</v>
      </c>
      <c r="AT151" t="s">
        <v>47</v>
      </c>
    </row>
    <row r="152" spans="1:46" x14ac:dyDescent="0.25">
      <c r="A152" t="s">
        <v>1755</v>
      </c>
      <c r="B152" s="19">
        <v>46086</v>
      </c>
      <c r="C152" t="s">
        <v>6576</v>
      </c>
      <c r="D152" t="s">
        <v>6302</v>
      </c>
      <c r="E152" t="s">
        <v>1268</v>
      </c>
      <c r="F152" t="s">
        <v>1371</v>
      </c>
      <c r="G152" t="s">
        <v>1755</v>
      </c>
      <c r="I152" t="str">
        <f>CONCATENATE(Inbound___Outbound_Shifting[[#This Row],[Batch '#]],"-",Inbound___Outbound_Shifting[[#This Row],[Exp '# or Key]])</f>
        <v>--</v>
      </c>
      <c r="J152" t="s">
        <v>6577</v>
      </c>
      <c r="K152" t="s">
        <v>6317</v>
      </c>
      <c r="L152" t="s">
        <v>1755</v>
      </c>
      <c r="M152" t="s">
        <v>1755</v>
      </c>
      <c r="N152" t="s">
        <v>1755</v>
      </c>
      <c r="O152" t="s">
        <v>1755</v>
      </c>
      <c r="P152" t="s">
        <v>1755</v>
      </c>
      <c r="Q152" t="s">
        <v>1755</v>
      </c>
      <c r="R152" t="s">
        <v>1755</v>
      </c>
      <c r="S152" t="s">
        <v>1755</v>
      </c>
      <c r="T152" t="s">
        <v>1755</v>
      </c>
      <c r="U152" t="s">
        <v>1755</v>
      </c>
      <c r="V152" t="s">
        <v>1755</v>
      </c>
      <c r="W152">
        <v>1300</v>
      </c>
      <c r="X152" t="s">
        <v>1755</v>
      </c>
      <c r="Y152">
        <v>46089</v>
      </c>
      <c r="Z152" t="s">
        <v>1755</v>
      </c>
      <c r="AA152" t="s">
        <v>1755</v>
      </c>
      <c r="AB152">
        <v>3</v>
      </c>
      <c r="AC152">
        <v>0</v>
      </c>
      <c r="AE152">
        <v>0</v>
      </c>
      <c r="AF152" t="s">
        <v>1755</v>
      </c>
      <c r="AH152">
        <v>0</v>
      </c>
      <c r="AI152" t="s">
        <v>1755</v>
      </c>
      <c r="AJ152" t="s">
        <v>1755</v>
      </c>
      <c r="AK152" t="s">
        <v>1755</v>
      </c>
      <c r="AL152" t="s">
        <v>1755</v>
      </c>
      <c r="AM152" t="s">
        <v>1755</v>
      </c>
      <c r="AO152">
        <v>0</v>
      </c>
    </row>
    <row r="153" spans="1:46" x14ac:dyDescent="0.25">
      <c r="A153" t="s">
        <v>1755</v>
      </c>
      <c r="B153" s="19">
        <v>46086</v>
      </c>
      <c r="C153" t="s">
        <v>6578</v>
      </c>
      <c r="D153" t="s">
        <v>6302</v>
      </c>
      <c r="E153" t="s">
        <v>1268</v>
      </c>
      <c r="F153" t="s">
        <v>1371</v>
      </c>
      <c r="G153" t="s">
        <v>1755</v>
      </c>
      <c r="I153" t="str">
        <f>CONCATENATE(Inbound___Outbound_Shifting[[#This Row],[Batch '#]],"-",Inbound___Outbound_Shifting[[#This Row],[Exp '# or Key]])</f>
        <v>--</v>
      </c>
      <c r="J153" t="s">
        <v>6579</v>
      </c>
      <c r="K153" t="s">
        <v>6580</v>
      </c>
      <c r="L153" t="s">
        <v>1755</v>
      </c>
      <c r="M153" t="s">
        <v>1755</v>
      </c>
      <c r="N153" t="s">
        <v>1755</v>
      </c>
      <c r="O153" t="s">
        <v>1755</v>
      </c>
      <c r="P153" t="s">
        <v>1755</v>
      </c>
      <c r="Q153" t="s">
        <v>1755</v>
      </c>
      <c r="R153" t="s">
        <v>1755</v>
      </c>
      <c r="S153" t="s">
        <v>1755</v>
      </c>
      <c r="T153" t="s">
        <v>1755</v>
      </c>
      <c r="U153" t="s">
        <v>1755</v>
      </c>
      <c r="V153" t="s">
        <v>1755</v>
      </c>
      <c r="W153">
        <v>750</v>
      </c>
      <c r="X153" t="s">
        <v>1755</v>
      </c>
      <c r="Y153">
        <v>46089</v>
      </c>
      <c r="Z153" t="s">
        <v>1755</v>
      </c>
      <c r="AA153" t="s">
        <v>1755</v>
      </c>
      <c r="AB153">
        <v>3</v>
      </c>
      <c r="AC153">
        <v>0</v>
      </c>
      <c r="AE153">
        <v>0</v>
      </c>
      <c r="AF153" t="s">
        <v>1755</v>
      </c>
      <c r="AH153">
        <v>0</v>
      </c>
      <c r="AI153" t="s">
        <v>1755</v>
      </c>
      <c r="AJ153" t="s">
        <v>1755</v>
      </c>
      <c r="AK153" t="s">
        <v>1755</v>
      </c>
      <c r="AL153" t="s">
        <v>1755</v>
      </c>
      <c r="AM153" t="s">
        <v>1755</v>
      </c>
      <c r="AO153">
        <v>0</v>
      </c>
    </row>
    <row r="154" spans="1:46" x14ac:dyDescent="0.25">
      <c r="A154" t="s">
        <v>1755</v>
      </c>
      <c r="B154" s="19">
        <v>46086</v>
      </c>
      <c r="C154" t="s">
        <v>1755</v>
      </c>
      <c r="D154" t="s">
        <v>6302</v>
      </c>
      <c r="E154" t="s">
        <v>1268</v>
      </c>
      <c r="F154" t="s">
        <v>1371</v>
      </c>
      <c r="G154" t="s">
        <v>1755</v>
      </c>
      <c r="I154" t="str">
        <f>CONCATENATE(Inbound___Outbound_Shifting[[#This Row],[Batch '#]],"-",Inbound___Outbound_Shifting[[#This Row],[Exp '# or Key]])</f>
        <v>--</v>
      </c>
      <c r="J154" t="s">
        <v>6581</v>
      </c>
      <c r="K154" t="s">
        <v>6380</v>
      </c>
      <c r="L154" t="s">
        <v>1755</v>
      </c>
      <c r="M154" t="s">
        <v>1755</v>
      </c>
      <c r="N154" t="s">
        <v>1755</v>
      </c>
      <c r="O154" t="s">
        <v>1755</v>
      </c>
      <c r="P154" t="s">
        <v>1755</v>
      </c>
      <c r="Q154" t="s">
        <v>1755</v>
      </c>
      <c r="R154" t="s">
        <v>1755</v>
      </c>
      <c r="S154" t="s">
        <v>1755</v>
      </c>
      <c r="T154" t="s">
        <v>1755</v>
      </c>
      <c r="U154" t="s">
        <v>1755</v>
      </c>
      <c r="V154" t="s">
        <v>1755</v>
      </c>
      <c r="W154">
        <v>100</v>
      </c>
      <c r="X154" t="s">
        <v>1755</v>
      </c>
      <c r="Y154">
        <v>46089</v>
      </c>
      <c r="Z154" t="s">
        <v>1755</v>
      </c>
      <c r="AA154" t="s">
        <v>1755</v>
      </c>
      <c r="AB154">
        <v>3</v>
      </c>
      <c r="AC154">
        <v>0</v>
      </c>
      <c r="AE154">
        <v>0</v>
      </c>
      <c r="AF154" t="s">
        <v>1755</v>
      </c>
      <c r="AH154">
        <v>0</v>
      </c>
      <c r="AI154" t="s">
        <v>1755</v>
      </c>
      <c r="AJ154" t="s">
        <v>1755</v>
      </c>
      <c r="AK154" t="s">
        <v>1755</v>
      </c>
      <c r="AL154" t="s">
        <v>1755</v>
      </c>
      <c r="AM154" t="s">
        <v>1755</v>
      </c>
      <c r="AO154">
        <v>0</v>
      </c>
    </row>
    <row r="155" spans="1:46" x14ac:dyDescent="0.25">
      <c r="A155" t="s">
        <v>6329</v>
      </c>
      <c r="B155" s="19">
        <v>46087</v>
      </c>
      <c r="C155" t="s">
        <v>469</v>
      </c>
      <c r="D155" t="s">
        <v>6330</v>
      </c>
      <c r="E155" t="s">
        <v>117</v>
      </c>
      <c r="F155" t="s">
        <v>6582</v>
      </c>
      <c r="G155" t="s">
        <v>1755</v>
      </c>
      <c r="I155" t="str">
        <f>CONCATENATE(Inbound___Outbound_Shifting[[#This Row],[Batch '#]],"-",Inbound___Outbound_Shifting[[#This Row],[Exp '# or Key]])</f>
        <v>--</v>
      </c>
      <c r="J155" t="s">
        <v>1755</v>
      </c>
      <c r="K155">
        <v>2</v>
      </c>
      <c r="L155" t="s">
        <v>117</v>
      </c>
      <c r="M155" t="s">
        <v>6364</v>
      </c>
      <c r="N155" t="s">
        <v>1755</v>
      </c>
      <c r="O155" t="s">
        <v>134</v>
      </c>
      <c r="P155" t="s">
        <v>6583</v>
      </c>
      <c r="Q155" t="s">
        <v>480</v>
      </c>
      <c r="R155" t="s">
        <v>6584</v>
      </c>
      <c r="S155" t="s">
        <v>1755</v>
      </c>
      <c r="T155" t="s">
        <v>1755</v>
      </c>
      <c r="U155" t="s">
        <v>1755</v>
      </c>
      <c r="V155" t="s">
        <v>1755</v>
      </c>
      <c r="W155">
        <v>30000</v>
      </c>
      <c r="X155">
        <v>31000</v>
      </c>
      <c r="Y155">
        <v>46090</v>
      </c>
      <c r="Z155">
        <v>46080</v>
      </c>
      <c r="AA155" t="s">
        <v>1755</v>
      </c>
      <c r="AB155">
        <v>3</v>
      </c>
      <c r="AC155">
        <v>145000</v>
      </c>
      <c r="AD155">
        <v>232500</v>
      </c>
      <c r="AE155">
        <v>87500</v>
      </c>
      <c r="AF155" t="s">
        <v>1755</v>
      </c>
      <c r="AG155">
        <v>4.67741935483871</v>
      </c>
      <c r="AI155" t="s">
        <v>6308</v>
      </c>
      <c r="AJ155" t="s">
        <v>47</v>
      </c>
      <c r="AK155" t="s">
        <v>107</v>
      </c>
      <c r="AL155" t="s">
        <v>107</v>
      </c>
      <c r="AM155" t="s">
        <v>107</v>
      </c>
      <c r="AO155">
        <v>-87500</v>
      </c>
      <c r="AP155">
        <v>0.37634408602150538</v>
      </c>
      <c r="AQ155">
        <v>4.67741935483871</v>
      </c>
      <c r="AR155" t="s">
        <v>47</v>
      </c>
      <c r="AT155" t="s">
        <v>47</v>
      </c>
    </row>
    <row r="156" spans="1:46" x14ac:dyDescent="0.25">
      <c r="A156" t="s">
        <v>1755</v>
      </c>
      <c r="B156" s="19">
        <v>46087</v>
      </c>
      <c r="C156" t="s">
        <v>1358</v>
      </c>
      <c r="D156" t="s">
        <v>1141</v>
      </c>
      <c r="E156" t="s">
        <v>1755</v>
      </c>
      <c r="F156" t="s">
        <v>6585</v>
      </c>
      <c r="G156" t="s">
        <v>1755</v>
      </c>
      <c r="I156" t="str">
        <f>CONCATENATE(Inbound___Outbound_Shifting[[#This Row],[Batch '#]],"-",Inbound___Outbound_Shifting[[#This Row],[Exp '# or Key]])</f>
        <v>--</v>
      </c>
      <c r="J156" t="s">
        <v>1755</v>
      </c>
      <c r="K156">
        <v>2</v>
      </c>
      <c r="L156" t="s">
        <v>1755</v>
      </c>
      <c r="M156" t="s">
        <v>1755</v>
      </c>
      <c r="N156" t="s">
        <v>1755</v>
      </c>
      <c r="O156" t="s">
        <v>1755</v>
      </c>
      <c r="P156" t="s">
        <v>1755</v>
      </c>
      <c r="Q156" t="s">
        <v>1755</v>
      </c>
      <c r="R156" t="s">
        <v>1755</v>
      </c>
      <c r="S156" t="s">
        <v>1755</v>
      </c>
      <c r="T156" t="s">
        <v>1755</v>
      </c>
      <c r="U156" t="s">
        <v>1755</v>
      </c>
      <c r="V156" t="s">
        <v>1755</v>
      </c>
      <c r="W156">
        <v>1000</v>
      </c>
      <c r="X156" t="s">
        <v>1755</v>
      </c>
      <c r="Y156" t="s">
        <v>1755</v>
      </c>
      <c r="Z156" t="s">
        <v>1755</v>
      </c>
      <c r="AA156" t="s">
        <v>1755</v>
      </c>
      <c r="AC156" t="s">
        <v>1755</v>
      </c>
      <c r="AE156">
        <v>0</v>
      </c>
      <c r="AF156" t="s">
        <v>1755</v>
      </c>
      <c r="AI156" t="s">
        <v>1755</v>
      </c>
      <c r="AJ156" t="s">
        <v>1755</v>
      </c>
      <c r="AK156" t="s">
        <v>1755</v>
      </c>
      <c r="AL156" t="s">
        <v>1755</v>
      </c>
      <c r="AM156" t="s">
        <v>1755</v>
      </c>
      <c r="AO156">
        <v>0</v>
      </c>
    </row>
    <row r="157" spans="1:46" x14ac:dyDescent="0.25">
      <c r="A157" t="s">
        <v>6329</v>
      </c>
      <c r="B157" s="19">
        <v>46087</v>
      </c>
      <c r="C157" t="s">
        <v>1755</v>
      </c>
      <c r="D157" t="s">
        <v>6586</v>
      </c>
      <c r="E157" t="s">
        <v>6319</v>
      </c>
      <c r="F157" t="s">
        <v>6587</v>
      </c>
      <c r="G157" t="s">
        <v>1755</v>
      </c>
      <c r="I157" t="str">
        <f>CONCATENATE(Inbound___Outbound_Shifting[[#This Row],[Batch '#]],"-",Inbound___Outbound_Shifting[[#This Row],[Exp '# or Key]])</f>
        <v>--</v>
      </c>
      <c r="J157" t="s">
        <v>1755</v>
      </c>
      <c r="K157">
        <v>1</v>
      </c>
      <c r="L157" t="s">
        <v>6319</v>
      </c>
      <c r="M157" t="s">
        <v>6588</v>
      </c>
      <c r="N157" t="s">
        <v>1755</v>
      </c>
      <c r="O157" t="s">
        <v>767</v>
      </c>
      <c r="P157" t="s">
        <v>1755</v>
      </c>
      <c r="Q157" t="s">
        <v>947</v>
      </c>
      <c r="R157" t="s">
        <v>6421</v>
      </c>
      <c r="S157" t="s">
        <v>1755</v>
      </c>
      <c r="T157" t="s">
        <v>1755</v>
      </c>
      <c r="U157" t="s">
        <v>1755</v>
      </c>
      <c r="V157" t="s">
        <v>1755</v>
      </c>
      <c r="W157">
        <v>2000</v>
      </c>
      <c r="X157">
        <v>2000</v>
      </c>
      <c r="Y157">
        <v>46087</v>
      </c>
      <c r="Z157">
        <v>46087</v>
      </c>
      <c r="AA157" t="s">
        <v>1755</v>
      </c>
      <c r="AB157">
        <v>0</v>
      </c>
      <c r="AC157">
        <v>13125</v>
      </c>
      <c r="AD157">
        <v>15000</v>
      </c>
      <c r="AE157">
        <v>1875</v>
      </c>
      <c r="AF157" t="s">
        <v>1755</v>
      </c>
      <c r="AG157">
        <v>6.5625</v>
      </c>
      <c r="AI157" t="s">
        <v>6308</v>
      </c>
      <c r="AJ157" t="s">
        <v>47</v>
      </c>
      <c r="AK157" t="s">
        <v>107</v>
      </c>
      <c r="AL157" t="s">
        <v>107</v>
      </c>
      <c r="AM157" t="s">
        <v>107</v>
      </c>
      <c r="AO157">
        <v>-1875</v>
      </c>
      <c r="AP157">
        <v>0.125</v>
      </c>
      <c r="AQ157">
        <v>6.5625</v>
      </c>
      <c r="AR157" t="s">
        <v>47</v>
      </c>
      <c r="AT157" t="s">
        <v>47</v>
      </c>
    </row>
    <row r="158" spans="1:46" x14ac:dyDescent="0.25">
      <c r="A158" t="s">
        <v>6329</v>
      </c>
      <c r="B158" s="19">
        <v>46087</v>
      </c>
      <c r="C158" t="s">
        <v>1755</v>
      </c>
      <c r="D158" t="s">
        <v>6586</v>
      </c>
      <c r="E158" t="s">
        <v>6587</v>
      </c>
      <c r="F158" t="s">
        <v>6319</v>
      </c>
      <c r="G158" t="s">
        <v>1755</v>
      </c>
      <c r="I158" t="str">
        <f>CONCATENATE(Inbound___Outbound_Shifting[[#This Row],[Batch '#]],"-",Inbound___Outbound_Shifting[[#This Row],[Exp '# or Key]])</f>
        <v>--</v>
      </c>
      <c r="J158" t="s">
        <v>1755</v>
      </c>
      <c r="K158">
        <v>1</v>
      </c>
      <c r="L158" t="s">
        <v>6587</v>
      </c>
      <c r="M158" t="s">
        <v>6588</v>
      </c>
      <c r="N158" t="s">
        <v>1755</v>
      </c>
      <c r="O158" t="s">
        <v>767</v>
      </c>
      <c r="P158" t="s">
        <v>1755</v>
      </c>
      <c r="Q158" t="s">
        <v>947</v>
      </c>
      <c r="R158" t="s">
        <v>6421</v>
      </c>
      <c r="S158" t="s">
        <v>1755</v>
      </c>
      <c r="T158" t="s">
        <v>1755</v>
      </c>
      <c r="U158" t="s">
        <v>1755</v>
      </c>
      <c r="V158" t="s">
        <v>1755</v>
      </c>
      <c r="W158">
        <v>2000</v>
      </c>
      <c r="X158">
        <v>2000</v>
      </c>
      <c r="Y158">
        <v>46087</v>
      </c>
      <c r="Z158">
        <v>46087</v>
      </c>
      <c r="AA158" t="s">
        <v>1755</v>
      </c>
      <c r="AB158">
        <v>0</v>
      </c>
      <c r="AC158">
        <v>6562.5</v>
      </c>
      <c r="AD158">
        <v>15000</v>
      </c>
      <c r="AE158">
        <v>8437.5</v>
      </c>
      <c r="AF158" t="s">
        <v>1755</v>
      </c>
      <c r="AG158">
        <v>3.28125</v>
      </c>
      <c r="AI158" t="s">
        <v>6308</v>
      </c>
      <c r="AJ158" t="s">
        <v>47</v>
      </c>
      <c r="AK158" t="s">
        <v>107</v>
      </c>
      <c r="AL158" t="s">
        <v>107</v>
      </c>
      <c r="AM158" t="s">
        <v>107</v>
      </c>
      <c r="AO158">
        <v>-8437.5</v>
      </c>
      <c r="AP158">
        <v>0.5625</v>
      </c>
      <c r="AQ158">
        <v>3.28125</v>
      </c>
      <c r="AR158" t="s">
        <v>47</v>
      </c>
      <c r="AT158" t="s">
        <v>47</v>
      </c>
    </row>
    <row r="159" spans="1:46" x14ac:dyDescent="0.25">
      <c r="A159" t="s">
        <v>6329</v>
      </c>
      <c r="B159" s="19">
        <v>46090</v>
      </c>
      <c r="C159" t="s">
        <v>600</v>
      </c>
      <c r="D159" t="s">
        <v>6330</v>
      </c>
      <c r="E159" t="s">
        <v>117</v>
      </c>
      <c r="F159" t="s">
        <v>6589</v>
      </c>
      <c r="G159" t="s">
        <v>1755</v>
      </c>
      <c r="I159" t="str">
        <f>CONCATENATE(Inbound___Outbound_Shifting[[#This Row],[Batch '#]],"-",Inbound___Outbound_Shifting[[#This Row],[Exp '# or Key]])</f>
        <v>--</v>
      </c>
      <c r="J159" t="s">
        <v>1755</v>
      </c>
      <c r="K159">
        <v>1</v>
      </c>
      <c r="L159" t="s">
        <v>117</v>
      </c>
      <c r="M159" t="s">
        <v>6364</v>
      </c>
      <c r="N159" t="s">
        <v>1755</v>
      </c>
      <c r="O159" t="s">
        <v>134</v>
      </c>
      <c r="P159" t="s">
        <v>6590</v>
      </c>
      <c r="Q159" t="s">
        <v>608</v>
      </c>
      <c r="R159" t="s">
        <v>6307</v>
      </c>
      <c r="S159" t="s">
        <v>1755</v>
      </c>
      <c r="T159" t="s">
        <v>1755</v>
      </c>
      <c r="U159" t="s">
        <v>1755</v>
      </c>
      <c r="V159" t="s">
        <v>1755</v>
      </c>
      <c r="W159">
        <v>39000</v>
      </c>
      <c r="X159">
        <v>40000</v>
      </c>
      <c r="Y159">
        <v>46093</v>
      </c>
      <c r="Z159">
        <v>46090</v>
      </c>
      <c r="AA159" t="s">
        <v>1755</v>
      </c>
      <c r="AB159">
        <v>3</v>
      </c>
      <c r="AC159">
        <v>320000</v>
      </c>
      <c r="AD159">
        <v>300000</v>
      </c>
      <c r="AE159">
        <v>-20000</v>
      </c>
      <c r="AF159" t="s">
        <v>1755</v>
      </c>
      <c r="AG159">
        <v>8</v>
      </c>
      <c r="AI159" t="s">
        <v>6308</v>
      </c>
      <c r="AJ159" t="s">
        <v>47</v>
      </c>
      <c r="AK159" t="s">
        <v>107</v>
      </c>
      <c r="AL159" t="s">
        <v>107</v>
      </c>
      <c r="AM159" t="s">
        <v>107</v>
      </c>
      <c r="AO159">
        <v>20000</v>
      </c>
      <c r="AP159">
        <v>-6.6666666666666666E-2</v>
      </c>
      <c r="AQ159">
        <v>8</v>
      </c>
      <c r="AR159" t="s">
        <v>47</v>
      </c>
      <c r="AT159" t="s">
        <v>47</v>
      </c>
    </row>
    <row r="160" spans="1:46" x14ac:dyDescent="0.25">
      <c r="A160" t="s">
        <v>1755</v>
      </c>
      <c r="B160" s="19">
        <v>46090</v>
      </c>
      <c r="C160" t="s">
        <v>1282</v>
      </c>
      <c r="D160" t="s">
        <v>1600</v>
      </c>
      <c r="E160" t="s">
        <v>1371</v>
      </c>
      <c r="F160" t="s">
        <v>1283</v>
      </c>
      <c r="G160" t="s">
        <v>1755</v>
      </c>
      <c r="I160" t="str">
        <f>CONCATENATE(Inbound___Outbound_Shifting[[#This Row],[Batch '#]],"-",Inbound___Outbound_Shifting[[#This Row],[Exp '# or Key]])</f>
        <v>--</v>
      </c>
      <c r="J160" t="s">
        <v>1755</v>
      </c>
      <c r="K160">
        <v>4</v>
      </c>
      <c r="L160" t="s">
        <v>1371</v>
      </c>
      <c r="M160" t="s">
        <v>1755</v>
      </c>
      <c r="N160" t="s">
        <v>1755</v>
      </c>
      <c r="O160" t="s">
        <v>1755</v>
      </c>
      <c r="P160" t="s">
        <v>1755</v>
      </c>
      <c r="Q160" t="s">
        <v>1755</v>
      </c>
      <c r="R160" t="s">
        <v>1755</v>
      </c>
      <c r="S160" t="s">
        <v>1755</v>
      </c>
      <c r="T160" t="s">
        <v>1755</v>
      </c>
      <c r="U160" t="s">
        <v>1755</v>
      </c>
      <c r="V160" t="s">
        <v>1755</v>
      </c>
      <c r="W160">
        <v>8000</v>
      </c>
      <c r="X160" t="s">
        <v>1755</v>
      </c>
      <c r="Y160">
        <v>46093</v>
      </c>
      <c r="Z160">
        <v>46090</v>
      </c>
      <c r="AA160" t="s">
        <v>1755</v>
      </c>
      <c r="AB160">
        <v>3</v>
      </c>
      <c r="AC160" t="s">
        <v>1755</v>
      </c>
      <c r="AE160">
        <v>0</v>
      </c>
      <c r="AF160" t="s">
        <v>1755</v>
      </c>
      <c r="AI160" t="s">
        <v>1755</v>
      </c>
      <c r="AJ160" t="s">
        <v>1755</v>
      </c>
      <c r="AK160" t="s">
        <v>1755</v>
      </c>
      <c r="AL160" t="s">
        <v>1755</v>
      </c>
      <c r="AM160" t="s">
        <v>1755</v>
      </c>
      <c r="AO160">
        <v>0</v>
      </c>
    </row>
    <row r="161" spans="1:46" x14ac:dyDescent="0.25">
      <c r="A161" t="s">
        <v>1755</v>
      </c>
      <c r="B161" s="19">
        <v>46090</v>
      </c>
      <c r="C161" t="s">
        <v>469</v>
      </c>
      <c r="D161" t="s">
        <v>6330</v>
      </c>
      <c r="E161" t="s">
        <v>117</v>
      </c>
      <c r="F161" t="s">
        <v>6582</v>
      </c>
      <c r="I161" t="str">
        <f>CONCATENATE(Inbound___Outbound_Shifting[[#This Row],[Batch '#]],"-",Inbound___Outbound_Shifting[[#This Row],[Exp '# or Key]])</f>
        <v>-</v>
      </c>
      <c r="J161" t="s">
        <v>1755</v>
      </c>
      <c r="K161">
        <v>3</v>
      </c>
      <c r="L161" t="s">
        <v>117</v>
      </c>
      <c r="M161" t="s">
        <v>1755</v>
      </c>
      <c r="N161" t="s">
        <v>1755</v>
      </c>
      <c r="O161" t="s">
        <v>1755</v>
      </c>
      <c r="P161" t="s">
        <v>1755</v>
      </c>
      <c r="Q161" t="s">
        <v>1755</v>
      </c>
      <c r="R161" t="s">
        <v>1755</v>
      </c>
      <c r="S161" t="s">
        <v>1755</v>
      </c>
      <c r="T161" t="s">
        <v>1755</v>
      </c>
      <c r="U161" t="s">
        <v>1755</v>
      </c>
      <c r="V161" t="s">
        <v>1755</v>
      </c>
      <c r="W161">
        <v>500</v>
      </c>
      <c r="X161" t="s">
        <v>1755</v>
      </c>
      <c r="Y161">
        <v>46093</v>
      </c>
      <c r="Z161">
        <v>46090</v>
      </c>
      <c r="AA161" t="s">
        <v>1755</v>
      </c>
      <c r="AB161">
        <v>3</v>
      </c>
      <c r="AC161" t="s">
        <v>1755</v>
      </c>
      <c r="AE161">
        <v>0</v>
      </c>
      <c r="AF161" t="s">
        <v>1755</v>
      </c>
      <c r="AI161" t="s">
        <v>1755</v>
      </c>
      <c r="AJ161" t="s">
        <v>1755</v>
      </c>
      <c r="AK161" t="s">
        <v>1755</v>
      </c>
      <c r="AL161" t="s">
        <v>1755</v>
      </c>
      <c r="AM161" t="s">
        <v>1755</v>
      </c>
      <c r="AO161">
        <v>0</v>
      </c>
    </row>
    <row r="162" spans="1:46" x14ac:dyDescent="0.25">
      <c r="A162" t="s">
        <v>1755</v>
      </c>
      <c r="B162" s="19">
        <v>46090</v>
      </c>
      <c r="C162" t="s">
        <v>783</v>
      </c>
      <c r="D162" t="s">
        <v>6330</v>
      </c>
      <c r="E162" t="s">
        <v>366</v>
      </c>
      <c r="F162" t="s">
        <v>6591</v>
      </c>
      <c r="G162" t="s">
        <v>1755</v>
      </c>
      <c r="I162" t="str">
        <f>CONCATENATE(Inbound___Outbound_Shifting[[#This Row],[Batch '#]],"-",Inbound___Outbound_Shifting[[#This Row],[Exp '# or Key]])</f>
        <v>--</v>
      </c>
      <c r="J162" t="s">
        <v>1755</v>
      </c>
      <c r="K162">
        <v>1</v>
      </c>
      <c r="L162" t="s">
        <v>366</v>
      </c>
      <c r="M162" t="s">
        <v>1755</v>
      </c>
      <c r="N162" t="s">
        <v>1755</v>
      </c>
      <c r="O162" t="s">
        <v>1755</v>
      </c>
      <c r="P162" t="s">
        <v>1755</v>
      </c>
      <c r="Q162" t="s">
        <v>1755</v>
      </c>
      <c r="R162" t="s">
        <v>1755</v>
      </c>
      <c r="S162" t="s">
        <v>1755</v>
      </c>
      <c r="T162" t="s">
        <v>1755</v>
      </c>
      <c r="U162" t="s">
        <v>1755</v>
      </c>
      <c r="V162" t="s">
        <v>1755</v>
      </c>
      <c r="W162">
        <v>500</v>
      </c>
      <c r="X162" t="s">
        <v>1755</v>
      </c>
      <c r="Y162">
        <v>46093</v>
      </c>
      <c r="Z162">
        <v>46090</v>
      </c>
      <c r="AA162" t="s">
        <v>1755</v>
      </c>
      <c r="AB162">
        <v>3</v>
      </c>
      <c r="AC162" t="s">
        <v>1755</v>
      </c>
      <c r="AE162">
        <v>0</v>
      </c>
      <c r="AF162" t="s">
        <v>1755</v>
      </c>
      <c r="AI162" t="s">
        <v>1755</v>
      </c>
      <c r="AJ162" t="s">
        <v>1755</v>
      </c>
      <c r="AK162" t="s">
        <v>1755</v>
      </c>
      <c r="AL162" t="s">
        <v>1755</v>
      </c>
      <c r="AM162" t="s">
        <v>1755</v>
      </c>
      <c r="AO162">
        <v>0</v>
      </c>
    </row>
    <row r="163" spans="1:46" x14ac:dyDescent="0.25">
      <c r="A163" t="s">
        <v>6329</v>
      </c>
      <c r="B163" s="19">
        <v>46090</v>
      </c>
      <c r="C163" t="s">
        <v>600</v>
      </c>
      <c r="D163" t="s">
        <v>6330</v>
      </c>
      <c r="E163" t="s">
        <v>117</v>
      </c>
      <c r="F163" t="s">
        <v>601</v>
      </c>
      <c r="G163" t="s">
        <v>1755</v>
      </c>
      <c r="I163" t="str">
        <f>CONCATENATE(Inbound___Outbound_Shifting[[#This Row],[Batch '#]],"-",Inbound___Outbound_Shifting[[#This Row],[Exp '# or Key]])</f>
        <v>--</v>
      </c>
      <c r="J163" t="s">
        <v>1755</v>
      </c>
      <c r="K163">
        <v>4</v>
      </c>
      <c r="L163" t="s">
        <v>117</v>
      </c>
      <c r="M163" t="s">
        <v>6364</v>
      </c>
      <c r="N163" t="s">
        <v>1755</v>
      </c>
      <c r="O163" t="s">
        <v>134</v>
      </c>
      <c r="P163" t="s">
        <v>6592</v>
      </c>
      <c r="Q163" t="s">
        <v>6593</v>
      </c>
      <c r="R163" t="s">
        <v>6594</v>
      </c>
      <c r="S163" t="s">
        <v>1755</v>
      </c>
      <c r="T163" t="s">
        <v>1755</v>
      </c>
      <c r="U163" t="s">
        <v>1755</v>
      </c>
      <c r="V163" t="s">
        <v>1755</v>
      </c>
      <c r="W163">
        <v>25675</v>
      </c>
      <c r="X163">
        <v>39000</v>
      </c>
      <c r="Y163">
        <v>46093</v>
      </c>
      <c r="Z163">
        <v>46090</v>
      </c>
      <c r="AA163" t="s">
        <v>1755</v>
      </c>
      <c r="AB163">
        <v>3</v>
      </c>
      <c r="AC163">
        <v>289000</v>
      </c>
      <c r="AD163">
        <v>292500</v>
      </c>
      <c r="AE163">
        <v>3500</v>
      </c>
      <c r="AF163" t="s">
        <v>1755</v>
      </c>
      <c r="AG163">
        <v>7.4102564102564106</v>
      </c>
      <c r="AI163" t="s">
        <v>6308</v>
      </c>
      <c r="AJ163" t="s">
        <v>47</v>
      </c>
      <c r="AK163" t="s">
        <v>107</v>
      </c>
      <c r="AL163" t="s">
        <v>107</v>
      </c>
      <c r="AM163" t="s">
        <v>107</v>
      </c>
      <c r="AO163">
        <v>-3500</v>
      </c>
      <c r="AP163">
        <v>1.1965811965811967E-2</v>
      </c>
      <c r="AQ163">
        <v>7.4102564102564106</v>
      </c>
      <c r="AR163" t="s">
        <v>47</v>
      </c>
      <c r="AT163" t="s">
        <v>47</v>
      </c>
    </row>
    <row r="164" spans="1:46" x14ac:dyDescent="0.25">
      <c r="A164" t="s">
        <v>1755</v>
      </c>
      <c r="B164" s="19">
        <v>46090</v>
      </c>
      <c r="C164" t="s">
        <v>659</v>
      </c>
      <c r="D164" t="s">
        <v>6330</v>
      </c>
      <c r="E164" t="s">
        <v>1755</v>
      </c>
      <c r="F164" t="s">
        <v>2719</v>
      </c>
      <c r="G164" t="s">
        <v>1755</v>
      </c>
      <c r="I164" t="str">
        <f>CONCATENATE(Inbound___Outbound_Shifting[[#This Row],[Batch '#]],"-",Inbound___Outbound_Shifting[[#This Row],[Exp '# or Key]])</f>
        <v>--</v>
      </c>
      <c r="J164" t="s">
        <v>1755</v>
      </c>
      <c r="K164">
        <v>1</v>
      </c>
      <c r="L164" t="s">
        <v>1755</v>
      </c>
      <c r="M164" t="s">
        <v>1755</v>
      </c>
      <c r="N164" t="s">
        <v>1755</v>
      </c>
      <c r="O164" t="s">
        <v>1755</v>
      </c>
      <c r="P164" t="s">
        <v>1755</v>
      </c>
      <c r="Q164" t="s">
        <v>1755</v>
      </c>
      <c r="R164" t="s">
        <v>1755</v>
      </c>
      <c r="S164" t="s">
        <v>1755</v>
      </c>
      <c r="T164" t="s">
        <v>1755</v>
      </c>
      <c r="U164" t="s">
        <v>1755</v>
      </c>
      <c r="V164" t="s">
        <v>1755</v>
      </c>
      <c r="W164">
        <v>300</v>
      </c>
      <c r="X164" t="s">
        <v>1755</v>
      </c>
      <c r="Y164" t="s">
        <v>1755</v>
      </c>
      <c r="Z164" t="s">
        <v>1755</v>
      </c>
      <c r="AA164" t="s">
        <v>1755</v>
      </c>
      <c r="AC164" t="s">
        <v>1755</v>
      </c>
      <c r="AE164">
        <v>0</v>
      </c>
      <c r="AF164" t="s">
        <v>1755</v>
      </c>
      <c r="AI164" t="s">
        <v>1755</v>
      </c>
      <c r="AJ164" t="s">
        <v>1755</v>
      </c>
      <c r="AK164" t="s">
        <v>1755</v>
      </c>
      <c r="AL164" t="s">
        <v>1755</v>
      </c>
      <c r="AM164" t="s">
        <v>1755</v>
      </c>
      <c r="AO164">
        <v>0</v>
      </c>
    </row>
    <row r="165" spans="1:46" x14ac:dyDescent="0.25">
      <c r="A165" t="s">
        <v>1755</v>
      </c>
      <c r="B165" s="19">
        <v>46090</v>
      </c>
      <c r="C165" t="s">
        <v>469</v>
      </c>
      <c r="D165" t="s">
        <v>6330</v>
      </c>
      <c r="E165" t="s">
        <v>1755</v>
      </c>
      <c r="F165" t="s">
        <v>6582</v>
      </c>
      <c r="G165" t="s">
        <v>1755</v>
      </c>
      <c r="I165" t="str">
        <f>CONCATENATE(Inbound___Outbound_Shifting[[#This Row],[Batch '#]],"-",Inbound___Outbound_Shifting[[#This Row],[Exp '# or Key]])</f>
        <v>--</v>
      </c>
      <c r="J165" t="s">
        <v>1755</v>
      </c>
      <c r="K165">
        <v>3</v>
      </c>
      <c r="L165" t="s">
        <v>1755</v>
      </c>
      <c r="M165" t="s">
        <v>1755</v>
      </c>
      <c r="N165" t="s">
        <v>1755</v>
      </c>
      <c r="O165" t="s">
        <v>1755</v>
      </c>
      <c r="P165" t="s">
        <v>1755</v>
      </c>
      <c r="Q165" t="s">
        <v>1755</v>
      </c>
      <c r="R165" t="s">
        <v>1755</v>
      </c>
      <c r="S165" t="s">
        <v>1755</v>
      </c>
      <c r="T165" t="s">
        <v>1755</v>
      </c>
      <c r="U165" t="s">
        <v>1755</v>
      </c>
      <c r="V165" t="s">
        <v>1755</v>
      </c>
      <c r="W165">
        <v>13025</v>
      </c>
      <c r="X165" t="s">
        <v>1755</v>
      </c>
      <c r="Y165" t="s">
        <v>1755</v>
      </c>
      <c r="Z165" t="s">
        <v>1755</v>
      </c>
      <c r="AA165" t="s">
        <v>1755</v>
      </c>
      <c r="AC165" t="s">
        <v>1755</v>
      </c>
      <c r="AE165">
        <v>0</v>
      </c>
      <c r="AF165" t="s">
        <v>1755</v>
      </c>
      <c r="AI165" t="s">
        <v>1755</v>
      </c>
      <c r="AJ165" t="s">
        <v>1755</v>
      </c>
      <c r="AK165" t="s">
        <v>1755</v>
      </c>
      <c r="AL165" t="s">
        <v>1755</v>
      </c>
      <c r="AM165" t="s">
        <v>1755</v>
      </c>
      <c r="AO165">
        <v>0</v>
      </c>
    </row>
    <row r="166" spans="1:46" x14ac:dyDescent="0.25">
      <c r="A166" t="s">
        <v>6329</v>
      </c>
      <c r="B166" s="19">
        <v>46090</v>
      </c>
      <c r="C166" t="s">
        <v>757</v>
      </c>
      <c r="D166" t="s">
        <v>6330</v>
      </c>
      <c r="E166" t="s">
        <v>117</v>
      </c>
      <c r="F166" t="s">
        <v>6595</v>
      </c>
      <c r="G166" t="s">
        <v>1755</v>
      </c>
      <c r="I166" t="str">
        <f>CONCATENATE(Inbound___Outbound_Shifting[[#This Row],[Batch '#]],"-",Inbound___Outbound_Shifting[[#This Row],[Exp '# or Key]])</f>
        <v>--</v>
      </c>
      <c r="J166" t="s">
        <v>1755</v>
      </c>
      <c r="K166">
        <v>2</v>
      </c>
      <c r="L166" t="s">
        <v>117</v>
      </c>
      <c r="M166" t="s">
        <v>6364</v>
      </c>
      <c r="N166" t="s">
        <v>1755</v>
      </c>
      <c r="O166" t="s">
        <v>134</v>
      </c>
      <c r="P166" t="s">
        <v>6596</v>
      </c>
      <c r="Q166" t="s">
        <v>759</v>
      </c>
      <c r="R166" t="s">
        <v>6584</v>
      </c>
      <c r="S166" t="s">
        <v>1755</v>
      </c>
      <c r="T166" t="s">
        <v>1755</v>
      </c>
      <c r="U166" t="s">
        <v>1755</v>
      </c>
      <c r="V166" t="s">
        <v>1755</v>
      </c>
      <c r="W166">
        <v>2000</v>
      </c>
      <c r="X166">
        <v>40000</v>
      </c>
      <c r="Y166">
        <v>46093</v>
      </c>
      <c r="Z166">
        <v>46090</v>
      </c>
      <c r="AA166" t="s">
        <v>1755</v>
      </c>
      <c r="AB166">
        <v>3</v>
      </c>
      <c r="AC166">
        <v>235000</v>
      </c>
      <c r="AD166">
        <v>300000</v>
      </c>
      <c r="AE166">
        <v>65000</v>
      </c>
      <c r="AF166" t="s">
        <v>1755</v>
      </c>
      <c r="AG166">
        <v>5.875</v>
      </c>
      <c r="AI166" t="s">
        <v>6308</v>
      </c>
      <c r="AJ166" t="s">
        <v>47</v>
      </c>
      <c r="AK166" t="s">
        <v>107</v>
      </c>
      <c r="AL166" t="s">
        <v>107</v>
      </c>
      <c r="AM166" t="s">
        <v>107</v>
      </c>
      <c r="AO166">
        <v>-65000</v>
      </c>
      <c r="AP166">
        <v>0.21666666666666667</v>
      </c>
      <c r="AQ166">
        <v>5.875</v>
      </c>
      <c r="AR166" t="s">
        <v>47</v>
      </c>
      <c r="AT166" t="s">
        <v>47</v>
      </c>
    </row>
    <row r="167" spans="1:46" x14ac:dyDescent="0.25">
      <c r="A167" t="s">
        <v>1755</v>
      </c>
      <c r="B167" s="19">
        <v>46090</v>
      </c>
      <c r="C167" t="s">
        <v>600</v>
      </c>
      <c r="D167" t="s">
        <v>6330</v>
      </c>
      <c r="E167" t="s">
        <v>1755</v>
      </c>
      <c r="F167" t="s">
        <v>601</v>
      </c>
      <c r="G167" t="s">
        <v>1755</v>
      </c>
      <c r="I167" t="str">
        <f>CONCATENATE(Inbound___Outbound_Shifting[[#This Row],[Batch '#]],"-",Inbound___Outbound_Shifting[[#This Row],[Exp '# or Key]])</f>
        <v>--</v>
      </c>
      <c r="J167" t="s">
        <v>1755</v>
      </c>
      <c r="K167">
        <v>22</v>
      </c>
      <c r="L167" t="s">
        <v>1755</v>
      </c>
      <c r="M167" t="s">
        <v>1755</v>
      </c>
      <c r="N167" t="s">
        <v>1755</v>
      </c>
      <c r="O167" t="s">
        <v>1755</v>
      </c>
      <c r="P167" t="s">
        <v>1755</v>
      </c>
      <c r="Q167" t="s">
        <v>1755</v>
      </c>
      <c r="R167" t="s">
        <v>1755</v>
      </c>
      <c r="S167" t="s">
        <v>1755</v>
      </c>
      <c r="T167" t="s">
        <v>1755</v>
      </c>
      <c r="U167" t="s">
        <v>1755</v>
      </c>
      <c r="V167" t="s">
        <v>1755</v>
      </c>
      <c r="W167">
        <v>38000</v>
      </c>
      <c r="X167" t="s">
        <v>1755</v>
      </c>
      <c r="Y167" t="s">
        <v>1755</v>
      </c>
      <c r="Z167" t="s">
        <v>1755</v>
      </c>
      <c r="AA167" t="s">
        <v>1755</v>
      </c>
      <c r="AC167" t="s">
        <v>1755</v>
      </c>
      <c r="AE167">
        <v>0</v>
      </c>
      <c r="AF167" t="s">
        <v>1755</v>
      </c>
      <c r="AI167" t="s">
        <v>1755</v>
      </c>
      <c r="AJ167" t="s">
        <v>1755</v>
      </c>
      <c r="AK167" t="s">
        <v>1755</v>
      </c>
      <c r="AL167" t="s">
        <v>1755</v>
      </c>
      <c r="AM167" t="s">
        <v>1755</v>
      </c>
      <c r="AO167">
        <v>0</v>
      </c>
    </row>
    <row r="168" spans="1:46" x14ac:dyDescent="0.25">
      <c r="A168" t="s">
        <v>6329</v>
      </c>
      <c r="B168" s="19">
        <v>46091</v>
      </c>
      <c r="C168" t="s">
        <v>1474</v>
      </c>
      <c r="D168" t="s">
        <v>1602</v>
      </c>
      <c r="E168" t="s">
        <v>366</v>
      </c>
      <c r="F168" t="s">
        <v>1277</v>
      </c>
      <c r="G168" t="s">
        <v>1755</v>
      </c>
      <c r="I168" t="str">
        <f>CONCATENATE(Inbound___Outbound_Shifting[[#This Row],[Batch '#]],"-",Inbound___Outbound_Shifting[[#This Row],[Exp '# or Key]])</f>
        <v>--</v>
      </c>
      <c r="J168" t="s">
        <v>1755</v>
      </c>
      <c r="K168">
        <v>2</v>
      </c>
      <c r="L168" t="s">
        <v>366</v>
      </c>
      <c r="M168" t="s">
        <v>6597</v>
      </c>
      <c r="N168" t="s">
        <v>1755</v>
      </c>
      <c r="O168" t="s">
        <v>767</v>
      </c>
      <c r="P168" t="s">
        <v>6598</v>
      </c>
      <c r="Q168" t="s">
        <v>1475</v>
      </c>
      <c r="R168" t="s">
        <v>6333</v>
      </c>
      <c r="S168" t="s">
        <v>1755</v>
      </c>
      <c r="T168" t="s">
        <v>1755</v>
      </c>
      <c r="U168" t="s">
        <v>1755</v>
      </c>
      <c r="V168" t="s">
        <v>1755</v>
      </c>
      <c r="W168">
        <v>1956</v>
      </c>
      <c r="X168">
        <v>2000</v>
      </c>
      <c r="Y168">
        <v>46091</v>
      </c>
      <c r="Z168">
        <v>46090</v>
      </c>
      <c r="AA168" t="s">
        <v>1755</v>
      </c>
      <c r="AB168">
        <v>0</v>
      </c>
      <c r="AC168">
        <v>42000</v>
      </c>
      <c r="AD168">
        <v>15000</v>
      </c>
      <c r="AE168">
        <v>-27000</v>
      </c>
      <c r="AF168" t="s">
        <v>1755</v>
      </c>
      <c r="AG168">
        <v>21</v>
      </c>
      <c r="AI168" t="s">
        <v>6334</v>
      </c>
      <c r="AJ168" t="s">
        <v>47</v>
      </c>
      <c r="AK168" t="s">
        <v>6335</v>
      </c>
      <c r="AL168" t="s">
        <v>6335</v>
      </c>
      <c r="AM168" t="s">
        <v>6335</v>
      </c>
      <c r="AO168">
        <v>27000</v>
      </c>
      <c r="AP168">
        <v>-1.8</v>
      </c>
      <c r="AQ168">
        <v>21</v>
      </c>
      <c r="AR168" t="s">
        <v>47</v>
      </c>
      <c r="AT168" t="s">
        <v>47</v>
      </c>
    </row>
    <row r="169" spans="1:46" x14ac:dyDescent="0.25">
      <c r="A169" t="s">
        <v>6329</v>
      </c>
      <c r="B169" s="19">
        <v>46092</v>
      </c>
      <c r="C169" t="s">
        <v>890</v>
      </c>
      <c r="D169" t="s">
        <v>6330</v>
      </c>
      <c r="E169" t="s">
        <v>366</v>
      </c>
      <c r="F169" t="s">
        <v>23</v>
      </c>
      <c r="G169" t="s">
        <v>1755</v>
      </c>
      <c r="I169" t="str">
        <f>CONCATENATE(Inbound___Outbound_Shifting[[#This Row],[Batch '#]],"-",Inbound___Outbound_Shifting[[#This Row],[Exp '# or Key]])</f>
        <v>--</v>
      </c>
      <c r="J169" t="s">
        <v>1755</v>
      </c>
      <c r="K169">
        <v>1</v>
      </c>
      <c r="L169" t="s">
        <v>366</v>
      </c>
      <c r="M169" t="s">
        <v>6599</v>
      </c>
      <c r="N169" t="s">
        <v>1755</v>
      </c>
      <c r="O169" t="s">
        <v>455</v>
      </c>
      <c r="P169" t="s">
        <v>6600</v>
      </c>
      <c r="Q169" t="s">
        <v>891</v>
      </c>
      <c r="R169" t="s">
        <v>6333</v>
      </c>
      <c r="S169" t="s">
        <v>1755</v>
      </c>
      <c r="T169" t="s">
        <v>1755</v>
      </c>
      <c r="U169" t="s">
        <v>1755</v>
      </c>
      <c r="V169" t="s">
        <v>1755</v>
      </c>
      <c r="W169">
        <v>2200</v>
      </c>
      <c r="X169">
        <v>2200</v>
      </c>
      <c r="Y169">
        <v>46092</v>
      </c>
      <c r="Z169">
        <v>46091</v>
      </c>
      <c r="AA169" t="s">
        <v>1755</v>
      </c>
      <c r="AB169">
        <v>0</v>
      </c>
      <c r="AC169">
        <v>18000</v>
      </c>
      <c r="AD169">
        <v>16500</v>
      </c>
      <c r="AE169">
        <v>-1500</v>
      </c>
      <c r="AF169" t="s">
        <v>1755</v>
      </c>
      <c r="AG169">
        <v>8.1818181818181817</v>
      </c>
      <c r="AI169" t="s">
        <v>6308</v>
      </c>
      <c r="AJ169" t="s">
        <v>47</v>
      </c>
      <c r="AK169" t="s">
        <v>107</v>
      </c>
      <c r="AL169" t="s">
        <v>107</v>
      </c>
      <c r="AM169" t="s">
        <v>107</v>
      </c>
      <c r="AO169">
        <v>1500</v>
      </c>
      <c r="AP169">
        <v>-9.0909090909090912E-2</v>
      </c>
      <c r="AQ169">
        <v>8.1818181818181817</v>
      </c>
      <c r="AR169" t="s">
        <v>47</v>
      </c>
      <c r="AT169" t="s">
        <v>47</v>
      </c>
    </row>
    <row r="170" spans="1:46" x14ac:dyDescent="0.25">
      <c r="A170" t="s">
        <v>1755</v>
      </c>
      <c r="B170" s="19">
        <v>46092</v>
      </c>
      <c r="C170" t="s">
        <v>932</v>
      </c>
      <c r="D170" t="s">
        <v>6330</v>
      </c>
      <c r="E170" t="s">
        <v>1755</v>
      </c>
      <c r="F170" t="s">
        <v>23</v>
      </c>
      <c r="G170" t="s">
        <v>1755</v>
      </c>
      <c r="I170" t="str">
        <f>CONCATENATE(Inbound___Outbound_Shifting[[#This Row],[Batch '#]],"-",Inbound___Outbound_Shifting[[#This Row],[Exp '# or Key]])</f>
        <v>--</v>
      </c>
      <c r="J170" t="s">
        <v>1755</v>
      </c>
      <c r="K170">
        <v>1</v>
      </c>
      <c r="L170" t="s">
        <v>1755</v>
      </c>
      <c r="M170" t="s">
        <v>1755</v>
      </c>
      <c r="N170" t="s">
        <v>1755</v>
      </c>
      <c r="O170" t="s">
        <v>1755</v>
      </c>
      <c r="P170" t="s">
        <v>1755</v>
      </c>
      <c r="Q170" t="s">
        <v>1755</v>
      </c>
      <c r="R170" t="s">
        <v>1755</v>
      </c>
      <c r="S170" t="s">
        <v>1755</v>
      </c>
      <c r="T170" t="s">
        <v>1755</v>
      </c>
      <c r="U170" t="s">
        <v>1755</v>
      </c>
      <c r="V170" t="s">
        <v>1755</v>
      </c>
      <c r="W170" t="s">
        <v>1755</v>
      </c>
      <c r="X170" t="s">
        <v>1755</v>
      </c>
      <c r="Y170" t="s">
        <v>1755</v>
      </c>
      <c r="Z170" t="s">
        <v>1755</v>
      </c>
      <c r="AA170" t="s">
        <v>1755</v>
      </c>
      <c r="AE170">
        <v>0</v>
      </c>
      <c r="AF170" t="s">
        <v>1755</v>
      </c>
      <c r="AI170" t="s">
        <v>1755</v>
      </c>
      <c r="AJ170" t="s">
        <v>1755</v>
      </c>
      <c r="AK170" t="s">
        <v>1755</v>
      </c>
      <c r="AL170" t="s">
        <v>1755</v>
      </c>
      <c r="AM170" t="s">
        <v>1755</v>
      </c>
      <c r="AO170">
        <v>0</v>
      </c>
    </row>
    <row r="171" spans="1:46" x14ac:dyDescent="0.25">
      <c r="A171" t="s">
        <v>6329</v>
      </c>
      <c r="B171" s="19">
        <v>46092</v>
      </c>
      <c r="C171" t="s">
        <v>1332</v>
      </c>
      <c r="D171" t="s">
        <v>1600</v>
      </c>
      <c r="E171" t="s">
        <v>366</v>
      </c>
      <c r="F171" t="s">
        <v>1333</v>
      </c>
      <c r="G171" t="s">
        <v>1755</v>
      </c>
      <c r="I171" t="str">
        <f>CONCATENATE(Inbound___Outbound_Shifting[[#This Row],[Batch '#]],"-",Inbound___Outbound_Shifting[[#This Row],[Exp '# or Key]])</f>
        <v>--</v>
      </c>
      <c r="J171" t="s">
        <v>1755</v>
      </c>
      <c r="K171">
        <v>6</v>
      </c>
      <c r="L171" t="s">
        <v>366</v>
      </c>
      <c r="M171" t="s">
        <v>6489</v>
      </c>
      <c r="N171" t="s">
        <v>1755</v>
      </c>
      <c r="O171" t="s">
        <v>455</v>
      </c>
      <c r="P171" t="s">
        <v>6601</v>
      </c>
      <c r="Q171" t="s">
        <v>1334</v>
      </c>
      <c r="R171" t="s">
        <v>6333</v>
      </c>
      <c r="S171" t="s">
        <v>1755</v>
      </c>
      <c r="T171" t="s">
        <v>1755</v>
      </c>
      <c r="U171" t="s">
        <v>1755</v>
      </c>
      <c r="V171" t="s">
        <v>1755</v>
      </c>
      <c r="W171">
        <v>1500</v>
      </c>
      <c r="X171">
        <v>1500</v>
      </c>
      <c r="Y171">
        <v>46092</v>
      </c>
      <c r="Z171">
        <v>46092</v>
      </c>
      <c r="AA171" t="s">
        <v>1755</v>
      </c>
      <c r="AB171">
        <v>0</v>
      </c>
      <c r="AC171">
        <v>45000</v>
      </c>
      <c r="AD171">
        <v>11250</v>
      </c>
      <c r="AE171">
        <v>-33750</v>
      </c>
      <c r="AF171" t="s">
        <v>1755</v>
      </c>
      <c r="AG171">
        <v>30</v>
      </c>
      <c r="AI171" t="s">
        <v>6308</v>
      </c>
      <c r="AJ171" t="s">
        <v>47</v>
      </c>
      <c r="AK171" t="s">
        <v>107</v>
      </c>
      <c r="AL171" t="s">
        <v>107</v>
      </c>
      <c r="AM171" t="s">
        <v>107</v>
      </c>
      <c r="AO171">
        <v>33750</v>
      </c>
      <c r="AP171">
        <v>-3</v>
      </c>
      <c r="AQ171">
        <v>30</v>
      </c>
      <c r="AR171" t="s">
        <v>47</v>
      </c>
      <c r="AT171" t="s">
        <v>47</v>
      </c>
    </row>
    <row r="172" spans="1:46" x14ac:dyDescent="0.25">
      <c r="A172" t="s">
        <v>6300</v>
      </c>
      <c r="B172" s="19">
        <v>46093</v>
      </c>
      <c r="C172" t="s">
        <v>6602</v>
      </c>
      <c r="D172" t="s">
        <v>6302</v>
      </c>
      <c r="E172" t="s">
        <v>6086</v>
      </c>
      <c r="F172" t="s">
        <v>1371</v>
      </c>
      <c r="G172" t="s">
        <v>1755</v>
      </c>
      <c r="I172" t="str">
        <f>CONCATENATE(Inbound___Outbound_Shifting[[#This Row],[Batch '#]],"-",Inbound___Outbound_Shifting[[#This Row],[Exp '# or Key]])</f>
        <v>--</v>
      </c>
      <c r="J172" t="s">
        <v>6603</v>
      </c>
      <c r="K172" t="s">
        <v>6395</v>
      </c>
      <c r="L172" t="s">
        <v>1755</v>
      </c>
      <c r="M172" t="s">
        <v>1755</v>
      </c>
      <c r="N172" t="s">
        <v>1755</v>
      </c>
      <c r="O172" t="s">
        <v>6341</v>
      </c>
      <c r="P172" t="s">
        <v>6604</v>
      </c>
      <c r="Q172" t="s">
        <v>6605</v>
      </c>
      <c r="R172" t="s">
        <v>6535</v>
      </c>
      <c r="S172">
        <v>1</v>
      </c>
      <c r="T172" t="s">
        <v>6606</v>
      </c>
      <c r="U172">
        <v>1</v>
      </c>
      <c r="V172" t="s">
        <v>1755</v>
      </c>
      <c r="W172">
        <v>20318</v>
      </c>
      <c r="X172">
        <v>44780</v>
      </c>
      <c r="Y172">
        <v>46096</v>
      </c>
      <c r="Z172" t="s">
        <v>1755</v>
      </c>
      <c r="AA172" t="s">
        <v>1755</v>
      </c>
      <c r="AB172">
        <v>3</v>
      </c>
      <c r="AC172">
        <v>550000</v>
      </c>
      <c r="AD172">
        <v>671700</v>
      </c>
      <c r="AE172">
        <v>121700</v>
      </c>
      <c r="AF172" t="s">
        <v>1755</v>
      </c>
      <c r="AG172">
        <v>12.282268870031263</v>
      </c>
      <c r="AH172">
        <v>451.18949958982773</v>
      </c>
      <c r="AI172" t="s">
        <v>6308</v>
      </c>
      <c r="AJ172" t="s">
        <v>47</v>
      </c>
      <c r="AK172" t="s">
        <v>107</v>
      </c>
      <c r="AL172" t="s">
        <v>107</v>
      </c>
      <c r="AM172" t="s">
        <v>107</v>
      </c>
      <c r="AO172">
        <v>-121700</v>
      </c>
      <c r="AP172">
        <v>0.18118207533124908</v>
      </c>
      <c r="AQ172">
        <v>12.282268870031263</v>
      </c>
      <c r="AR172" t="s">
        <v>47</v>
      </c>
      <c r="AT172" t="s">
        <v>47</v>
      </c>
    </row>
    <row r="173" spans="1:46" x14ac:dyDescent="0.25">
      <c r="A173" t="s">
        <v>1755</v>
      </c>
      <c r="B173" s="19">
        <v>46093</v>
      </c>
      <c r="C173" t="s">
        <v>6602</v>
      </c>
      <c r="D173" t="s">
        <v>6302</v>
      </c>
      <c r="E173" t="s">
        <v>6086</v>
      </c>
      <c r="F173" t="s">
        <v>1371</v>
      </c>
      <c r="G173" t="s">
        <v>1755</v>
      </c>
      <c r="I173" t="str">
        <f>CONCATENATE(Inbound___Outbound_Shifting[[#This Row],[Batch '#]],"-",Inbound___Outbound_Shifting[[#This Row],[Exp '# or Key]])</f>
        <v>--</v>
      </c>
      <c r="J173" t="s">
        <v>6603</v>
      </c>
      <c r="K173" t="s">
        <v>6395</v>
      </c>
      <c r="L173" t="s">
        <v>1755</v>
      </c>
      <c r="M173" t="s">
        <v>1755</v>
      </c>
      <c r="N173" t="s">
        <v>1755</v>
      </c>
      <c r="O173" t="s">
        <v>1755</v>
      </c>
      <c r="P173" t="s">
        <v>1755</v>
      </c>
      <c r="Q173" t="s">
        <v>1755</v>
      </c>
      <c r="R173" t="s">
        <v>1755</v>
      </c>
      <c r="S173" t="s">
        <v>1755</v>
      </c>
      <c r="T173" t="s">
        <v>6607</v>
      </c>
      <c r="U173">
        <v>1</v>
      </c>
      <c r="V173" t="s">
        <v>1755</v>
      </c>
      <c r="W173">
        <v>20490</v>
      </c>
      <c r="X173" t="s">
        <v>1755</v>
      </c>
      <c r="Y173">
        <v>46096</v>
      </c>
      <c r="Z173" t="s">
        <v>1755</v>
      </c>
      <c r="AA173" t="s">
        <v>1755</v>
      </c>
      <c r="AB173">
        <v>3</v>
      </c>
      <c r="AC173">
        <v>0</v>
      </c>
      <c r="AE173">
        <v>0</v>
      </c>
      <c r="AF173" t="s">
        <v>1755</v>
      </c>
      <c r="AH173">
        <v>0</v>
      </c>
      <c r="AI173" t="s">
        <v>1755</v>
      </c>
      <c r="AJ173" t="s">
        <v>1755</v>
      </c>
      <c r="AK173" t="s">
        <v>1755</v>
      </c>
      <c r="AL173" t="s">
        <v>1755</v>
      </c>
      <c r="AM173" t="s">
        <v>1755</v>
      </c>
      <c r="AO173">
        <v>0</v>
      </c>
    </row>
    <row r="174" spans="1:46" x14ac:dyDescent="0.25">
      <c r="A174" t="s">
        <v>6300</v>
      </c>
      <c r="B174" s="19">
        <v>46093</v>
      </c>
      <c r="C174" t="s">
        <v>6602</v>
      </c>
      <c r="D174" t="s">
        <v>6302</v>
      </c>
      <c r="E174" t="s">
        <v>6086</v>
      </c>
      <c r="F174" t="s">
        <v>1371</v>
      </c>
      <c r="G174" t="s">
        <v>1755</v>
      </c>
      <c r="I174" t="str">
        <f>CONCATENATE(Inbound___Outbound_Shifting[[#This Row],[Batch '#]],"-",Inbound___Outbound_Shifting[[#This Row],[Exp '# or Key]])</f>
        <v>--</v>
      </c>
      <c r="J174" t="s">
        <v>6603</v>
      </c>
      <c r="K174" t="s">
        <v>6395</v>
      </c>
      <c r="L174" t="s">
        <v>1755</v>
      </c>
      <c r="M174" t="s">
        <v>1755</v>
      </c>
      <c r="N174" t="s">
        <v>1755</v>
      </c>
      <c r="O174" t="s">
        <v>6341</v>
      </c>
      <c r="P174" t="s">
        <v>6608</v>
      </c>
      <c r="Q174" t="s">
        <v>6609</v>
      </c>
      <c r="R174" t="s">
        <v>6535</v>
      </c>
      <c r="S174">
        <v>1</v>
      </c>
      <c r="T174" t="s">
        <v>6610</v>
      </c>
      <c r="U174">
        <v>1</v>
      </c>
      <c r="V174" t="s">
        <v>1755</v>
      </c>
      <c r="W174">
        <v>20499</v>
      </c>
      <c r="X174">
        <v>45330</v>
      </c>
      <c r="Y174">
        <v>46096</v>
      </c>
      <c r="Z174" t="s">
        <v>1755</v>
      </c>
      <c r="AA174" t="s">
        <v>1755</v>
      </c>
      <c r="AB174">
        <v>3</v>
      </c>
      <c r="AC174">
        <v>550000</v>
      </c>
      <c r="AD174">
        <v>679950</v>
      </c>
      <c r="AE174">
        <v>129950</v>
      </c>
      <c r="AF174" t="s">
        <v>1755</v>
      </c>
      <c r="AG174">
        <v>12.133245091550849</v>
      </c>
      <c r="AH174">
        <v>451.18949958982773</v>
      </c>
      <c r="AI174" t="s">
        <v>6308</v>
      </c>
      <c r="AJ174" t="s">
        <v>47</v>
      </c>
      <c r="AK174" t="s">
        <v>107</v>
      </c>
      <c r="AL174" t="s">
        <v>107</v>
      </c>
      <c r="AM174" t="s">
        <v>107</v>
      </c>
      <c r="AO174">
        <v>-129950</v>
      </c>
      <c r="AP174">
        <v>0.19111699389661005</v>
      </c>
      <c r="AQ174">
        <v>12.133245091550849</v>
      </c>
      <c r="AR174" t="s">
        <v>47</v>
      </c>
      <c r="AT174" t="s">
        <v>47</v>
      </c>
    </row>
    <row r="175" spans="1:46" x14ac:dyDescent="0.25">
      <c r="A175" t="s">
        <v>1755</v>
      </c>
      <c r="B175" s="19">
        <v>46093</v>
      </c>
      <c r="C175" t="s">
        <v>6602</v>
      </c>
      <c r="D175" t="s">
        <v>6302</v>
      </c>
      <c r="E175" t="s">
        <v>6086</v>
      </c>
      <c r="F175" t="s">
        <v>1371</v>
      </c>
      <c r="G175" t="s">
        <v>1755</v>
      </c>
      <c r="I175" t="str">
        <f>CONCATENATE(Inbound___Outbound_Shifting[[#This Row],[Batch '#]],"-",Inbound___Outbound_Shifting[[#This Row],[Exp '# or Key]])</f>
        <v>--</v>
      </c>
      <c r="J175" t="s">
        <v>6603</v>
      </c>
      <c r="K175" t="s">
        <v>6395</v>
      </c>
      <c r="L175" t="s">
        <v>1755</v>
      </c>
      <c r="M175" t="s">
        <v>1755</v>
      </c>
      <c r="N175" t="s">
        <v>1755</v>
      </c>
      <c r="O175" t="s">
        <v>1755</v>
      </c>
      <c r="P175" t="s">
        <v>1755</v>
      </c>
      <c r="Q175" t="s">
        <v>1755</v>
      </c>
      <c r="R175" t="s">
        <v>1755</v>
      </c>
      <c r="S175" t="s">
        <v>1755</v>
      </c>
      <c r="T175" t="s">
        <v>6611</v>
      </c>
      <c r="U175">
        <v>1</v>
      </c>
      <c r="V175" t="s">
        <v>1755</v>
      </c>
      <c r="W175">
        <v>20563</v>
      </c>
      <c r="X175" t="s">
        <v>1755</v>
      </c>
      <c r="Y175">
        <v>46096</v>
      </c>
      <c r="Z175" t="s">
        <v>1755</v>
      </c>
      <c r="AA175" t="s">
        <v>1755</v>
      </c>
      <c r="AB175">
        <v>3</v>
      </c>
      <c r="AC175">
        <v>0</v>
      </c>
      <c r="AE175">
        <v>0</v>
      </c>
      <c r="AF175" t="s">
        <v>1755</v>
      </c>
      <c r="AH175">
        <v>0</v>
      </c>
      <c r="AI175" t="s">
        <v>1755</v>
      </c>
      <c r="AJ175" t="s">
        <v>1755</v>
      </c>
      <c r="AK175" t="s">
        <v>1755</v>
      </c>
      <c r="AL175" t="s">
        <v>1755</v>
      </c>
      <c r="AM175" t="s">
        <v>1755</v>
      </c>
      <c r="AO175">
        <v>0</v>
      </c>
    </row>
    <row r="176" spans="1:46" x14ac:dyDescent="0.25">
      <c r="A176" t="s">
        <v>6300</v>
      </c>
      <c r="B176" s="19">
        <v>46093</v>
      </c>
      <c r="C176" t="s">
        <v>6602</v>
      </c>
      <c r="D176" t="s">
        <v>6302</v>
      </c>
      <c r="E176" t="s">
        <v>6086</v>
      </c>
      <c r="F176" t="s">
        <v>1371</v>
      </c>
      <c r="G176" t="s">
        <v>1755</v>
      </c>
      <c r="I176" t="str">
        <f>CONCATENATE(Inbound___Outbound_Shifting[[#This Row],[Batch '#]],"-",Inbound___Outbound_Shifting[[#This Row],[Exp '# or Key]])</f>
        <v>--</v>
      </c>
      <c r="J176" t="s">
        <v>6603</v>
      </c>
      <c r="K176" t="s">
        <v>6395</v>
      </c>
      <c r="L176" t="s">
        <v>1755</v>
      </c>
      <c r="M176" t="s">
        <v>1755</v>
      </c>
      <c r="N176" t="s">
        <v>1755</v>
      </c>
      <c r="O176" t="s">
        <v>6341</v>
      </c>
      <c r="P176" t="s">
        <v>6612</v>
      </c>
      <c r="Q176" t="s">
        <v>6613</v>
      </c>
      <c r="R176" t="s">
        <v>6535</v>
      </c>
      <c r="S176">
        <v>1</v>
      </c>
      <c r="T176" t="s">
        <v>6614</v>
      </c>
      <c r="U176">
        <v>1</v>
      </c>
      <c r="V176" t="s">
        <v>1755</v>
      </c>
      <c r="W176">
        <v>20417</v>
      </c>
      <c r="X176">
        <v>44740</v>
      </c>
      <c r="Y176">
        <v>46096</v>
      </c>
      <c r="Z176" t="s">
        <v>1755</v>
      </c>
      <c r="AA176" t="s">
        <v>1755</v>
      </c>
      <c r="AB176">
        <v>3</v>
      </c>
      <c r="AC176">
        <v>550000</v>
      </c>
      <c r="AD176">
        <v>671100</v>
      </c>
      <c r="AE176">
        <v>121100</v>
      </c>
      <c r="AF176" t="s">
        <v>1755</v>
      </c>
      <c r="AG176">
        <v>12.293249888243183</v>
      </c>
      <c r="AH176">
        <v>451.18949958982773</v>
      </c>
      <c r="AI176" t="s">
        <v>6308</v>
      </c>
      <c r="AJ176" t="s">
        <v>47</v>
      </c>
      <c r="AK176" t="s">
        <v>107</v>
      </c>
      <c r="AL176" t="s">
        <v>107</v>
      </c>
      <c r="AM176" t="s">
        <v>107</v>
      </c>
      <c r="AO176">
        <v>-121100</v>
      </c>
      <c r="AP176">
        <v>0.18045000745045447</v>
      </c>
      <c r="AQ176">
        <v>12.293249888243183</v>
      </c>
      <c r="AR176" t="s">
        <v>47</v>
      </c>
      <c r="AT176" t="s">
        <v>47</v>
      </c>
    </row>
    <row r="177" spans="1:46" x14ac:dyDescent="0.25">
      <c r="A177" t="s">
        <v>1755</v>
      </c>
      <c r="B177" s="19">
        <v>46093</v>
      </c>
      <c r="C177" t="s">
        <v>6602</v>
      </c>
      <c r="D177" t="s">
        <v>6302</v>
      </c>
      <c r="E177" t="s">
        <v>6086</v>
      </c>
      <c r="F177" t="s">
        <v>1371</v>
      </c>
      <c r="G177" t="s">
        <v>1755</v>
      </c>
      <c r="I177" t="str">
        <f>CONCATENATE(Inbound___Outbound_Shifting[[#This Row],[Batch '#]],"-",Inbound___Outbound_Shifting[[#This Row],[Exp '# or Key]])</f>
        <v>--</v>
      </c>
      <c r="J177" t="s">
        <v>6603</v>
      </c>
      <c r="K177" t="s">
        <v>6395</v>
      </c>
      <c r="L177" t="s">
        <v>1755</v>
      </c>
      <c r="M177" t="s">
        <v>1755</v>
      </c>
      <c r="N177" t="s">
        <v>1755</v>
      </c>
      <c r="O177" t="s">
        <v>1755</v>
      </c>
      <c r="P177" t="s">
        <v>1755</v>
      </c>
      <c r="Q177" t="s">
        <v>1755</v>
      </c>
      <c r="R177" t="s">
        <v>1755</v>
      </c>
      <c r="S177" t="s">
        <v>1755</v>
      </c>
      <c r="T177" t="s">
        <v>6615</v>
      </c>
      <c r="U177">
        <v>1</v>
      </c>
      <c r="V177" t="s">
        <v>1755</v>
      </c>
      <c r="W177">
        <v>20245</v>
      </c>
      <c r="X177" t="s">
        <v>1755</v>
      </c>
      <c r="Y177">
        <v>46096</v>
      </c>
      <c r="Z177" t="s">
        <v>1755</v>
      </c>
      <c r="AA177" t="s">
        <v>1755</v>
      </c>
      <c r="AB177">
        <v>3</v>
      </c>
      <c r="AC177">
        <v>0</v>
      </c>
      <c r="AE177">
        <v>0</v>
      </c>
      <c r="AF177" t="s">
        <v>1755</v>
      </c>
      <c r="AH177">
        <v>0</v>
      </c>
      <c r="AI177" t="s">
        <v>1755</v>
      </c>
      <c r="AJ177" t="s">
        <v>1755</v>
      </c>
      <c r="AK177" t="s">
        <v>1755</v>
      </c>
      <c r="AL177" t="s">
        <v>1755</v>
      </c>
      <c r="AM177" t="s">
        <v>1755</v>
      </c>
      <c r="AO177">
        <v>0</v>
      </c>
    </row>
    <row r="178" spans="1:46" x14ac:dyDescent="0.25">
      <c r="A178" t="s">
        <v>6300</v>
      </c>
      <c r="B178" s="19">
        <v>46093</v>
      </c>
      <c r="C178" t="s">
        <v>6602</v>
      </c>
      <c r="D178" t="s">
        <v>6302</v>
      </c>
      <c r="E178" t="s">
        <v>6086</v>
      </c>
      <c r="F178" t="s">
        <v>1371</v>
      </c>
      <c r="G178" t="s">
        <v>1755</v>
      </c>
      <c r="I178" t="str">
        <f>CONCATENATE(Inbound___Outbound_Shifting[[#This Row],[Batch '#]],"-",Inbound___Outbound_Shifting[[#This Row],[Exp '# or Key]])</f>
        <v>--</v>
      </c>
      <c r="J178" t="s">
        <v>6603</v>
      </c>
      <c r="K178" t="s">
        <v>6395</v>
      </c>
      <c r="L178" t="s">
        <v>1755</v>
      </c>
      <c r="M178" t="s">
        <v>1755</v>
      </c>
      <c r="N178" t="s">
        <v>1755</v>
      </c>
      <c r="O178" t="s">
        <v>6341</v>
      </c>
      <c r="P178" t="s">
        <v>6616</v>
      </c>
      <c r="Q178" t="s">
        <v>6617</v>
      </c>
      <c r="R178" t="s">
        <v>6535</v>
      </c>
      <c r="S178">
        <v>1</v>
      </c>
      <c r="T178" t="s">
        <v>6618</v>
      </c>
      <c r="U178">
        <v>1</v>
      </c>
      <c r="V178" t="s">
        <v>1755</v>
      </c>
      <c r="W178">
        <v>20436</v>
      </c>
      <c r="X178">
        <v>45160</v>
      </c>
      <c r="Y178">
        <v>46096</v>
      </c>
      <c r="Z178" t="s">
        <v>1755</v>
      </c>
      <c r="AA178" t="s">
        <v>1755</v>
      </c>
      <c r="AB178">
        <v>3</v>
      </c>
      <c r="AC178">
        <v>550000</v>
      </c>
      <c r="AD178">
        <v>677400</v>
      </c>
      <c r="AE178">
        <v>127400</v>
      </c>
      <c r="AF178" t="s">
        <v>1755</v>
      </c>
      <c r="AG178">
        <v>12.178919397697078</v>
      </c>
      <c r="AH178">
        <v>451.18949958982773</v>
      </c>
      <c r="AI178" t="s">
        <v>6308</v>
      </c>
      <c r="AJ178" t="s">
        <v>47</v>
      </c>
      <c r="AK178" t="s">
        <v>107</v>
      </c>
      <c r="AL178" t="s">
        <v>107</v>
      </c>
      <c r="AM178" t="s">
        <v>107</v>
      </c>
      <c r="AO178">
        <v>-127400</v>
      </c>
      <c r="AP178">
        <v>0.18807204015352819</v>
      </c>
      <c r="AQ178">
        <v>12.178919397697078</v>
      </c>
      <c r="AR178" t="s">
        <v>47</v>
      </c>
      <c r="AT178" t="s">
        <v>47</v>
      </c>
    </row>
    <row r="179" spans="1:46" x14ac:dyDescent="0.25">
      <c r="A179" t="s">
        <v>1755</v>
      </c>
      <c r="B179" s="19">
        <v>46093</v>
      </c>
      <c r="C179" t="s">
        <v>6602</v>
      </c>
      <c r="D179" t="s">
        <v>6302</v>
      </c>
      <c r="E179" t="s">
        <v>6086</v>
      </c>
      <c r="F179" t="s">
        <v>1371</v>
      </c>
      <c r="G179" t="s">
        <v>1755</v>
      </c>
      <c r="I179" t="str">
        <f>CONCATENATE(Inbound___Outbound_Shifting[[#This Row],[Batch '#]],"-",Inbound___Outbound_Shifting[[#This Row],[Exp '# or Key]])</f>
        <v>--</v>
      </c>
      <c r="J179" t="s">
        <v>6603</v>
      </c>
      <c r="K179" t="s">
        <v>6395</v>
      </c>
      <c r="L179" t="s">
        <v>1755</v>
      </c>
      <c r="M179" t="s">
        <v>1755</v>
      </c>
      <c r="N179" t="s">
        <v>1755</v>
      </c>
      <c r="O179" t="s">
        <v>1755</v>
      </c>
      <c r="P179" t="s">
        <v>1755</v>
      </c>
      <c r="Q179" t="s">
        <v>1755</v>
      </c>
      <c r="R179" t="s">
        <v>1755</v>
      </c>
      <c r="S179" t="s">
        <v>1755</v>
      </c>
      <c r="T179" t="s">
        <v>6619</v>
      </c>
      <c r="U179">
        <v>1</v>
      </c>
      <c r="V179" t="s">
        <v>1755</v>
      </c>
      <c r="W179">
        <v>20635</v>
      </c>
      <c r="X179" t="s">
        <v>1755</v>
      </c>
      <c r="Y179">
        <v>46096</v>
      </c>
      <c r="Z179" t="s">
        <v>1755</v>
      </c>
      <c r="AA179" t="s">
        <v>1755</v>
      </c>
      <c r="AB179">
        <v>3</v>
      </c>
      <c r="AC179">
        <v>0</v>
      </c>
      <c r="AE179">
        <v>0</v>
      </c>
      <c r="AF179" t="s">
        <v>1755</v>
      </c>
      <c r="AH179">
        <v>0</v>
      </c>
      <c r="AI179" t="s">
        <v>1755</v>
      </c>
      <c r="AJ179" t="s">
        <v>1755</v>
      </c>
      <c r="AK179" t="s">
        <v>1755</v>
      </c>
      <c r="AL179" t="s">
        <v>1755</v>
      </c>
      <c r="AM179" t="s">
        <v>1755</v>
      </c>
      <c r="AO179">
        <v>0</v>
      </c>
    </row>
    <row r="180" spans="1:46" x14ac:dyDescent="0.25">
      <c r="A180" t="s">
        <v>6329</v>
      </c>
      <c r="B180" s="19">
        <v>46093</v>
      </c>
      <c r="C180" t="s">
        <v>469</v>
      </c>
      <c r="D180" t="s">
        <v>6330</v>
      </c>
      <c r="E180" t="s">
        <v>117</v>
      </c>
      <c r="F180" t="s">
        <v>6582</v>
      </c>
      <c r="G180" t="s">
        <v>1755</v>
      </c>
      <c r="I180" t="str">
        <f>CONCATENATE(Inbound___Outbound_Shifting[[#This Row],[Batch '#]],"-",Inbound___Outbound_Shifting[[#This Row],[Exp '# or Key]])</f>
        <v>--</v>
      </c>
      <c r="J180" t="s">
        <v>1755</v>
      </c>
      <c r="K180">
        <v>5</v>
      </c>
      <c r="L180" t="s">
        <v>117</v>
      </c>
      <c r="M180" t="s">
        <v>6364</v>
      </c>
      <c r="N180" t="s">
        <v>1755</v>
      </c>
      <c r="O180" t="s">
        <v>134</v>
      </c>
      <c r="P180" t="s">
        <v>6620</v>
      </c>
      <c r="Q180" t="s">
        <v>6621</v>
      </c>
      <c r="R180" t="s">
        <v>6584</v>
      </c>
      <c r="S180" t="s">
        <v>1755</v>
      </c>
      <c r="T180" t="s">
        <v>1755</v>
      </c>
      <c r="U180" t="s">
        <v>1755</v>
      </c>
      <c r="V180" t="s">
        <v>1755</v>
      </c>
      <c r="W180">
        <v>68000</v>
      </c>
      <c r="X180">
        <v>68000</v>
      </c>
      <c r="Y180">
        <v>46096</v>
      </c>
      <c r="Z180">
        <v>46087</v>
      </c>
      <c r="AA180" t="s">
        <v>1755</v>
      </c>
      <c r="AB180">
        <v>3</v>
      </c>
      <c r="AC180">
        <v>410000</v>
      </c>
      <c r="AD180">
        <v>510000</v>
      </c>
      <c r="AE180">
        <v>100000</v>
      </c>
      <c r="AF180" t="s">
        <v>1755</v>
      </c>
      <c r="AG180">
        <v>6.0294117647058822</v>
      </c>
      <c r="AI180" t="s">
        <v>6308</v>
      </c>
      <c r="AJ180" t="s">
        <v>47</v>
      </c>
      <c r="AK180" t="s">
        <v>107</v>
      </c>
      <c r="AL180" t="s">
        <v>107</v>
      </c>
      <c r="AM180" t="s">
        <v>107</v>
      </c>
      <c r="AO180">
        <v>-100000</v>
      </c>
      <c r="AP180">
        <v>0.19607843137254902</v>
      </c>
      <c r="AQ180">
        <v>6.0294117647058822</v>
      </c>
      <c r="AR180" t="s">
        <v>47</v>
      </c>
      <c r="AT180" t="s">
        <v>47</v>
      </c>
    </row>
    <row r="181" spans="1:46" x14ac:dyDescent="0.25">
      <c r="A181" t="s">
        <v>6329</v>
      </c>
      <c r="B181" s="19">
        <v>46093</v>
      </c>
      <c r="C181" t="s">
        <v>934</v>
      </c>
      <c r="D181" t="s">
        <v>6330</v>
      </c>
      <c r="E181" t="s">
        <v>366</v>
      </c>
      <c r="F181" t="s">
        <v>6622</v>
      </c>
      <c r="G181" t="s">
        <v>1755</v>
      </c>
      <c r="I181" t="str">
        <f>CONCATENATE(Inbound___Outbound_Shifting[[#This Row],[Batch '#]],"-",Inbound___Outbound_Shifting[[#This Row],[Exp '# or Key]])</f>
        <v>--</v>
      </c>
      <c r="J181" t="s">
        <v>1755</v>
      </c>
      <c r="K181">
        <v>1</v>
      </c>
      <c r="L181" t="s">
        <v>366</v>
      </c>
      <c r="M181" t="s">
        <v>6599</v>
      </c>
      <c r="N181" t="s">
        <v>1755</v>
      </c>
      <c r="O181" t="s">
        <v>455</v>
      </c>
      <c r="P181" t="s">
        <v>6623</v>
      </c>
      <c r="Q181" t="s">
        <v>935</v>
      </c>
      <c r="R181" t="s">
        <v>6333</v>
      </c>
      <c r="S181" t="s">
        <v>1755</v>
      </c>
      <c r="T181" t="s">
        <v>1755</v>
      </c>
      <c r="U181" t="s">
        <v>1755</v>
      </c>
      <c r="V181" t="s">
        <v>1755</v>
      </c>
      <c r="W181">
        <v>1000</v>
      </c>
      <c r="X181">
        <v>1100</v>
      </c>
      <c r="Y181">
        <v>46093</v>
      </c>
      <c r="Z181" t="s">
        <v>1755</v>
      </c>
      <c r="AA181" t="s">
        <v>1755</v>
      </c>
      <c r="AB181">
        <v>0</v>
      </c>
      <c r="AC181">
        <v>18000</v>
      </c>
      <c r="AD181">
        <v>8250</v>
      </c>
      <c r="AE181">
        <v>-9750</v>
      </c>
      <c r="AF181" t="s">
        <v>1755</v>
      </c>
      <c r="AG181">
        <v>16.363636363636363</v>
      </c>
      <c r="AI181" t="s">
        <v>6308</v>
      </c>
      <c r="AJ181" t="s">
        <v>47</v>
      </c>
      <c r="AK181" t="s">
        <v>107</v>
      </c>
      <c r="AL181" t="s">
        <v>107</v>
      </c>
      <c r="AM181" t="s">
        <v>107</v>
      </c>
      <c r="AO181">
        <v>9750</v>
      </c>
      <c r="AP181">
        <v>-1.1818181818181819</v>
      </c>
      <c r="AQ181">
        <v>16.363636363636363</v>
      </c>
      <c r="AR181" t="s">
        <v>47</v>
      </c>
      <c r="AT181" t="s">
        <v>47</v>
      </c>
    </row>
    <row r="182" spans="1:46" x14ac:dyDescent="0.25">
      <c r="A182" t="s">
        <v>6329</v>
      </c>
      <c r="B182" s="19">
        <v>46093</v>
      </c>
      <c r="C182" t="s">
        <v>1273</v>
      </c>
      <c r="D182" t="s">
        <v>1602</v>
      </c>
      <c r="E182" t="s">
        <v>117</v>
      </c>
      <c r="F182" t="s">
        <v>1274</v>
      </c>
      <c r="G182" t="s">
        <v>1755</v>
      </c>
      <c r="I182" t="str">
        <f>CONCATENATE(Inbound___Outbound_Shifting[[#This Row],[Batch '#]],"-",Inbound___Outbound_Shifting[[#This Row],[Exp '# or Key]])</f>
        <v>--</v>
      </c>
      <c r="J182" t="s">
        <v>1755</v>
      </c>
      <c r="K182">
        <v>4</v>
      </c>
      <c r="L182" t="s">
        <v>117</v>
      </c>
      <c r="M182" t="s">
        <v>6364</v>
      </c>
      <c r="N182" t="s">
        <v>1755</v>
      </c>
      <c r="O182" t="s">
        <v>455</v>
      </c>
      <c r="P182" t="s">
        <v>6624</v>
      </c>
      <c r="Q182" t="s">
        <v>1275</v>
      </c>
      <c r="R182" t="s">
        <v>6625</v>
      </c>
      <c r="S182" t="s">
        <v>1755</v>
      </c>
      <c r="T182" t="s">
        <v>1755</v>
      </c>
      <c r="U182" t="s">
        <v>1755</v>
      </c>
      <c r="V182" t="s">
        <v>1755</v>
      </c>
      <c r="W182">
        <v>8000</v>
      </c>
      <c r="X182">
        <v>8000</v>
      </c>
      <c r="Y182">
        <v>46096</v>
      </c>
      <c r="Z182">
        <v>46090</v>
      </c>
      <c r="AA182" t="s">
        <v>1755</v>
      </c>
      <c r="AB182">
        <v>3</v>
      </c>
      <c r="AC182">
        <v>52000</v>
      </c>
      <c r="AD182">
        <v>60000</v>
      </c>
      <c r="AE182">
        <v>8000</v>
      </c>
      <c r="AF182" t="s">
        <v>1755</v>
      </c>
      <c r="AG182">
        <v>6.5</v>
      </c>
      <c r="AI182" t="s">
        <v>6369</v>
      </c>
      <c r="AJ182" t="s">
        <v>47</v>
      </c>
      <c r="AK182" t="s">
        <v>6335</v>
      </c>
      <c r="AL182" t="s">
        <v>6335</v>
      </c>
      <c r="AM182" t="s">
        <v>6335</v>
      </c>
      <c r="AO182">
        <v>-8000</v>
      </c>
      <c r="AP182">
        <v>0.13333333333333333</v>
      </c>
      <c r="AQ182">
        <v>6.5</v>
      </c>
      <c r="AR182" t="s">
        <v>47</v>
      </c>
      <c r="AT182" t="s">
        <v>47</v>
      </c>
    </row>
    <row r="183" spans="1:46" x14ac:dyDescent="0.25">
      <c r="A183" t="s">
        <v>6329</v>
      </c>
      <c r="B183" s="19">
        <v>46093</v>
      </c>
      <c r="C183" t="s">
        <v>932</v>
      </c>
      <c r="D183" t="s">
        <v>6330</v>
      </c>
      <c r="E183" t="s">
        <v>366</v>
      </c>
      <c r="F183" t="s">
        <v>6622</v>
      </c>
      <c r="G183" t="s">
        <v>1755</v>
      </c>
      <c r="I183" t="str">
        <f>CONCATENATE(Inbound___Outbound_Shifting[[#This Row],[Batch '#]],"-",Inbound___Outbound_Shifting[[#This Row],[Exp '# or Key]])</f>
        <v>--</v>
      </c>
      <c r="J183" t="s">
        <v>1755</v>
      </c>
      <c r="K183">
        <v>1</v>
      </c>
      <c r="L183" t="s">
        <v>366</v>
      </c>
      <c r="M183" t="s">
        <v>6599</v>
      </c>
      <c r="N183" t="s">
        <v>1755</v>
      </c>
      <c r="O183" t="s">
        <v>455</v>
      </c>
      <c r="P183" t="s">
        <v>6626</v>
      </c>
      <c r="Q183" t="s">
        <v>6627</v>
      </c>
      <c r="R183" t="s">
        <v>6333</v>
      </c>
      <c r="S183" t="s">
        <v>1755</v>
      </c>
      <c r="T183" t="s">
        <v>1755</v>
      </c>
      <c r="U183" t="s">
        <v>1755</v>
      </c>
      <c r="V183" t="s">
        <v>1755</v>
      </c>
      <c r="W183">
        <v>900</v>
      </c>
      <c r="X183">
        <v>1000</v>
      </c>
      <c r="Y183">
        <v>46093</v>
      </c>
      <c r="Z183" t="s">
        <v>1755</v>
      </c>
      <c r="AA183" t="s">
        <v>1755</v>
      </c>
      <c r="AB183">
        <v>0</v>
      </c>
      <c r="AC183">
        <v>15000</v>
      </c>
      <c r="AD183">
        <v>7500</v>
      </c>
      <c r="AE183">
        <v>-7500</v>
      </c>
      <c r="AF183" t="s">
        <v>1755</v>
      </c>
      <c r="AG183">
        <v>15</v>
      </c>
      <c r="AI183" t="s">
        <v>6308</v>
      </c>
      <c r="AJ183" t="s">
        <v>47</v>
      </c>
      <c r="AK183" t="s">
        <v>107</v>
      </c>
      <c r="AL183" t="s">
        <v>107</v>
      </c>
      <c r="AM183" t="s">
        <v>107</v>
      </c>
      <c r="AO183">
        <v>7500</v>
      </c>
      <c r="AP183">
        <v>-1</v>
      </c>
      <c r="AQ183">
        <v>15</v>
      </c>
      <c r="AR183" t="s">
        <v>47</v>
      </c>
      <c r="AT183" t="s">
        <v>47</v>
      </c>
    </row>
    <row r="184" spans="1:46" x14ac:dyDescent="0.25">
      <c r="A184" t="s">
        <v>6300</v>
      </c>
      <c r="B184" s="19">
        <v>46094</v>
      </c>
      <c r="C184" t="s">
        <v>6628</v>
      </c>
      <c r="D184" t="s">
        <v>6302</v>
      </c>
      <c r="E184" t="s">
        <v>1268</v>
      </c>
      <c r="F184" t="s">
        <v>1371</v>
      </c>
      <c r="G184" t="s">
        <v>1755</v>
      </c>
      <c r="I184" t="str">
        <f>CONCATENATE(Inbound___Outbound_Shifting[[#This Row],[Batch '#]],"-",Inbound___Outbound_Shifting[[#This Row],[Exp '# or Key]])</f>
        <v>--</v>
      </c>
      <c r="J184" t="s">
        <v>6629</v>
      </c>
      <c r="K184" t="s">
        <v>6630</v>
      </c>
      <c r="L184" t="s">
        <v>1755</v>
      </c>
      <c r="M184" t="s">
        <v>1755</v>
      </c>
      <c r="N184" t="s">
        <v>1755</v>
      </c>
      <c r="O184" t="s">
        <v>6631</v>
      </c>
      <c r="P184" t="s">
        <v>6632</v>
      </c>
      <c r="Q184" t="s">
        <v>6633</v>
      </c>
      <c r="R184" t="s">
        <v>6307</v>
      </c>
      <c r="S184">
        <v>1</v>
      </c>
      <c r="T184" t="s">
        <v>1755</v>
      </c>
      <c r="U184" t="s">
        <v>1755</v>
      </c>
      <c r="V184" t="s">
        <v>1755</v>
      </c>
      <c r="W184">
        <v>49640</v>
      </c>
      <c r="X184">
        <v>50640</v>
      </c>
      <c r="Y184">
        <v>46097</v>
      </c>
      <c r="Z184" t="s">
        <v>1755</v>
      </c>
      <c r="AA184" t="s">
        <v>1755</v>
      </c>
      <c r="AB184">
        <v>3</v>
      </c>
      <c r="AC184">
        <v>632200</v>
      </c>
      <c r="AD184">
        <v>759600</v>
      </c>
      <c r="AE184">
        <v>127400</v>
      </c>
      <c r="AF184" t="s">
        <v>1755</v>
      </c>
      <c r="AG184">
        <v>12.484202211690363</v>
      </c>
      <c r="AH184">
        <v>518.6218211648893</v>
      </c>
      <c r="AI184" t="s">
        <v>6308</v>
      </c>
      <c r="AJ184" t="s">
        <v>47</v>
      </c>
      <c r="AK184" t="s">
        <v>107</v>
      </c>
      <c r="AL184" t="s">
        <v>107</v>
      </c>
      <c r="AM184" t="s">
        <v>107</v>
      </c>
      <c r="AO184">
        <v>-127400</v>
      </c>
      <c r="AP184">
        <v>0.16771985255397578</v>
      </c>
      <c r="AQ184">
        <v>12.484202211690363</v>
      </c>
      <c r="AR184" t="s">
        <v>47</v>
      </c>
      <c r="AT184" t="s">
        <v>47</v>
      </c>
    </row>
    <row r="185" spans="1:46" x14ac:dyDescent="0.25">
      <c r="A185" t="s">
        <v>1755</v>
      </c>
      <c r="B185" s="19">
        <v>46094</v>
      </c>
      <c r="C185" t="s">
        <v>6634</v>
      </c>
      <c r="D185" t="s">
        <v>6302</v>
      </c>
      <c r="E185" t="s">
        <v>1268</v>
      </c>
      <c r="F185" t="s">
        <v>6319</v>
      </c>
      <c r="G185" t="s">
        <v>1755</v>
      </c>
      <c r="I185" t="str">
        <f>CONCATENATE(Inbound___Outbound_Shifting[[#This Row],[Batch '#]],"-",Inbound___Outbound_Shifting[[#This Row],[Exp '# or Key]])</f>
        <v>--</v>
      </c>
      <c r="J185" t="s">
        <v>6379</v>
      </c>
      <c r="K185" t="s">
        <v>6527</v>
      </c>
      <c r="L185" t="s">
        <v>1755</v>
      </c>
      <c r="M185" t="s">
        <v>1755</v>
      </c>
      <c r="N185" t="s">
        <v>1755</v>
      </c>
      <c r="O185" t="s">
        <v>1755</v>
      </c>
      <c r="P185" t="s">
        <v>1755</v>
      </c>
      <c r="Q185" t="s">
        <v>1755</v>
      </c>
      <c r="R185" t="s">
        <v>1755</v>
      </c>
      <c r="S185" t="s">
        <v>1755</v>
      </c>
      <c r="T185" t="s">
        <v>1755</v>
      </c>
      <c r="U185" t="s">
        <v>1755</v>
      </c>
      <c r="V185" t="s">
        <v>1755</v>
      </c>
      <c r="W185">
        <v>1000</v>
      </c>
      <c r="X185" t="s">
        <v>1755</v>
      </c>
      <c r="Y185">
        <v>46097</v>
      </c>
      <c r="Z185" t="s">
        <v>1755</v>
      </c>
      <c r="AA185" t="s">
        <v>1755</v>
      </c>
      <c r="AB185">
        <v>3</v>
      </c>
      <c r="AC185">
        <v>0</v>
      </c>
      <c r="AE185">
        <v>0</v>
      </c>
      <c r="AF185" t="s">
        <v>1755</v>
      </c>
      <c r="AH185">
        <v>0</v>
      </c>
      <c r="AI185" t="s">
        <v>1755</v>
      </c>
      <c r="AJ185" t="s">
        <v>1755</v>
      </c>
      <c r="AK185" t="s">
        <v>1755</v>
      </c>
      <c r="AL185" t="s">
        <v>1755</v>
      </c>
      <c r="AM185" t="s">
        <v>1755</v>
      </c>
      <c r="AO185">
        <v>0</v>
      </c>
    </row>
    <row r="186" spans="1:46" x14ac:dyDescent="0.25">
      <c r="A186" t="s">
        <v>6329</v>
      </c>
      <c r="B186" s="19">
        <v>46097</v>
      </c>
      <c r="C186" t="s">
        <v>1508</v>
      </c>
      <c r="D186" t="s">
        <v>1600</v>
      </c>
      <c r="E186" t="s">
        <v>366</v>
      </c>
      <c r="F186" t="s">
        <v>1270</v>
      </c>
      <c r="G186" t="s">
        <v>1755</v>
      </c>
      <c r="I186" t="str">
        <f>CONCATENATE(Inbound___Outbound_Shifting[[#This Row],[Batch '#]],"-",Inbound___Outbound_Shifting[[#This Row],[Exp '# or Key]])</f>
        <v>--</v>
      </c>
      <c r="J186" t="s">
        <v>1755</v>
      </c>
      <c r="K186">
        <v>1</v>
      </c>
      <c r="L186" t="s">
        <v>366</v>
      </c>
      <c r="M186" t="s">
        <v>6364</v>
      </c>
      <c r="N186" t="s">
        <v>1755</v>
      </c>
      <c r="O186" t="s">
        <v>455</v>
      </c>
      <c r="P186" t="s">
        <v>6635</v>
      </c>
      <c r="Q186" t="s">
        <v>1509</v>
      </c>
      <c r="R186" t="s">
        <v>6465</v>
      </c>
      <c r="S186" t="s">
        <v>1755</v>
      </c>
      <c r="T186" t="s">
        <v>1755</v>
      </c>
      <c r="U186" t="s">
        <v>1755</v>
      </c>
      <c r="V186" t="s">
        <v>1755</v>
      </c>
      <c r="W186">
        <v>500</v>
      </c>
      <c r="X186">
        <v>7500</v>
      </c>
      <c r="Y186">
        <v>46100</v>
      </c>
      <c r="Z186">
        <v>46092</v>
      </c>
      <c r="AA186" t="s">
        <v>1755</v>
      </c>
      <c r="AB186">
        <v>3</v>
      </c>
      <c r="AC186">
        <v>250000</v>
      </c>
      <c r="AD186">
        <v>56250</v>
      </c>
      <c r="AE186">
        <v>-193750</v>
      </c>
      <c r="AF186" t="s">
        <v>1755</v>
      </c>
      <c r="AG186">
        <v>33.333333333333336</v>
      </c>
      <c r="AI186" t="s">
        <v>6308</v>
      </c>
      <c r="AJ186" t="s">
        <v>47</v>
      </c>
      <c r="AK186" t="s">
        <v>107</v>
      </c>
      <c r="AL186" t="s">
        <v>107</v>
      </c>
      <c r="AM186" t="s">
        <v>107</v>
      </c>
      <c r="AO186">
        <v>193750</v>
      </c>
      <c r="AP186">
        <v>-3.4444444444444446</v>
      </c>
      <c r="AQ186">
        <v>33.333333333333336</v>
      </c>
      <c r="AR186" t="s">
        <v>47</v>
      </c>
      <c r="AT186" t="s">
        <v>47</v>
      </c>
    </row>
    <row r="187" spans="1:46" x14ac:dyDescent="0.25">
      <c r="A187" t="s">
        <v>1755</v>
      </c>
      <c r="B187" s="19">
        <v>46097</v>
      </c>
      <c r="C187" t="s">
        <v>1517</v>
      </c>
      <c r="D187" t="s">
        <v>1600</v>
      </c>
      <c r="E187" t="s">
        <v>1755</v>
      </c>
      <c r="F187" t="s">
        <v>1270</v>
      </c>
      <c r="G187" t="s">
        <v>1755</v>
      </c>
      <c r="I187" t="str">
        <f>CONCATENATE(Inbound___Outbound_Shifting[[#This Row],[Batch '#]],"-",Inbound___Outbound_Shifting[[#This Row],[Exp '# or Key]])</f>
        <v>--</v>
      </c>
      <c r="J187" t="s">
        <v>1755</v>
      </c>
      <c r="K187">
        <v>1</v>
      </c>
      <c r="L187" t="s">
        <v>1755</v>
      </c>
      <c r="M187" t="s">
        <v>1755</v>
      </c>
      <c r="N187" t="s">
        <v>1755</v>
      </c>
      <c r="O187" t="s">
        <v>1755</v>
      </c>
      <c r="P187" t="s">
        <v>1755</v>
      </c>
      <c r="Q187" t="s">
        <v>1755</v>
      </c>
      <c r="R187" t="s">
        <v>1755</v>
      </c>
      <c r="S187" t="s">
        <v>1755</v>
      </c>
      <c r="T187" t="s">
        <v>1755</v>
      </c>
      <c r="U187" t="s">
        <v>1755</v>
      </c>
      <c r="V187" t="s">
        <v>1755</v>
      </c>
      <c r="W187">
        <v>500</v>
      </c>
      <c r="X187" t="s">
        <v>1755</v>
      </c>
      <c r="Y187">
        <v>46100</v>
      </c>
      <c r="Z187">
        <v>46092</v>
      </c>
      <c r="AA187" t="s">
        <v>1755</v>
      </c>
      <c r="AB187">
        <v>3</v>
      </c>
      <c r="AC187" t="s">
        <v>1755</v>
      </c>
      <c r="AE187">
        <v>0</v>
      </c>
      <c r="AF187" t="s">
        <v>1755</v>
      </c>
      <c r="AI187" t="s">
        <v>1755</v>
      </c>
      <c r="AJ187" t="s">
        <v>1755</v>
      </c>
      <c r="AK187" t="s">
        <v>1755</v>
      </c>
      <c r="AL187" t="s">
        <v>1755</v>
      </c>
      <c r="AM187" t="s">
        <v>1755</v>
      </c>
      <c r="AO187">
        <v>0</v>
      </c>
    </row>
    <row r="188" spans="1:46" x14ac:dyDescent="0.25">
      <c r="A188" t="s">
        <v>1755</v>
      </c>
      <c r="B188" s="19">
        <v>46097</v>
      </c>
      <c r="C188" t="s">
        <v>1496</v>
      </c>
      <c r="D188" t="s">
        <v>1600</v>
      </c>
      <c r="E188" t="s">
        <v>1755</v>
      </c>
      <c r="F188" t="s">
        <v>1494</v>
      </c>
      <c r="G188" t="s">
        <v>1755</v>
      </c>
      <c r="I188" t="str">
        <f>CONCATENATE(Inbound___Outbound_Shifting[[#This Row],[Batch '#]],"-",Inbound___Outbound_Shifting[[#This Row],[Exp '# or Key]])</f>
        <v>--</v>
      </c>
      <c r="J188" t="s">
        <v>1755</v>
      </c>
      <c r="K188">
        <v>5</v>
      </c>
      <c r="L188" t="s">
        <v>1755</v>
      </c>
      <c r="M188" t="s">
        <v>1755</v>
      </c>
      <c r="N188" t="s">
        <v>1755</v>
      </c>
      <c r="O188" t="s">
        <v>1755</v>
      </c>
      <c r="P188" t="s">
        <v>1755</v>
      </c>
      <c r="Q188" t="s">
        <v>1755</v>
      </c>
      <c r="R188" t="s">
        <v>1755</v>
      </c>
      <c r="S188" t="s">
        <v>1755</v>
      </c>
      <c r="T188" t="s">
        <v>1755</v>
      </c>
      <c r="U188" t="s">
        <v>1755</v>
      </c>
      <c r="V188" t="s">
        <v>1755</v>
      </c>
      <c r="W188">
        <v>6500</v>
      </c>
      <c r="X188" t="s">
        <v>1755</v>
      </c>
      <c r="Y188">
        <v>46100</v>
      </c>
      <c r="Z188">
        <v>46092</v>
      </c>
      <c r="AA188" t="s">
        <v>1755</v>
      </c>
      <c r="AB188">
        <v>3</v>
      </c>
      <c r="AC188" t="s">
        <v>1755</v>
      </c>
      <c r="AE188">
        <v>0</v>
      </c>
      <c r="AF188" t="s">
        <v>1755</v>
      </c>
      <c r="AI188" t="s">
        <v>1755</v>
      </c>
      <c r="AJ188" t="s">
        <v>1755</v>
      </c>
      <c r="AK188" t="s">
        <v>1755</v>
      </c>
      <c r="AL188" t="s">
        <v>1755</v>
      </c>
      <c r="AM188" t="s">
        <v>1755</v>
      </c>
      <c r="AO188">
        <v>0</v>
      </c>
    </row>
    <row r="189" spans="1:46" x14ac:dyDescent="0.25">
      <c r="A189" t="s">
        <v>6300</v>
      </c>
      <c r="B189" s="19">
        <v>46098</v>
      </c>
      <c r="C189" t="s">
        <v>6636</v>
      </c>
      <c r="D189" t="s">
        <v>6302</v>
      </c>
      <c r="E189" t="s">
        <v>6086</v>
      </c>
      <c r="F189" t="s">
        <v>1371</v>
      </c>
      <c r="G189" t="s">
        <v>1755</v>
      </c>
      <c r="I189" t="str">
        <f>CONCATENATE(Inbound___Outbound_Shifting[[#This Row],[Batch '#]],"-",Inbound___Outbound_Shifting[[#This Row],[Exp '# or Key]])</f>
        <v>--</v>
      </c>
      <c r="J189" t="s">
        <v>6603</v>
      </c>
      <c r="K189" t="s">
        <v>6395</v>
      </c>
      <c r="L189" t="s">
        <v>1755</v>
      </c>
      <c r="M189" t="s">
        <v>1755</v>
      </c>
      <c r="N189" t="s">
        <v>1755</v>
      </c>
      <c r="O189" t="s">
        <v>6631</v>
      </c>
      <c r="P189" t="s">
        <v>6637</v>
      </c>
      <c r="Q189" t="s">
        <v>6638</v>
      </c>
      <c r="R189" t="s">
        <v>6560</v>
      </c>
      <c r="S189">
        <v>1</v>
      </c>
      <c r="T189" t="s">
        <v>6639</v>
      </c>
      <c r="U189">
        <v>1</v>
      </c>
      <c r="V189" t="s">
        <v>1755</v>
      </c>
      <c r="W189">
        <v>20590</v>
      </c>
      <c r="X189">
        <v>45045</v>
      </c>
      <c r="Y189">
        <v>46105</v>
      </c>
      <c r="Z189" t="s">
        <v>1755</v>
      </c>
      <c r="AA189" t="s">
        <v>1755</v>
      </c>
      <c r="AB189">
        <v>7</v>
      </c>
      <c r="AC189">
        <v>541000</v>
      </c>
      <c r="AD189">
        <v>675675</v>
      </c>
      <c r="AE189">
        <v>134675</v>
      </c>
      <c r="AF189" t="s">
        <v>1755</v>
      </c>
      <c r="AG189">
        <v>12.01021201021201</v>
      </c>
      <c r="AH189">
        <v>443.80639868744873</v>
      </c>
      <c r="AI189" t="s">
        <v>6308</v>
      </c>
      <c r="AJ189" t="s">
        <v>47</v>
      </c>
      <c r="AK189" t="s">
        <v>107</v>
      </c>
      <c r="AL189" t="s">
        <v>107</v>
      </c>
      <c r="AM189" t="s">
        <v>107</v>
      </c>
      <c r="AO189">
        <v>-134675</v>
      </c>
      <c r="AP189">
        <v>0.19931919931919931</v>
      </c>
      <c r="AQ189">
        <v>12.01021201021201</v>
      </c>
      <c r="AR189" t="s">
        <v>47</v>
      </c>
      <c r="AT189" t="s">
        <v>47</v>
      </c>
    </row>
    <row r="190" spans="1:46" x14ac:dyDescent="0.25">
      <c r="A190" t="s">
        <v>1755</v>
      </c>
      <c r="B190" s="19">
        <v>46098</v>
      </c>
      <c r="C190" t="s">
        <v>6636</v>
      </c>
      <c r="D190" t="s">
        <v>6302</v>
      </c>
      <c r="E190" t="s">
        <v>6086</v>
      </c>
      <c r="F190" t="s">
        <v>1371</v>
      </c>
      <c r="G190" t="s">
        <v>1755</v>
      </c>
      <c r="I190" t="str">
        <f>CONCATENATE(Inbound___Outbound_Shifting[[#This Row],[Batch '#]],"-",Inbound___Outbound_Shifting[[#This Row],[Exp '# or Key]])</f>
        <v>--</v>
      </c>
      <c r="J190" t="s">
        <v>6603</v>
      </c>
      <c r="K190" t="s">
        <v>6395</v>
      </c>
      <c r="L190" t="s">
        <v>1755</v>
      </c>
      <c r="M190" t="s">
        <v>1755</v>
      </c>
      <c r="N190" t="s">
        <v>1755</v>
      </c>
      <c r="O190" t="s">
        <v>1755</v>
      </c>
      <c r="P190" t="s">
        <v>1755</v>
      </c>
      <c r="Q190" t="s">
        <v>1755</v>
      </c>
      <c r="R190" t="s">
        <v>1755</v>
      </c>
      <c r="S190" t="s">
        <v>1755</v>
      </c>
      <c r="T190" t="s">
        <v>6640</v>
      </c>
      <c r="U190">
        <v>1</v>
      </c>
      <c r="V190" t="s">
        <v>1755</v>
      </c>
      <c r="W190">
        <v>19955</v>
      </c>
      <c r="X190" t="s">
        <v>1755</v>
      </c>
      <c r="Y190">
        <v>46105</v>
      </c>
      <c r="Z190" t="s">
        <v>1755</v>
      </c>
      <c r="AA190" t="s">
        <v>1755</v>
      </c>
      <c r="AB190">
        <v>7</v>
      </c>
      <c r="AC190">
        <v>0</v>
      </c>
      <c r="AE190">
        <v>0</v>
      </c>
      <c r="AF190" t="s">
        <v>1755</v>
      </c>
      <c r="AH190">
        <v>0</v>
      </c>
      <c r="AI190" t="s">
        <v>1755</v>
      </c>
      <c r="AJ190" t="s">
        <v>1755</v>
      </c>
      <c r="AK190" t="s">
        <v>1755</v>
      </c>
      <c r="AL190" t="s">
        <v>1755</v>
      </c>
      <c r="AM190" t="s">
        <v>1755</v>
      </c>
      <c r="AO190">
        <v>0</v>
      </c>
    </row>
    <row r="191" spans="1:46" x14ac:dyDescent="0.25">
      <c r="A191" t="s">
        <v>6300</v>
      </c>
      <c r="B191" s="19">
        <v>46098</v>
      </c>
      <c r="C191" t="s">
        <v>6636</v>
      </c>
      <c r="D191" t="s">
        <v>6302</v>
      </c>
      <c r="E191" t="s">
        <v>6086</v>
      </c>
      <c r="F191" t="s">
        <v>1371</v>
      </c>
      <c r="G191" t="s">
        <v>1755</v>
      </c>
      <c r="I191" t="str">
        <f>CONCATENATE(Inbound___Outbound_Shifting[[#This Row],[Batch '#]],"-",Inbound___Outbound_Shifting[[#This Row],[Exp '# or Key]])</f>
        <v>--</v>
      </c>
      <c r="J191" t="s">
        <v>6603</v>
      </c>
      <c r="K191" t="s">
        <v>6395</v>
      </c>
      <c r="L191" t="s">
        <v>1755</v>
      </c>
      <c r="M191" t="s">
        <v>1755</v>
      </c>
      <c r="N191" t="s">
        <v>1755</v>
      </c>
      <c r="O191" t="s">
        <v>6631</v>
      </c>
      <c r="P191" t="s">
        <v>6641</v>
      </c>
      <c r="Q191" t="s">
        <v>6642</v>
      </c>
      <c r="R191" t="s">
        <v>6560</v>
      </c>
      <c r="S191">
        <v>1</v>
      </c>
      <c r="T191" t="s">
        <v>6643</v>
      </c>
      <c r="U191">
        <v>1</v>
      </c>
      <c r="V191" t="s">
        <v>1755</v>
      </c>
      <c r="W191">
        <v>20445</v>
      </c>
      <c r="X191">
        <v>44736</v>
      </c>
      <c r="Y191">
        <v>46105</v>
      </c>
      <c r="Z191" t="s">
        <v>1755</v>
      </c>
      <c r="AA191" t="s">
        <v>1755</v>
      </c>
      <c r="AB191">
        <v>7</v>
      </c>
      <c r="AC191">
        <v>541000</v>
      </c>
      <c r="AD191">
        <v>671040</v>
      </c>
      <c r="AE191">
        <v>130040</v>
      </c>
      <c r="AF191" t="s">
        <v>1755</v>
      </c>
      <c r="AG191">
        <v>12.093168812589413</v>
      </c>
      <c r="AH191">
        <v>443.80639868744873</v>
      </c>
      <c r="AI191" t="s">
        <v>6308</v>
      </c>
      <c r="AJ191" t="s">
        <v>47</v>
      </c>
      <c r="AK191" t="s">
        <v>107</v>
      </c>
      <c r="AL191" t="s">
        <v>107</v>
      </c>
      <c r="AM191" t="s">
        <v>107</v>
      </c>
      <c r="AO191">
        <v>-130040</v>
      </c>
      <c r="AP191">
        <v>0.19378874582737243</v>
      </c>
      <c r="AQ191">
        <v>12.093168812589413</v>
      </c>
      <c r="AR191" t="s">
        <v>47</v>
      </c>
      <c r="AT191" t="s">
        <v>47</v>
      </c>
    </row>
    <row r="192" spans="1:46" x14ac:dyDescent="0.25">
      <c r="A192" t="s">
        <v>1755</v>
      </c>
      <c r="B192" s="19">
        <v>46098</v>
      </c>
      <c r="C192" t="s">
        <v>6636</v>
      </c>
      <c r="D192" t="s">
        <v>6302</v>
      </c>
      <c r="E192" t="s">
        <v>6086</v>
      </c>
      <c r="F192" t="s">
        <v>1371</v>
      </c>
      <c r="G192" t="s">
        <v>1755</v>
      </c>
      <c r="I192" t="str">
        <f>CONCATENATE(Inbound___Outbound_Shifting[[#This Row],[Batch '#]],"-",Inbound___Outbound_Shifting[[#This Row],[Exp '# or Key]])</f>
        <v>--</v>
      </c>
      <c r="J192" t="s">
        <v>6603</v>
      </c>
      <c r="K192" t="s">
        <v>6395</v>
      </c>
      <c r="L192" t="s">
        <v>1755</v>
      </c>
      <c r="M192" t="s">
        <v>1755</v>
      </c>
      <c r="N192" t="s">
        <v>1755</v>
      </c>
      <c r="O192" t="s">
        <v>1755</v>
      </c>
      <c r="P192" t="s">
        <v>1755</v>
      </c>
      <c r="Q192" t="s">
        <v>1755</v>
      </c>
      <c r="R192" t="s">
        <v>1755</v>
      </c>
      <c r="S192" t="s">
        <v>1755</v>
      </c>
      <c r="T192" t="s">
        <v>6644</v>
      </c>
      <c r="U192">
        <v>1</v>
      </c>
      <c r="V192" t="s">
        <v>1755</v>
      </c>
      <c r="W192">
        <v>19791</v>
      </c>
      <c r="X192" t="s">
        <v>1755</v>
      </c>
      <c r="Y192">
        <v>46105</v>
      </c>
      <c r="Z192" t="s">
        <v>1755</v>
      </c>
      <c r="AA192" t="s">
        <v>1755</v>
      </c>
      <c r="AB192">
        <v>7</v>
      </c>
      <c r="AC192">
        <v>0</v>
      </c>
      <c r="AE192">
        <v>0</v>
      </c>
      <c r="AF192" t="s">
        <v>1755</v>
      </c>
      <c r="AH192">
        <v>0</v>
      </c>
      <c r="AI192" t="s">
        <v>1755</v>
      </c>
      <c r="AJ192" t="s">
        <v>1755</v>
      </c>
      <c r="AK192" t="s">
        <v>1755</v>
      </c>
      <c r="AL192" t="s">
        <v>1755</v>
      </c>
      <c r="AM192" t="s">
        <v>1755</v>
      </c>
      <c r="AO192">
        <v>0</v>
      </c>
    </row>
    <row r="193" spans="1:46" x14ac:dyDescent="0.25">
      <c r="A193" t="s">
        <v>6329</v>
      </c>
      <c r="B193" s="19">
        <v>46100</v>
      </c>
      <c r="C193" t="s">
        <v>932</v>
      </c>
      <c r="D193" t="s">
        <v>6330</v>
      </c>
      <c r="E193" t="s">
        <v>366</v>
      </c>
      <c r="F193" t="s">
        <v>6622</v>
      </c>
      <c r="G193" t="s">
        <v>1755</v>
      </c>
      <c r="I193" t="str">
        <f>CONCATENATE(Inbound___Outbound_Shifting[[#This Row],[Batch '#]],"-",Inbound___Outbound_Shifting[[#This Row],[Exp '# or Key]])</f>
        <v>--</v>
      </c>
      <c r="J193" t="s">
        <v>1755</v>
      </c>
      <c r="K193">
        <v>1</v>
      </c>
      <c r="L193" t="s">
        <v>366</v>
      </c>
      <c r="M193" t="s">
        <v>6599</v>
      </c>
      <c r="N193" t="s">
        <v>1755</v>
      </c>
      <c r="O193" t="s">
        <v>455</v>
      </c>
      <c r="P193" t="s">
        <v>6645</v>
      </c>
      <c r="Q193" t="s">
        <v>6646</v>
      </c>
      <c r="R193" t="s">
        <v>6333</v>
      </c>
      <c r="S193" t="s">
        <v>1755</v>
      </c>
      <c r="T193" t="s">
        <v>1755</v>
      </c>
      <c r="U193" t="s">
        <v>1755</v>
      </c>
      <c r="V193" t="s">
        <v>1755</v>
      </c>
      <c r="W193">
        <v>1000</v>
      </c>
      <c r="X193">
        <v>1000</v>
      </c>
      <c r="Y193">
        <v>46100</v>
      </c>
      <c r="Z193" t="s">
        <v>1755</v>
      </c>
      <c r="AA193" t="s">
        <v>1755</v>
      </c>
      <c r="AB193">
        <v>0</v>
      </c>
      <c r="AC193">
        <v>18000</v>
      </c>
      <c r="AD193">
        <v>7500</v>
      </c>
      <c r="AE193">
        <v>-10500</v>
      </c>
      <c r="AF193" t="s">
        <v>1755</v>
      </c>
      <c r="AG193">
        <v>18</v>
      </c>
      <c r="AI193" t="s">
        <v>6308</v>
      </c>
      <c r="AJ193" t="s">
        <v>47</v>
      </c>
      <c r="AK193" t="s">
        <v>107</v>
      </c>
      <c r="AL193" t="s">
        <v>107</v>
      </c>
      <c r="AM193" t="s">
        <v>107</v>
      </c>
      <c r="AO193">
        <v>10500</v>
      </c>
      <c r="AP193">
        <v>-1.4</v>
      </c>
      <c r="AQ193">
        <v>18</v>
      </c>
      <c r="AR193" t="s">
        <v>47</v>
      </c>
      <c r="AT193" t="s">
        <v>47</v>
      </c>
    </row>
    <row r="194" spans="1:46" x14ac:dyDescent="0.25">
      <c r="A194" t="s">
        <v>6300</v>
      </c>
      <c r="B194" s="19">
        <v>46105</v>
      </c>
      <c r="C194" t="s">
        <v>6647</v>
      </c>
      <c r="D194" t="s">
        <v>6302</v>
      </c>
      <c r="E194" t="s">
        <v>1268</v>
      </c>
      <c r="F194" t="s">
        <v>117</v>
      </c>
      <c r="G194" t="s">
        <v>1755</v>
      </c>
      <c r="I194" t="str">
        <f>CONCATENATE(Inbound___Outbound_Shifting[[#This Row],[Batch '#]],"-",Inbound___Outbound_Shifting[[#This Row],[Exp '# or Key]])</f>
        <v>--</v>
      </c>
      <c r="J194" t="s">
        <v>6648</v>
      </c>
      <c r="K194" t="s">
        <v>6649</v>
      </c>
      <c r="L194" t="s">
        <v>1755</v>
      </c>
      <c r="M194" t="s">
        <v>1755</v>
      </c>
      <c r="N194" t="s">
        <v>1755</v>
      </c>
      <c r="O194" t="s">
        <v>430</v>
      </c>
      <c r="P194" t="s">
        <v>6650</v>
      </c>
      <c r="Q194" t="s">
        <v>6651</v>
      </c>
      <c r="R194" t="s">
        <v>6307</v>
      </c>
      <c r="S194">
        <v>1</v>
      </c>
      <c r="T194" t="s">
        <v>1755</v>
      </c>
      <c r="U194" t="s">
        <v>1755</v>
      </c>
      <c r="V194" t="s">
        <v>1755</v>
      </c>
      <c r="W194">
        <v>36000</v>
      </c>
      <c r="X194">
        <v>62080</v>
      </c>
      <c r="Y194">
        <v>46108</v>
      </c>
      <c r="Z194" t="s">
        <v>1755</v>
      </c>
      <c r="AA194" t="s">
        <v>1755</v>
      </c>
      <c r="AB194">
        <v>3</v>
      </c>
      <c r="AC194">
        <v>640500</v>
      </c>
      <c r="AD194">
        <v>931200</v>
      </c>
      <c r="AE194">
        <v>290700</v>
      </c>
      <c r="AF194" t="s">
        <v>1755</v>
      </c>
      <c r="AG194">
        <v>10.317332474226804</v>
      </c>
      <c r="AH194">
        <v>525.43068088597215</v>
      </c>
      <c r="AI194" t="s">
        <v>6308</v>
      </c>
      <c r="AJ194" t="s">
        <v>47</v>
      </c>
      <c r="AK194" t="s">
        <v>107</v>
      </c>
      <c r="AL194" t="s">
        <v>107</v>
      </c>
      <c r="AM194" t="s">
        <v>107</v>
      </c>
      <c r="AO194">
        <v>-290700</v>
      </c>
      <c r="AP194">
        <v>0.31217783505154639</v>
      </c>
      <c r="AQ194">
        <v>10.317332474226804</v>
      </c>
      <c r="AR194" t="s">
        <v>47</v>
      </c>
      <c r="AT194" t="s">
        <v>47</v>
      </c>
    </row>
    <row r="195" spans="1:46" x14ac:dyDescent="0.25">
      <c r="A195" t="s">
        <v>1755</v>
      </c>
      <c r="B195" s="19">
        <v>46105</v>
      </c>
      <c r="C195" t="s">
        <v>6652</v>
      </c>
      <c r="D195" t="s">
        <v>6302</v>
      </c>
      <c r="E195" t="s">
        <v>1268</v>
      </c>
      <c r="F195" t="s">
        <v>117</v>
      </c>
      <c r="G195" t="s">
        <v>1755</v>
      </c>
      <c r="I195" t="str">
        <f>CONCATENATE(Inbound___Outbound_Shifting[[#This Row],[Batch '#]],"-",Inbound___Outbound_Shifting[[#This Row],[Exp '# or Key]])</f>
        <v>--</v>
      </c>
      <c r="J195" t="s">
        <v>6648</v>
      </c>
      <c r="K195" t="s">
        <v>6649</v>
      </c>
      <c r="L195" t="s">
        <v>1755</v>
      </c>
      <c r="M195" t="s">
        <v>1755</v>
      </c>
      <c r="N195" t="s">
        <v>1755</v>
      </c>
      <c r="O195" t="s">
        <v>1755</v>
      </c>
      <c r="P195" t="s">
        <v>1755</v>
      </c>
      <c r="Q195" t="s">
        <v>1755</v>
      </c>
      <c r="R195" t="s">
        <v>1755</v>
      </c>
      <c r="S195" t="s">
        <v>1755</v>
      </c>
      <c r="T195" t="s">
        <v>1755</v>
      </c>
      <c r="U195" t="s">
        <v>1755</v>
      </c>
      <c r="V195" t="s">
        <v>1755</v>
      </c>
      <c r="W195">
        <v>25000</v>
      </c>
      <c r="X195" t="s">
        <v>1755</v>
      </c>
      <c r="Y195">
        <v>46108</v>
      </c>
      <c r="Z195" t="s">
        <v>1755</v>
      </c>
      <c r="AA195" t="s">
        <v>1755</v>
      </c>
      <c r="AB195">
        <v>3</v>
      </c>
      <c r="AC195" t="s">
        <v>1755</v>
      </c>
      <c r="AE195">
        <v>0</v>
      </c>
      <c r="AF195" t="s">
        <v>1755</v>
      </c>
      <c r="AI195" t="s">
        <v>1755</v>
      </c>
      <c r="AJ195" t="s">
        <v>1755</v>
      </c>
      <c r="AK195" t="s">
        <v>1755</v>
      </c>
      <c r="AL195" t="s">
        <v>1755</v>
      </c>
      <c r="AM195" t="s">
        <v>1755</v>
      </c>
      <c r="AO195">
        <v>0</v>
      </c>
    </row>
    <row r="196" spans="1:46" x14ac:dyDescent="0.25">
      <c r="A196" t="s">
        <v>6329</v>
      </c>
      <c r="B196" s="19">
        <v>46105</v>
      </c>
      <c r="C196" t="s">
        <v>796</v>
      </c>
      <c r="D196" t="s">
        <v>6330</v>
      </c>
      <c r="E196" t="s">
        <v>117</v>
      </c>
      <c r="F196" t="s">
        <v>1331</v>
      </c>
      <c r="G196" t="s">
        <v>1755</v>
      </c>
      <c r="I196" t="str">
        <f>CONCATENATE(Inbound___Outbound_Shifting[[#This Row],[Batch '#]],"-",Inbound___Outbound_Shifting[[#This Row],[Exp '# or Key]])</f>
        <v>--</v>
      </c>
      <c r="J196" t="s">
        <v>1755</v>
      </c>
      <c r="K196">
        <v>1</v>
      </c>
      <c r="L196" t="s">
        <v>117</v>
      </c>
      <c r="M196" t="s">
        <v>1268</v>
      </c>
      <c r="N196" t="s">
        <v>1755</v>
      </c>
      <c r="O196" t="s">
        <v>537</v>
      </c>
      <c r="P196" t="s">
        <v>6653</v>
      </c>
      <c r="Q196" t="s">
        <v>803</v>
      </c>
      <c r="R196" t="s">
        <v>6307</v>
      </c>
      <c r="S196" t="s">
        <v>1755</v>
      </c>
      <c r="T196" t="s">
        <v>1755</v>
      </c>
      <c r="U196" t="s">
        <v>1755</v>
      </c>
      <c r="V196" t="s">
        <v>1755</v>
      </c>
      <c r="W196">
        <v>2000</v>
      </c>
      <c r="X196">
        <v>7000</v>
      </c>
      <c r="Y196">
        <v>46108</v>
      </c>
      <c r="Z196">
        <v>46080</v>
      </c>
      <c r="AA196" t="s">
        <v>1755</v>
      </c>
      <c r="AB196">
        <v>3</v>
      </c>
      <c r="AC196">
        <v>130000</v>
      </c>
      <c r="AD196">
        <v>52500</v>
      </c>
      <c r="AE196">
        <v>-77500</v>
      </c>
      <c r="AF196" t="s">
        <v>1755</v>
      </c>
      <c r="AG196">
        <v>18.571428571428573</v>
      </c>
      <c r="AI196" t="s">
        <v>6308</v>
      </c>
      <c r="AJ196" t="s">
        <v>47</v>
      </c>
      <c r="AK196" t="s">
        <v>107</v>
      </c>
      <c r="AL196" t="s">
        <v>107</v>
      </c>
      <c r="AM196" t="s">
        <v>107</v>
      </c>
      <c r="AO196">
        <v>77500</v>
      </c>
      <c r="AP196">
        <v>-1.4761904761904763</v>
      </c>
      <c r="AQ196">
        <v>18.571428571428573</v>
      </c>
      <c r="AR196" t="s">
        <v>47</v>
      </c>
      <c r="AT196" t="s">
        <v>47</v>
      </c>
    </row>
    <row r="197" spans="1:46" x14ac:dyDescent="0.25">
      <c r="A197" t="s">
        <v>1755</v>
      </c>
      <c r="B197" s="19">
        <v>46105</v>
      </c>
      <c r="C197" t="s">
        <v>1204</v>
      </c>
      <c r="D197" t="s">
        <v>1141</v>
      </c>
      <c r="E197" t="s">
        <v>1755</v>
      </c>
      <c r="F197" t="s">
        <v>6654</v>
      </c>
      <c r="G197" t="s">
        <v>1755</v>
      </c>
      <c r="I197" t="str">
        <f>CONCATENATE(Inbound___Outbound_Shifting[[#This Row],[Batch '#]],"-",Inbound___Outbound_Shifting[[#This Row],[Exp '# or Key]])</f>
        <v>--</v>
      </c>
      <c r="J197" t="s">
        <v>1755</v>
      </c>
      <c r="K197">
        <v>1</v>
      </c>
      <c r="L197" t="s">
        <v>1755</v>
      </c>
      <c r="M197" t="s">
        <v>1755</v>
      </c>
      <c r="N197" t="s">
        <v>1755</v>
      </c>
      <c r="O197" t="s">
        <v>1755</v>
      </c>
      <c r="P197" t="s">
        <v>1755</v>
      </c>
      <c r="Q197" t="s">
        <v>1755</v>
      </c>
      <c r="R197" t="s">
        <v>1755</v>
      </c>
      <c r="S197" t="s">
        <v>1755</v>
      </c>
      <c r="T197" t="s">
        <v>1755</v>
      </c>
      <c r="U197" t="s">
        <v>1755</v>
      </c>
      <c r="V197" t="s">
        <v>1755</v>
      </c>
      <c r="W197">
        <v>5000</v>
      </c>
      <c r="X197" t="s">
        <v>1755</v>
      </c>
      <c r="Y197">
        <v>46108</v>
      </c>
      <c r="Z197">
        <v>46091</v>
      </c>
      <c r="AA197" t="s">
        <v>1755</v>
      </c>
      <c r="AB197">
        <v>3</v>
      </c>
      <c r="AC197" t="s">
        <v>1755</v>
      </c>
      <c r="AE197">
        <v>0</v>
      </c>
      <c r="AF197" t="s">
        <v>1755</v>
      </c>
      <c r="AI197" t="s">
        <v>1755</v>
      </c>
      <c r="AJ197" t="s">
        <v>1755</v>
      </c>
      <c r="AK197" t="s">
        <v>1755</v>
      </c>
      <c r="AL197" t="s">
        <v>1755</v>
      </c>
      <c r="AM197" t="s">
        <v>1755</v>
      </c>
      <c r="AO197">
        <v>0</v>
      </c>
    </row>
    <row r="198" spans="1:46" x14ac:dyDescent="0.25">
      <c r="A198" t="s">
        <v>6300</v>
      </c>
      <c r="B198" s="19">
        <v>46107</v>
      </c>
      <c r="C198" t="s">
        <v>6647</v>
      </c>
      <c r="D198" t="s">
        <v>6302</v>
      </c>
      <c r="E198" t="s">
        <v>1268</v>
      </c>
      <c r="F198" t="s">
        <v>117</v>
      </c>
      <c r="G198" t="s">
        <v>1755</v>
      </c>
      <c r="I198" t="str">
        <f>CONCATENATE(Inbound___Outbound_Shifting[[#This Row],[Batch '#]],"-",Inbound___Outbound_Shifting[[#This Row],[Exp '# or Key]])</f>
        <v>--</v>
      </c>
      <c r="J198" t="s">
        <v>6648</v>
      </c>
      <c r="K198" t="s">
        <v>6655</v>
      </c>
      <c r="L198" t="s">
        <v>1755</v>
      </c>
      <c r="M198" t="s">
        <v>1755</v>
      </c>
      <c r="N198" t="s">
        <v>1755</v>
      </c>
      <c r="O198" t="s">
        <v>6631</v>
      </c>
      <c r="P198" t="s">
        <v>6656</v>
      </c>
      <c r="Q198" t="s">
        <v>6657</v>
      </c>
      <c r="R198" t="s">
        <v>6307</v>
      </c>
      <c r="S198">
        <v>1</v>
      </c>
      <c r="T198" t="s">
        <v>1755</v>
      </c>
      <c r="U198" t="s">
        <v>1755</v>
      </c>
      <c r="V198" t="s">
        <v>1755</v>
      </c>
      <c r="W198">
        <v>33430</v>
      </c>
      <c r="X198">
        <v>66860</v>
      </c>
      <c r="Y198">
        <v>46110</v>
      </c>
      <c r="Z198" t="s">
        <v>1755</v>
      </c>
      <c r="AA198" t="s">
        <v>1755</v>
      </c>
      <c r="AB198">
        <v>3</v>
      </c>
      <c r="AC198">
        <v>735460</v>
      </c>
      <c r="AD198">
        <v>1002900</v>
      </c>
      <c r="AE198">
        <v>267440</v>
      </c>
      <c r="AF198" t="s">
        <v>1755</v>
      </c>
      <c r="AG198">
        <v>11</v>
      </c>
      <c r="AH198">
        <v>603.33059885151761</v>
      </c>
      <c r="AI198" t="s">
        <v>6308</v>
      </c>
      <c r="AJ198" t="s">
        <v>47</v>
      </c>
      <c r="AK198" t="s">
        <v>107</v>
      </c>
      <c r="AL198" t="s">
        <v>107</v>
      </c>
      <c r="AM198" t="s">
        <v>107</v>
      </c>
      <c r="AO198">
        <v>-267440</v>
      </c>
      <c r="AP198">
        <v>0.26666666666666666</v>
      </c>
      <c r="AQ198">
        <v>11</v>
      </c>
      <c r="AR198" t="s">
        <v>47</v>
      </c>
      <c r="AT198" t="s">
        <v>47</v>
      </c>
    </row>
    <row r="199" spans="1:46" x14ac:dyDescent="0.25">
      <c r="A199" t="s">
        <v>1755</v>
      </c>
      <c r="B199" s="19">
        <v>46107</v>
      </c>
      <c r="C199" t="s">
        <v>6652</v>
      </c>
      <c r="D199" t="s">
        <v>6302</v>
      </c>
      <c r="E199" t="s">
        <v>1268</v>
      </c>
      <c r="F199" t="s">
        <v>117</v>
      </c>
      <c r="G199" t="s">
        <v>1755</v>
      </c>
      <c r="I199" t="str">
        <f>CONCATENATE(Inbound___Outbound_Shifting[[#This Row],[Batch '#]],"-",Inbound___Outbound_Shifting[[#This Row],[Exp '# or Key]])</f>
        <v>--</v>
      </c>
      <c r="J199" t="s">
        <v>6648</v>
      </c>
      <c r="K199" t="s">
        <v>6658</v>
      </c>
      <c r="L199" t="s">
        <v>1755</v>
      </c>
      <c r="M199" t="s">
        <v>1755</v>
      </c>
      <c r="N199" t="s">
        <v>1755</v>
      </c>
      <c r="O199" t="s">
        <v>1755</v>
      </c>
      <c r="P199" t="s">
        <v>1755</v>
      </c>
      <c r="Q199" t="s">
        <v>1755</v>
      </c>
      <c r="R199" t="s">
        <v>1755</v>
      </c>
      <c r="S199" t="s">
        <v>1755</v>
      </c>
      <c r="T199" t="s">
        <v>1755</v>
      </c>
      <c r="U199" t="s">
        <v>1755</v>
      </c>
      <c r="V199" t="s">
        <v>1755</v>
      </c>
      <c r="W199">
        <v>33430</v>
      </c>
      <c r="X199" t="s">
        <v>1755</v>
      </c>
      <c r="Y199">
        <v>46110</v>
      </c>
      <c r="Z199" t="s">
        <v>1755</v>
      </c>
      <c r="AA199" t="s">
        <v>1755</v>
      </c>
      <c r="AB199">
        <v>3</v>
      </c>
      <c r="AC199" t="s">
        <v>1755</v>
      </c>
      <c r="AE199">
        <v>0</v>
      </c>
      <c r="AF199" t="s">
        <v>1755</v>
      </c>
      <c r="AI199" t="s">
        <v>1755</v>
      </c>
      <c r="AJ199" t="s">
        <v>1755</v>
      </c>
      <c r="AK199" t="s">
        <v>1755</v>
      </c>
      <c r="AL199" t="s">
        <v>1755</v>
      </c>
      <c r="AM199" t="s">
        <v>1755</v>
      </c>
      <c r="AO199">
        <v>0</v>
      </c>
    </row>
    <row r="200" spans="1:46" x14ac:dyDescent="0.25">
      <c r="A200" t="s">
        <v>6329</v>
      </c>
      <c r="B200" s="19">
        <v>46107</v>
      </c>
      <c r="D200" t="s">
        <v>1600</v>
      </c>
      <c r="E200" t="s">
        <v>366</v>
      </c>
      <c r="F200" t="s">
        <v>41</v>
      </c>
      <c r="G200" t="s">
        <v>1755</v>
      </c>
      <c r="I200" t="str">
        <f>CONCATENATE(Inbound___Outbound_Shifting[[#This Row],[Batch '#]],"-",Inbound___Outbound_Shifting[[#This Row],[Exp '# or Key]])</f>
        <v>--</v>
      </c>
      <c r="J200" t="s">
        <v>1755</v>
      </c>
      <c r="K200">
        <v>4</v>
      </c>
      <c r="L200" t="s">
        <v>366</v>
      </c>
      <c r="M200" t="s">
        <v>6544</v>
      </c>
      <c r="N200" t="s">
        <v>1755</v>
      </c>
      <c r="O200" t="s">
        <v>455</v>
      </c>
      <c r="P200" t="s">
        <v>6659</v>
      </c>
      <c r="Q200" t="s">
        <v>6660</v>
      </c>
      <c r="R200" t="s">
        <v>6625</v>
      </c>
      <c r="S200" t="s">
        <v>1755</v>
      </c>
      <c r="T200" t="s">
        <v>1755</v>
      </c>
      <c r="U200" t="s">
        <v>1755</v>
      </c>
      <c r="V200" t="s">
        <v>1755</v>
      </c>
      <c r="W200">
        <v>4000</v>
      </c>
      <c r="X200">
        <v>4000</v>
      </c>
      <c r="Y200">
        <v>46108</v>
      </c>
      <c r="Z200">
        <v>46107</v>
      </c>
      <c r="AA200" t="s">
        <v>1755</v>
      </c>
      <c r="AB200">
        <v>1</v>
      </c>
      <c r="AC200">
        <v>70000</v>
      </c>
      <c r="AD200">
        <v>30000</v>
      </c>
      <c r="AE200">
        <v>-40000</v>
      </c>
      <c r="AF200" t="s">
        <v>1755</v>
      </c>
      <c r="AG200">
        <v>17.5</v>
      </c>
      <c r="AI200" t="s">
        <v>6334</v>
      </c>
      <c r="AJ200" t="s">
        <v>47</v>
      </c>
      <c r="AK200" t="s">
        <v>6335</v>
      </c>
      <c r="AL200" t="s">
        <v>6335</v>
      </c>
      <c r="AM200" t="s">
        <v>6335</v>
      </c>
      <c r="AO200">
        <v>40000</v>
      </c>
      <c r="AP200">
        <v>-1.3333333333333333</v>
      </c>
      <c r="AQ200">
        <v>17.5</v>
      </c>
      <c r="AR200" t="s">
        <v>47</v>
      </c>
      <c r="AT200" t="s">
        <v>47</v>
      </c>
    </row>
    <row r="201" spans="1:46" x14ac:dyDescent="0.25">
      <c r="A201" t="s">
        <v>6329</v>
      </c>
      <c r="B201" s="19">
        <v>46107</v>
      </c>
      <c r="C201" t="s">
        <v>868</v>
      </c>
      <c r="D201" t="s">
        <v>6330</v>
      </c>
      <c r="E201" t="s">
        <v>366</v>
      </c>
      <c r="F201" t="s">
        <v>6661</v>
      </c>
      <c r="G201" t="s">
        <v>1755</v>
      </c>
      <c r="I201" t="str">
        <f>CONCATENATE(Inbound___Outbound_Shifting[[#This Row],[Batch '#]],"-",Inbound___Outbound_Shifting[[#This Row],[Exp '# or Key]])</f>
        <v>--</v>
      </c>
      <c r="J201" t="s">
        <v>1755</v>
      </c>
      <c r="K201">
        <v>6</v>
      </c>
      <c r="L201" t="s">
        <v>366</v>
      </c>
      <c r="M201" t="s">
        <v>6364</v>
      </c>
      <c r="N201" t="s">
        <v>1755</v>
      </c>
      <c r="O201" t="s">
        <v>134</v>
      </c>
      <c r="P201" t="s">
        <v>6662</v>
      </c>
      <c r="Q201" t="s">
        <v>873</v>
      </c>
      <c r="R201" t="s">
        <v>6307</v>
      </c>
      <c r="S201" t="s">
        <v>1755</v>
      </c>
      <c r="T201" t="s">
        <v>1755</v>
      </c>
      <c r="U201" t="s">
        <v>1755</v>
      </c>
      <c r="V201" t="s">
        <v>1755</v>
      </c>
      <c r="W201">
        <v>8000</v>
      </c>
      <c r="X201">
        <v>30000</v>
      </c>
      <c r="Y201">
        <v>46110</v>
      </c>
      <c r="Z201">
        <v>46107</v>
      </c>
      <c r="AA201" t="s">
        <v>1755</v>
      </c>
      <c r="AB201">
        <v>3</v>
      </c>
      <c r="AC201">
        <v>173000</v>
      </c>
      <c r="AD201">
        <v>225000</v>
      </c>
      <c r="AE201">
        <v>52000</v>
      </c>
      <c r="AF201" t="s">
        <v>1755</v>
      </c>
      <c r="AG201">
        <v>5.7666666666666666</v>
      </c>
      <c r="AI201" t="s">
        <v>6308</v>
      </c>
      <c r="AJ201" t="s">
        <v>47</v>
      </c>
      <c r="AK201" t="s">
        <v>107</v>
      </c>
      <c r="AL201" t="s">
        <v>107</v>
      </c>
      <c r="AM201" t="s">
        <v>107</v>
      </c>
      <c r="AO201">
        <v>-52000</v>
      </c>
      <c r="AP201">
        <v>0.2311111111111111</v>
      </c>
      <c r="AQ201">
        <v>5.7666666666666666</v>
      </c>
      <c r="AR201" t="s">
        <v>47</v>
      </c>
      <c r="AT201" t="s">
        <v>47</v>
      </c>
    </row>
    <row r="202" spans="1:46" x14ac:dyDescent="0.25">
      <c r="A202" t="s">
        <v>1755</v>
      </c>
      <c r="B202" s="19">
        <v>46107</v>
      </c>
      <c r="C202" t="s">
        <v>815</v>
      </c>
      <c r="D202" t="s">
        <v>6330</v>
      </c>
      <c r="E202" t="s">
        <v>366</v>
      </c>
      <c r="F202" t="s">
        <v>816</v>
      </c>
      <c r="G202" t="s">
        <v>1755</v>
      </c>
      <c r="I202" t="str">
        <f>CONCATENATE(Inbound___Outbound_Shifting[[#This Row],[Batch '#]],"-",Inbound___Outbound_Shifting[[#This Row],[Exp '# or Key]])</f>
        <v>--</v>
      </c>
      <c r="J202" t="s">
        <v>1755</v>
      </c>
      <c r="K202">
        <v>5</v>
      </c>
      <c r="L202" t="s">
        <v>366</v>
      </c>
      <c r="M202" t="s">
        <v>1755</v>
      </c>
      <c r="N202" t="s">
        <v>1755</v>
      </c>
      <c r="O202" t="s">
        <v>1755</v>
      </c>
      <c r="P202" t="s">
        <v>1755</v>
      </c>
      <c r="Q202" t="s">
        <v>1755</v>
      </c>
      <c r="R202" t="s">
        <v>1755</v>
      </c>
      <c r="S202" t="s">
        <v>1755</v>
      </c>
      <c r="T202" t="s">
        <v>1755</v>
      </c>
      <c r="U202" t="s">
        <v>1755</v>
      </c>
      <c r="V202" t="s">
        <v>1755</v>
      </c>
      <c r="W202">
        <v>8000</v>
      </c>
      <c r="X202" t="s">
        <v>1755</v>
      </c>
      <c r="Y202">
        <v>46110</v>
      </c>
      <c r="Z202">
        <v>46107</v>
      </c>
      <c r="AA202" t="s">
        <v>1755</v>
      </c>
      <c r="AB202">
        <v>3</v>
      </c>
      <c r="AC202" t="s">
        <v>1755</v>
      </c>
      <c r="AE202">
        <v>0</v>
      </c>
      <c r="AF202" t="s">
        <v>1755</v>
      </c>
      <c r="AI202" t="s">
        <v>1755</v>
      </c>
      <c r="AJ202" t="s">
        <v>1755</v>
      </c>
      <c r="AK202" t="s">
        <v>1755</v>
      </c>
      <c r="AL202" t="s">
        <v>1755</v>
      </c>
      <c r="AM202" t="s">
        <v>1755</v>
      </c>
      <c r="AO202">
        <v>0</v>
      </c>
    </row>
    <row r="203" spans="1:46" x14ac:dyDescent="0.25">
      <c r="A203" t="s">
        <v>1755</v>
      </c>
      <c r="B203" s="19">
        <v>46107</v>
      </c>
      <c r="C203" t="s">
        <v>345</v>
      </c>
      <c r="D203" t="s">
        <v>6330</v>
      </c>
      <c r="E203" t="s">
        <v>117</v>
      </c>
      <c r="F203" t="s">
        <v>5872</v>
      </c>
      <c r="G203" t="s">
        <v>1755</v>
      </c>
      <c r="I203" t="str">
        <f>CONCATENATE(Inbound___Outbound_Shifting[[#This Row],[Batch '#]],"-",Inbound___Outbound_Shifting[[#This Row],[Exp '# or Key]])</f>
        <v>--</v>
      </c>
      <c r="J203" t="s">
        <v>1755</v>
      </c>
      <c r="K203">
        <v>6</v>
      </c>
      <c r="L203" t="s">
        <v>117</v>
      </c>
      <c r="M203" t="s">
        <v>1755</v>
      </c>
      <c r="N203" t="s">
        <v>1755</v>
      </c>
      <c r="O203" t="s">
        <v>1755</v>
      </c>
      <c r="P203" t="s">
        <v>1755</v>
      </c>
      <c r="Q203" t="s">
        <v>1755</v>
      </c>
      <c r="R203" t="s">
        <v>1755</v>
      </c>
      <c r="S203" t="s">
        <v>1755</v>
      </c>
      <c r="T203" t="s">
        <v>1755</v>
      </c>
      <c r="U203" t="s">
        <v>1755</v>
      </c>
      <c r="V203" t="s">
        <v>1755</v>
      </c>
      <c r="W203">
        <v>11000</v>
      </c>
      <c r="X203" t="s">
        <v>1755</v>
      </c>
      <c r="Y203">
        <v>46110</v>
      </c>
      <c r="Z203">
        <v>46107</v>
      </c>
      <c r="AA203" t="s">
        <v>1755</v>
      </c>
      <c r="AB203">
        <v>3</v>
      </c>
      <c r="AC203" t="s">
        <v>1755</v>
      </c>
      <c r="AE203">
        <v>0</v>
      </c>
      <c r="AF203" t="s">
        <v>1755</v>
      </c>
      <c r="AI203" t="s">
        <v>1755</v>
      </c>
      <c r="AJ203" t="s">
        <v>1755</v>
      </c>
      <c r="AK203" t="s">
        <v>1755</v>
      </c>
      <c r="AL203" t="s">
        <v>1755</v>
      </c>
      <c r="AM203" t="s">
        <v>1755</v>
      </c>
      <c r="AO203">
        <v>0</v>
      </c>
    </row>
    <row r="204" spans="1:46" x14ac:dyDescent="0.25">
      <c r="A204" t="s">
        <v>1755</v>
      </c>
      <c r="B204" s="19">
        <v>46107</v>
      </c>
      <c r="C204" t="s">
        <v>335</v>
      </c>
      <c r="D204" t="s">
        <v>6330</v>
      </c>
      <c r="E204" t="s">
        <v>366</v>
      </c>
      <c r="F204" t="s">
        <v>5872</v>
      </c>
      <c r="G204" t="s">
        <v>1755</v>
      </c>
      <c r="I204" t="str">
        <f>CONCATENATE(Inbound___Outbound_Shifting[[#This Row],[Batch '#]],"-",Inbound___Outbound_Shifting[[#This Row],[Exp '# or Key]])</f>
        <v>--</v>
      </c>
      <c r="J204" t="s">
        <v>1755</v>
      </c>
      <c r="K204">
        <v>1</v>
      </c>
      <c r="L204" t="s">
        <v>366</v>
      </c>
      <c r="M204" t="s">
        <v>1755</v>
      </c>
      <c r="N204" t="s">
        <v>1755</v>
      </c>
      <c r="O204" t="s">
        <v>1755</v>
      </c>
      <c r="P204" t="s">
        <v>1755</v>
      </c>
      <c r="Q204" t="s">
        <v>1755</v>
      </c>
      <c r="R204" t="s">
        <v>1755</v>
      </c>
      <c r="S204" t="s">
        <v>1755</v>
      </c>
      <c r="T204" t="s">
        <v>1755</v>
      </c>
      <c r="U204" t="s">
        <v>1755</v>
      </c>
      <c r="V204" t="s">
        <v>1755</v>
      </c>
      <c r="W204">
        <v>1000</v>
      </c>
      <c r="X204" t="s">
        <v>1755</v>
      </c>
      <c r="Y204">
        <v>46110</v>
      </c>
      <c r="Z204">
        <v>46107</v>
      </c>
      <c r="AA204" t="s">
        <v>1755</v>
      </c>
      <c r="AB204">
        <v>3</v>
      </c>
      <c r="AC204" t="s">
        <v>1755</v>
      </c>
      <c r="AE204">
        <v>0</v>
      </c>
      <c r="AF204" t="s">
        <v>1755</v>
      </c>
      <c r="AI204" t="s">
        <v>1755</v>
      </c>
      <c r="AJ204" t="s">
        <v>1755</v>
      </c>
      <c r="AK204" t="s">
        <v>1755</v>
      </c>
      <c r="AL204" t="s">
        <v>1755</v>
      </c>
      <c r="AM204" t="s">
        <v>1755</v>
      </c>
      <c r="AO204">
        <v>0</v>
      </c>
    </row>
    <row r="205" spans="1:46" x14ac:dyDescent="0.25">
      <c r="A205" t="s">
        <v>1755</v>
      </c>
      <c r="B205" s="19">
        <v>46107</v>
      </c>
      <c r="C205" t="s">
        <v>349</v>
      </c>
      <c r="D205" t="s">
        <v>6330</v>
      </c>
      <c r="E205" t="s">
        <v>366</v>
      </c>
      <c r="F205" t="s">
        <v>5872</v>
      </c>
      <c r="G205" t="s">
        <v>1755</v>
      </c>
      <c r="I205" t="str">
        <f>CONCATENATE(Inbound___Outbound_Shifting[[#This Row],[Batch '#]],"-",Inbound___Outbound_Shifting[[#This Row],[Exp '# or Key]])</f>
        <v>--</v>
      </c>
      <c r="J205" t="s">
        <v>1755</v>
      </c>
      <c r="K205">
        <v>2</v>
      </c>
      <c r="L205" t="s">
        <v>366</v>
      </c>
      <c r="M205" t="s">
        <v>1755</v>
      </c>
      <c r="N205" t="s">
        <v>1755</v>
      </c>
      <c r="O205" t="s">
        <v>1755</v>
      </c>
      <c r="P205" t="s">
        <v>1755</v>
      </c>
      <c r="Q205" t="s">
        <v>1755</v>
      </c>
      <c r="R205" t="s">
        <v>1755</v>
      </c>
      <c r="S205" t="s">
        <v>1755</v>
      </c>
      <c r="T205" t="s">
        <v>1755</v>
      </c>
      <c r="U205" t="s">
        <v>1755</v>
      </c>
      <c r="V205" t="s">
        <v>1755</v>
      </c>
      <c r="W205">
        <v>1000</v>
      </c>
      <c r="X205" t="s">
        <v>1755</v>
      </c>
      <c r="Y205">
        <v>46110</v>
      </c>
      <c r="Z205">
        <v>46107</v>
      </c>
      <c r="AA205" t="s">
        <v>1755</v>
      </c>
      <c r="AB205">
        <v>3</v>
      </c>
      <c r="AC205" t="s">
        <v>1755</v>
      </c>
      <c r="AE205">
        <v>0</v>
      </c>
      <c r="AF205" t="s">
        <v>1755</v>
      </c>
      <c r="AI205" t="s">
        <v>1755</v>
      </c>
      <c r="AJ205" t="s">
        <v>1755</v>
      </c>
      <c r="AK205" t="s">
        <v>1755</v>
      </c>
      <c r="AL205" t="s">
        <v>1755</v>
      </c>
      <c r="AM205" t="s">
        <v>1755</v>
      </c>
      <c r="AO205">
        <v>0</v>
      </c>
    </row>
    <row r="206" spans="1:46" x14ac:dyDescent="0.25">
      <c r="A206" t="s">
        <v>1755</v>
      </c>
      <c r="B206" s="19">
        <v>46107</v>
      </c>
      <c r="C206" t="s">
        <v>412</v>
      </c>
      <c r="D206" t="s">
        <v>6330</v>
      </c>
      <c r="E206" t="s">
        <v>117</v>
      </c>
      <c r="F206" t="s">
        <v>5872</v>
      </c>
      <c r="G206" t="s">
        <v>1755</v>
      </c>
      <c r="I206" t="str">
        <f>CONCATENATE(Inbound___Outbound_Shifting[[#This Row],[Batch '#]],"-",Inbound___Outbound_Shifting[[#This Row],[Exp '# or Key]])</f>
        <v>--</v>
      </c>
      <c r="J206" t="s">
        <v>1755</v>
      </c>
      <c r="K206">
        <v>1</v>
      </c>
      <c r="L206" t="s">
        <v>117</v>
      </c>
      <c r="M206" t="s">
        <v>1755</v>
      </c>
      <c r="N206" t="s">
        <v>1755</v>
      </c>
      <c r="O206" t="s">
        <v>1755</v>
      </c>
      <c r="P206" t="s">
        <v>1755</v>
      </c>
      <c r="Q206" t="s">
        <v>1755</v>
      </c>
      <c r="R206" t="s">
        <v>1755</v>
      </c>
      <c r="S206" t="s">
        <v>1755</v>
      </c>
      <c r="T206" t="s">
        <v>1755</v>
      </c>
      <c r="U206" t="s">
        <v>1755</v>
      </c>
      <c r="V206" t="s">
        <v>1755</v>
      </c>
      <c r="W206">
        <v>1000</v>
      </c>
      <c r="X206" t="s">
        <v>1755</v>
      </c>
      <c r="Y206">
        <v>46110</v>
      </c>
      <c r="Z206">
        <v>46107</v>
      </c>
      <c r="AA206" t="s">
        <v>1755</v>
      </c>
      <c r="AB206">
        <v>3</v>
      </c>
      <c r="AC206" t="s">
        <v>1755</v>
      </c>
      <c r="AE206">
        <v>0</v>
      </c>
      <c r="AF206" t="s">
        <v>1755</v>
      </c>
      <c r="AI206" t="s">
        <v>1755</v>
      </c>
      <c r="AJ206" t="s">
        <v>1755</v>
      </c>
      <c r="AK206" t="s">
        <v>1755</v>
      </c>
      <c r="AL206" t="s">
        <v>1755</v>
      </c>
      <c r="AM206" t="s">
        <v>1755</v>
      </c>
      <c r="AO206">
        <v>0</v>
      </c>
    </row>
    <row r="207" spans="1:46" x14ac:dyDescent="0.25">
      <c r="A207" t="s">
        <v>1755</v>
      </c>
      <c r="B207" s="19">
        <v>46107</v>
      </c>
      <c r="C207" t="s">
        <v>1755</v>
      </c>
      <c r="D207" t="s">
        <v>6366</v>
      </c>
      <c r="E207" t="s">
        <v>117</v>
      </c>
      <c r="F207" t="s">
        <v>1268</v>
      </c>
      <c r="G207" t="s">
        <v>1755</v>
      </c>
      <c r="I207" t="str">
        <f>CONCATENATE(Inbound___Outbound_Shifting[[#This Row],[Batch '#]],"-",Inbound___Outbound_Shifting[[#This Row],[Exp '# or Key]])</f>
        <v>--</v>
      </c>
      <c r="J207" t="s">
        <v>1755</v>
      </c>
      <c r="K207">
        <v>2</v>
      </c>
      <c r="L207" t="s">
        <v>117</v>
      </c>
      <c r="M207" t="s">
        <v>1755</v>
      </c>
      <c r="N207" t="s">
        <v>1755</v>
      </c>
      <c r="O207" t="s">
        <v>1755</v>
      </c>
      <c r="P207" t="s">
        <v>1755</v>
      </c>
      <c r="Q207" t="s">
        <v>1755</v>
      </c>
      <c r="R207" t="s">
        <v>1755</v>
      </c>
      <c r="S207" t="s">
        <v>1755</v>
      </c>
      <c r="T207" t="s">
        <v>1755</v>
      </c>
      <c r="U207" t="s">
        <v>1755</v>
      </c>
      <c r="V207" t="s">
        <v>1755</v>
      </c>
      <c r="W207" t="s">
        <v>1755</v>
      </c>
      <c r="X207" t="s">
        <v>1755</v>
      </c>
      <c r="Y207">
        <v>46110</v>
      </c>
      <c r="Z207">
        <v>46107</v>
      </c>
      <c r="AA207" t="s">
        <v>1755</v>
      </c>
      <c r="AB207">
        <v>3</v>
      </c>
      <c r="AC207" t="s">
        <v>1755</v>
      </c>
      <c r="AE207">
        <v>0</v>
      </c>
      <c r="AF207" t="s">
        <v>1755</v>
      </c>
      <c r="AI207" t="s">
        <v>1755</v>
      </c>
      <c r="AJ207" t="s">
        <v>1755</v>
      </c>
      <c r="AK207" t="s">
        <v>1755</v>
      </c>
      <c r="AL207" t="s">
        <v>1755</v>
      </c>
      <c r="AM207" t="s">
        <v>1755</v>
      </c>
      <c r="AO207">
        <v>0</v>
      </c>
    </row>
    <row r="208" spans="1:46" x14ac:dyDescent="0.25">
      <c r="A208" t="s">
        <v>6329</v>
      </c>
      <c r="B208" s="19">
        <v>46107</v>
      </c>
      <c r="C208" t="s">
        <v>855</v>
      </c>
      <c r="D208" t="s">
        <v>6330</v>
      </c>
      <c r="E208" t="s">
        <v>366</v>
      </c>
      <c r="F208" t="s">
        <v>856</v>
      </c>
      <c r="G208" t="s">
        <v>1755</v>
      </c>
      <c r="I208" t="str">
        <f>CONCATENATE(Inbound___Outbound_Shifting[[#This Row],[Batch '#]],"-",Inbound___Outbound_Shifting[[#This Row],[Exp '# or Key]])</f>
        <v>--</v>
      </c>
      <c r="J208" t="s">
        <v>1755</v>
      </c>
      <c r="K208">
        <v>1</v>
      </c>
      <c r="L208" t="s">
        <v>366</v>
      </c>
      <c r="M208" t="s">
        <v>6331</v>
      </c>
      <c r="N208" t="s">
        <v>1755</v>
      </c>
      <c r="O208" t="s">
        <v>128</v>
      </c>
      <c r="P208" t="s">
        <v>6663</v>
      </c>
      <c r="Q208" t="s">
        <v>857</v>
      </c>
      <c r="R208" t="s">
        <v>6333</v>
      </c>
      <c r="S208" t="s">
        <v>1755</v>
      </c>
      <c r="T208" t="s">
        <v>1755</v>
      </c>
      <c r="U208" t="s">
        <v>1755</v>
      </c>
      <c r="V208" t="s">
        <v>1755</v>
      </c>
      <c r="W208">
        <v>100</v>
      </c>
      <c r="X208">
        <v>100</v>
      </c>
      <c r="Y208">
        <v>46107</v>
      </c>
      <c r="Z208">
        <v>46107</v>
      </c>
      <c r="AA208" t="s">
        <v>1755</v>
      </c>
      <c r="AB208">
        <v>0</v>
      </c>
      <c r="AC208" t="s">
        <v>1755</v>
      </c>
      <c r="AD208">
        <v>750</v>
      </c>
      <c r="AE208">
        <v>0</v>
      </c>
      <c r="AF208" t="s">
        <v>1755</v>
      </c>
      <c r="AI208" t="s">
        <v>6334</v>
      </c>
      <c r="AJ208" t="s">
        <v>47</v>
      </c>
      <c r="AK208" t="s">
        <v>6335</v>
      </c>
      <c r="AL208" t="s">
        <v>6335</v>
      </c>
      <c r="AM208" t="s">
        <v>6335</v>
      </c>
      <c r="AO208">
        <v>-750</v>
      </c>
      <c r="AP208">
        <v>1</v>
      </c>
      <c r="AQ208">
        <v>0</v>
      </c>
      <c r="AR208" t="s">
        <v>47</v>
      </c>
      <c r="AT208" t="s">
        <v>47</v>
      </c>
    </row>
    <row r="209" spans="1:46" x14ac:dyDescent="0.25">
      <c r="A209" t="s">
        <v>6329</v>
      </c>
      <c r="B209" s="19">
        <v>46108</v>
      </c>
      <c r="C209" t="s">
        <v>615</v>
      </c>
      <c r="D209" t="s">
        <v>6330</v>
      </c>
      <c r="E209" t="s">
        <v>117</v>
      </c>
      <c r="F209" t="s">
        <v>6664</v>
      </c>
      <c r="G209" t="s">
        <v>1755</v>
      </c>
      <c r="I209" t="str">
        <f>CONCATENATE(Inbound___Outbound_Shifting[[#This Row],[Batch '#]],"-",Inbound___Outbound_Shifting[[#This Row],[Exp '# or Key]])</f>
        <v>--</v>
      </c>
      <c r="J209" t="s">
        <v>1755</v>
      </c>
      <c r="K209">
        <v>6</v>
      </c>
      <c r="L209" t="s">
        <v>117</v>
      </c>
      <c r="M209" t="s">
        <v>1268</v>
      </c>
      <c r="N209" t="s">
        <v>1755</v>
      </c>
      <c r="O209" t="s">
        <v>175</v>
      </c>
      <c r="P209" t="s">
        <v>6665</v>
      </c>
      <c r="Q209" t="s">
        <v>623</v>
      </c>
      <c r="R209" t="s">
        <v>6307</v>
      </c>
      <c r="S209" t="s">
        <v>1755</v>
      </c>
      <c r="T209" t="s">
        <v>1755</v>
      </c>
      <c r="U209" t="s">
        <v>1755</v>
      </c>
      <c r="V209" t="s">
        <v>1755</v>
      </c>
      <c r="W209">
        <v>12000</v>
      </c>
      <c r="X209">
        <v>32500</v>
      </c>
      <c r="Y209">
        <v>46111</v>
      </c>
      <c r="Z209">
        <v>46093</v>
      </c>
      <c r="AA209" t="s">
        <v>1755</v>
      </c>
      <c r="AB209">
        <v>3</v>
      </c>
      <c r="AC209">
        <v>170000</v>
      </c>
      <c r="AD209">
        <v>243750</v>
      </c>
      <c r="AE209">
        <v>73750</v>
      </c>
      <c r="AF209" t="s">
        <v>1755</v>
      </c>
      <c r="AG209">
        <v>5.2307692307692308</v>
      </c>
      <c r="AI209" t="s">
        <v>6308</v>
      </c>
      <c r="AJ209" t="s">
        <v>47</v>
      </c>
      <c r="AK209" t="s">
        <v>107</v>
      </c>
      <c r="AL209" t="s">
        <v>107</v>
      </c>
      <c r="AM209" t="s">
        <v>107</v>
      </c>
      <c r="AO209">
        <v>-73750</v>
      </c>
      <c r="AP209">
        <v>0.30256410256410254</v>
      </c>
      <c r="AQ209">
        <v>5.2307692307692308</v>
      </c>
      <c r="AR209" t="s">
        <v>47</v>
      </c>
      <c r="AT209" t="s">
        <v>47</v>
      </c>
    </row>
    <row r="210" spans="1:46" x14ac:dyDescent="0.25">
      <c r="A210" t="s">
        <v>1755</v>
      </c>
      <c r="B210" s="19">
        <v>46108</v>
      </c>
      <c r="C210" t="s">
        <v>345</v>
      </c>
      <c r="D210" t="s">
        <v>6330</v>
      </c>
      <c r="E210" t="s">
        <v>1755</v>
      </c>
      <c r="F210" t="s">
        <v>6666</v>
      </c>
      <c r="G210" t="s">
        <v>1755</v>
      </c>
      <c r="I210" t="str">
        <f>CONCATENATE(Inbound___Outbound_Shifting[[#This Row],[Batch '#]],"-",Inbound___Outbound_Shifting[[#This Row],[Exp '# or Key]])</f>
        <v>--</v>
      </c>
      <c r="J210" t="s">
        <v>1755</v>
      </c>
      <c r="K210">
        <v>6</v>
      </c>
      <c r="L210" t="s">
        <v>1755</v>
      </c>
      <c r="M210" t="s">
        <v>1755</v>
      </c>
      <c r="N210" t="s">
        <v>1755</v>
      </c>
      <c r="O210" t="s">
        <v>1755</v>
      </c>
      <c r="P210" t="s">
        <v>1755</v>
      </c>
      <c r="Q210" t="s">
        <v>1755</v>
      </c>
      <c r="R210" t="s">
        <v>1755</v>
      </c>
      <c r="S210" t="s">
        <v>1755</v>
      </c>
      <c r="T210" t="s">
        <v>1755</v>
      </c>
      <c r="U210" t="s">
        <v>1755</v>
      </c>
      <c r="V210" t="s">
        <v>1755</v>
      </c>
      <c r="W210">
        <v>20500</v>
      </c>
      <c r="X210" t="s">
        <v>1755</v>
      </c>
      <c r="Y210">
        <v>46111</v>
      </c>
      <c r="Z210">
        <v>46093</v>
      </c>
      <c r="AA210" t="s">
        <v>1755</v>
      </c>
      <c r="AB210">
        <v>3</v>
      </c>
      <c r="AC210" t="s">
        <v>1755</v>
      </c>
      <c r="AE210">
        <v>0</v>
      </c>
      <c r="AF210" t="s">
        <v>1755</v>
      </c>
      <c r="AI210" t="s">
        <v>1755</v>
      </c>
      <c r="AJ210" t="s">
        <v>1755</v>
      </c>
      <c r="AK210" t="s">
        <v>1755</v>
      </c>
      <c r="AL210" t="s">
        <v>1755</v>
      </c>
      <c r="AM210" t="s">
        <v>1755</v>
      </c>
      <c r="AO210">
        <v>0</v>
      </c>
    </row>
    <row r="211" spans="1:46" x14ac:dyDescent="0.25">
      <c r="A211" t="s">
        <v>6329</v>
      </c>
      <c r="B211" s="19">
        <v>46108</v>
      </c>
      <c r="C211" t="s">
        <v>615</v>
      </c>
      <c r="D211" t="s">
        <v>6330</v>
      </c>
      <c r="E211" t="s">
        <v>117</v>
      </c>
      <c r="F211" t="s">
        <v>6667</v>
      </c>
      <c r="G211" t="s">
        <v>1755</v>
      </c>
      <c r="I211" t="str">
        <f>CONCATENATE(Inbound___Outbound_Shifting[[#This Row],[Batch '#]],"-",Inbound___Outbound_Shifting[[#This Row],[Exp '# or Key]])</f>
        <v>--</v>
      </c>
      <c r="J211" t="s">
        <v>1755</v>
      </c>
      <c r="K211">
        <v>8</v>
      </c>
      <c r="L211" t="s">
        <v>117</v>
      </c>
      <c r="M211" t="s">
        <v>1268</v>
      </c>
      <c r="N211" t="s">
        <v>1755</v>
      </c>
      <c r="O211" t="s">
        <v>537</v>
      </c>
      <c r="P211" t="s">
        <v>6668</v>
      </c>
      <c r="Q211" t="s">
        <v>6669</v>
      </c>
      <c r="R211" t="s">
        <v>6307</v>
      </c>
      <c r="S211" t="s">
        <v>1755</v>
      </c>
      <c r="T211" t="s">
        <v>1755</v>
      </c>
      <c r="U211" t="s">
        <v>1755</v>
      </c>
      <c r="V211" t="s">
        <v>1755</v>
      </c>
      <c r="W211">
        <v>30000</v>
      </c>
      <c r="X211">
        <v>30000</v>
      </c>
      <c r="Y211">
        <v>46111</v>
      </c>
      <c r="Z211">
        <v>46106</v>
      </c>
      <c r="AA211" t="s">
        <v>1755</v>
      </c>
      <c r="AB211">
        <v>3</v>
      </c>
      <c r="AC211">
        <v>200000</v>
      </c>
      <c r="AD211">
        <v>225000</v>
      </c>
      <c r="AE211">
        <v>25000</v>
      </c>
      <c r="AF211" t="s">
        <v>1755</v>
      </c>
      <c r="AG211">
        <v>6.666666666666667</v>
      </c>
      <c r="AI211" t="s">
        <v>6308</v>
      </c>
      <c r="AJ211" t="s">
        <v>47</v>
      </c>
      <c r="AK211" t="s">
        <v>107</v>
      </c>
      <c r="AL211" t="s">
        <v>107</v>
      </c>
      <c r="AM211" t="s">
        <v>107</v>
      </c>
      <c r="AO211">
        <v>-25000</v>
      </c>
      <c r="AP211">
        <v>0.1111111111111111</v>
      </c>
      <c r="AQ211">
        <v>6.666666666666667</v>
      </c>
      <c r="AR211" t="s">
        <v>47</v>
      </c>
      <c r="AT211" t="s">
        <v>47</v>
      </c>
    </row>
    <row r="212" spans="1:46" x14ac:dyDescent="0.25">
      <c r="A212" t="s">
        <v>6300</v>
      </c>
      <c r="B212" s="19">
        <v>46109</v>
      </c>
      <c r="C212" t="s">
        <v>6670</v>
      </c>
      <c r="D212" t="s">
        <v>6302</v>
      </c>
      <c r="E212" t="s">
        <v>1268</v>
      </c>
      <c r="F212" t="s">
        <v>1371</v>
      </c>
      <c r="G212" t="s">
        <v>1755</v>
      </c>
      <c r="I212" t="str">
        <f>CONCATENATE(Inbound___Outbound_Shifting[[#This Row],[Batch '#]],"-",Inbound___Outbound_Shifting[[#This Row],[Exp '# or Key]])</f>
        <v>--</v>
      </c>
      <c r="J212" t="s">
        <v>6629</v>
      </c>
      <c r="K212" t="s">
        <v>6630</v>
      </c>
      <c r="L212" t="s">
        <v>1755</v>
      </c>
      <c r="M212" t="s">
        <v>1755</v>
      </c>
      <c r="N212" t="s">
        <v>1755</v>
      </c>
      <c r="O212" t="s">
        <v>6341</v>
      </c>
      <c r="P212" t="s">
        <v>6671</v>
      </c>
      <c r="Q212" t="s">
        <v>6672</v>
      </c>
      <c r="R212" t="s">
        <v>6307</v>
      </c>
      <c r="S212">
        <v>1</v>
      </c>
      <c r="T212" t="s">
        <v>1755</v>
      </c>
      <c r="U212" t="s">
        <v>1755</v>
      </c>
      <c r="V212" t="s">
        <v>1755</v>
      </c>
      <c r="W212">
        <v>54270</v>
      </c>
      <c r="X212">
        <v>54270</v>
      </c>
      <c r="Y212">
        <v>46113</v>
      </c>
      <c r="Z212" t="s">
        <v>1755</v>
      </c>
      <c r="AA212" t="s">
        <v>1755</v>
      </c>
      <c r="AB212">
        <v>4</v>
      </c>
      <c r="AC212">
        <v>624855</v>
      </c>
      <c r="AD212">
        <v>814050</v>
      </c>
      <c r="AE212">
        <v>189195</v>
      </c>
      <c r="AF212" t="s">
        <v>1755</v>
      </c>
      <c r="AG212">
        <v>11.513819789939193</v>
      </c>
      <c r="AH212">
        <v>512.59639048400334</v>
      </c>
      <c r="AI212" t="s">
        <v>6308</v>
      </c>
      <c r="AJ212" t="s">
        <v>47</v>
      </c>
      <c r="AK212" t="s">
        <v>107</v>
      </c>
      <c r="AL212" t="s">
        <v>107</v>
      </c>
      <c r="AM212" t="s">
        <v>107</v>
      </c>
      <c r="AO212">
        <v>-189195</v>
      </c>
      <c r="AP212">
        <v>0.23241201400405381</v>
      </c>
      <c r="AQ212">
        <v>11.513819789939193</v>
      </c>
      <c r="AR212" t="s">
        <v>47</v>
      </c>
      <c r="AT212" t="s">
        <v>47</v>
      </c>
    </row>
    <row r="213" spans="1:46" x14ac:dyDescent="0.25">
      <c r="A213" t="s">
        <v>6329</v>
      </c>
      <c r="B213" s="19">
        <v>46115</v>
      </c>
      <c r="C213" t="s">
        <v>934</v>
      </c>
      <c r="D213" t="s">
        <v>6330</v>
      </c>
      <c r="E213" t="s">
        <v>366</v>
      </c>
      <c r="F213" t="s">
        <v>6622</v>
      </c>
      <c r="G213" t="s">
        <v>1755</v>
      </c>
      <c r="I213" t="str">
        <f>CONCATENATE(Inbound___Outbound_Shifting[[#This Row],[Batch '#]],"-",Inbound___Outbound_Shifting[[#This Row],[Exp '# or Key]])</f>
        <v>--</v>
      </c>
      <c r="J213" t="s">
        <v>1755</v>
      </c>
      <c r="K213">
        <v>1</v>
      </c>
      <c r="L213" t="s">
        <v>366</v>
      </c>
      <c r="M213" t="s">
        <v>6599</v>
      </c>
      <c r="N213" t="s">
        <v>1755</v>
      </c>
      <c r="O213" t="s">
        <v>104</v>
      </c>
      <c r="P213" t="s">
        <v>6673</v>
      </c>
      <c r="Q213" t="s">
        <v>935</v>
      </c>
      <c r="R213" t="s">
        <v>6333</v>
      </c>
      <c r="S213" t="s">
        <v>1755</v>
      </c>
      <c r="T213" t="s">
        <v>1755</v>
      </c>
      <c r="U213" t="s">
        <v>1755</v>
      </c>
      <c r="V213" t="s">
        <v>1755</v>
      </c>
      <c r="W213">
        <v>1000</v>
      </c>
      <c r="X213">
        <v>1000</v>
      </c>
      <c r="Y213">
        <v>46115</v>
      </c>
      <c r="Z213">
        <v>46108</v>
      </c>
      <c r="AA213" t="s">
        <v>1755</v>
      </c>
      <c r="AB213">
        <v>0</v>
      </c>
      <c r="AC213">
        <v>16000</v>
      </c>
      <c r="AD213">
        <v>7500</v>
      </c>
      <c r="AE213">
        <v>-8500</v>
      </c>
      <c r="AF213" t="s">
        <v>1755</v>
      </c>
      <c r="AG213">
        <v>16</v>
      </c>
      <c r="AI213" t="s">
        <v>6308</v>
      </c>
      <c r="AJ213" t="s">
        <v>47</v>
      </c>
      <c r="AK213" t="s">
        <v>107</v>
      </c>
      <c r="AL213" t="s">
        <v>107</v>
      </c>
      <c r="AM213" t="s">
        <v>107</v>
      </c>
      <c r="AO213">
        <v>8500</v>
      </c>
      <c r="AP213">
        <v>-1.1333333333333333</v>
      </c>
      <c r="AQ213">
        <v>16</v>
      </c>
      <c r="AR213" t="s">
        <v>47</v>
      </c>
      <c r="AT213" t="s">
        <v>47</v>
      </c>
    </row>
    <row r="214" spans="1:46" x14ac:dyDescent="0.25">
      <c r="A214" t="s">
        <v>6329</v>
      </c>
      <c r="B214" s="19">
        <v>46115</v>
      </c>
      <c r="C214" t="s">
        <v>531</v>
      </c>
      <c r="D214" t="s">
        <v>6330</v>
      </c>
      <c r="E214" t="s">
        <v>366</v>
      </c>
      <c r="F214" t="s">
        <v>6674</v>
      </c>
      <c r="G214" t="s">
        <v>1755</v>
      </c>
      <c r="I214" t="str">
        <f>CONCATENATE(Inbound___Outbound_Shifting[[#This Row],[Batch '#]],"-",Inbound___Outbound_Shifting[[#This Row],[Exp '# or Key]])</f>
        <v>--</v>
      </c>
      <c r="J214" t="s">
        <v>1755</v>
      </c>
      <c r="K214">
        <v>11</v>
      </c>
      <c r="L214" t="s">
        <v>366</v>
      </c>
      <c r="M214" t="s">
        <v>1268</v>
      </c>
      <c r="N214" t="s">
        <v>1755</v>
      </c>
      <c r="O214" t="s">
        <v>537</v>
      </c>
      <c r="P214" t="s">
        <v>6675</v>
      </c>
      <c r="Q214" t="s">
        <v>538</v>
      </c>
      <c r="R214" t="s">
        <v>6307</v>
      </c>
      <c r="S214" t="s">
        <v>1755</v>
      </c>
      <c r="T214" t="s">
        <v>1755</v>
      </c>
      <c r="U214" t="s">
        <v>1755</v>
      </c>
      <c r="V214" t="s">
        <v>1755</v>
      </c>
      <c r="W214">
        <v>21540</v>
      </c>
      <c r="X214">
        <v>22000</v>
      </c>
      <c r="Y214">
        <v>46118</v>
      </c>
      <c r="Z214" t="s">
        <v>1755</v>
      </c>
      <c r="AA214" t="s">
        <v>1755</v>
      </c>
      <c r="AB214">
        <v>3</v>
      </c>
      <c r="AC214">
        <v>210000</v>
      </c>
      <c r="AD214">
        <v>165000</v>
      </c>
      <c r="AE214">
        <v>-45000</v>
      </c>
      <c r="AF214" t="s">
        <v>1755</v>
      </c>
      <c r="AG214">
        <v>9.545454545454545</v>
      </c>
      <c r="AI214" t="s">
        <v>6308</v>
      </c>
      <c r="AJ214" t="s">
        <v>47</v>
      </c>
      <c r="AK214" t="s">
        <v>107</v>
      </c>
      <c r="AL214" t="s">
        <v>107</v>
      </c>
      <c r="AM214" t="s">
        <v>107</v>
      </c>
      <c r="AO214">
        <v>45000</v>
      </c>
      <c r="AP214">
        <v>-0.27272727272727271</v>
      </c>
      <c r="AQ214">
        <v>9.545454545454545</v>
      </c>
      <c r="AR214" t="s">
        <v>47</v>
      </c>
      <c r="AT214" t="s">
        <v>47</v>
      </c>
    </row>
    <row r="215" spans="1:46" x14ac:dyDescent="0.25">
      <c r="A215" t="s">
        <v>6329</v>
      </c>
      <c r="B215" s="19">
        <v>46115</v>
      </c>
      <c r="C215" t="s">
        <v>531</v>
      </c>
      <c r="D215" t="s">
        <v>6330</v>
      </c>
      <c r="E215" t="s">
        <v>366</v>
      </c>
      <c r="F215" t="s">
        <v>6674</v>
      </c>
      <c r="G215" t="s">
        <v>1755</v>
      </c>
      <c r="I215" t="str">
        <f>CONCATENATE(Inbound___Outbound_Shifting[[#This Row],[Batch '#]],"-",Inbound___Outbound_Shifting[[#This Row],[Exp '# or Key]])</f>
        <v>--</v>
      </c>
      <c r="J215" t="s">
        <v>1755</v>
      </c>
      <c r="K215">
        <v>2</v>
      </c>
      <c r="L215" t="s">
        <v>366</v>
      </c>
      <c r="M215" t="s">
        <v>1268</v>
      </c>
      <c r="N215" t="s">
        <v>1755</v>
      </c>
      <c r="O215" t="s">
        <v>537</v>
      </c>
      <c r="P215" t="s">
        <v>6676</v>
      </c>
      <c r="Q215" t="s">
        <v>6677</v>
      </c>
      <c r="R215" t="s">
        <v>6307</v>
      </c>
      <c r="S215" t="s">
        <v>1755</v>
      </c>
      <c r="T215" t="s">
        <v>1755</v>
      </c>
      <c r="U215" t="s">
        <v>1755</v>
      </c>
      <c r="V215" t="s">
        <v>1755</v>
      </c>
      <c r="W215">
        <v>31865</v>
      </c>
      <c r="X215">
        <v>32000</v>
      </c>
      <c r="Y215">
        <v>46118</v>
      </c>
      <c r="Z215" t="s">
        <v>1755</v>
      </c>
      <c r="AA215" t="s">
        <v>1755</v>
      </c>
      <c r="AB215">
        <v>3</v>
      </c>
      <c r="AC215">
        <v>245000</v>
      </c>
      <c r="AD215">
        <v>240000</v>
      </c>
      <c r="AE215">
        <v>-5000</v>
      </c>
      <c r="AF215" t="s">
        <v>1755</v>
      </c>
      <c r="AG215">
        <v>7.65625</v>
      </c>
      <c r="AI215" t="s">
        <v>6308</v>
      </c>
      <c r="AJ215" t="s">
        <v>47</v>
      </c>
      <c r="AK215" t="s">
        <v>107</v>
      </c>
      <c r="AL215" t="s">
        <v>107</v>
      </c>
      <c r="AM215" t="s">
        <v>107</v>
      </c>
      <c r="AO215">
        <v>5000</v>
      </c>
      <c r="AP215">
        <v>-2.0833333333333332E-2</v>
      </c>
      <c r="AQ215">
        <v>7.65625</v>
      </c>
      <c r="AR215" t="s">
        <v>47</v>
      </c>
      <c r="AT215" t="s">
        <v>47</v>
      </c>
    </row>
    <row r="216" spans="1:46" x14ac:dyDescent="0.25">
      <c r="A216" t="s">
        <v>6329</v>
      </c>
      <c r="B216" s="19">
        <v>46116</v>
      </c>
      <c r="C216" t="s">
        <v>751</v>
      </c>
      <c r="D216" t="s">
        <v>6330</v>
      </c>
      <c r="E216" t="s">
        <v>117</v>
      </c>
      <c r="F216" t="s">
        <v>6674</v>
      </c>
      <c r="G216" t="s">
        <v>1755</v>
      </c>
      <c r="I216" t="str">
        <f>CONCATENATE(Inbound___Outbound_Shifting[[#This Row],[Batch '#]],"-",Inbound___Outbound_Shifting[[#This Row],[Exp '# or Key]])</f>
        <v>--</v>
      </c>
      <c r="J216" t="s">
        <v>1755</v>
      </c>
      <c r="K216">
        <v>1</v>
      </c>
      <c r="L216" t="s">
        <v>117</v>
      </c>
      <c r="M216" t="s">
        <v>1268</v>
      </c>
      <c r="N216" t="s">
        <v>1755</v>
      </c>
      <c r="O216" t="s">
        <v>278</v>
      </c>
      <c r="P216" t="s">
        <v>6678</v>
      </c>
      <c r="Q216" t="s">
        <v>756</v>
      </c>
      <c r="R216" t="s">
        <v>6679</v>
      </c>
      <c r="S216" t="s">
        <v>1755</v>
      </c>
      <c r="T216" t="s">
        <v>1755</v>
      </c>
      <c r="U216" t="s">
        <v>1755</v>
      </c>
      <c r="V216" t="s">
        <v>1755</v>
      </c>
      <c r="W216">
        <v>3200</v>
      </c>
      <c r="X216">
        <v>4000</v>
      </c>
      <c r="Y216">
        <v>46087</v>
      </c>
      <c r="Z216">
        <v>46087</v>
      </c>
      <c r="AA216" t="s">
        <v>1755</v>
      </c>
      <c r="AB216">
        <v>-29</v>
      </c>
      <c r="AC216">
        <v>150000</v>
      </c>
      <c r="AD216">
        <v>30000</v>
      </c>
      <c r="AE216">
        <v>-120000</v>
      </c>
      <c r="AF216" t="s">
        <v>1755</v>
      </c>
      <c r="AG216">
        <v>37.5</v>
      </c>
      <c r="AI216" t="s">
        <v>6308</v>
      </c>
      <c r="AJ216" t="s">
        <v>47</v>
      </c>
      <c r="AK216" t="s">
        <v>107</v>
      </c>
      <c r="AL216" t="s">
        <v>107</v>
      </c>
      <c r="AM216" t="s">
        <v>107</v>
      </c>
      <c r="AO216">
        <v>120000</v>
      </c>
      <c r="AP216">
        <v>-4</v>
      </c>
      <c r="AQ216">
        <v>37.5</v>
      </c>
      <c r="AR216" t="s">
        <v>47</v>
      </c>
      <c r="AT216" t="s">
        <v>47</v>
      </c>
    </row>
    <row r="217" spans="1:46" x14ac:dyDescent="0.25">
      <c r="A217" t="s">
        <v>1755</v>
      </c>
      <c r="B217" s="19">
        <v>46116</v>
      </c>
      <c r="C217" t="s">
        <v>1755</v>
      </c>
      <c r="D217" t="s">
        <v>6366</v>
      </c>
      <c r="E217" t="s">
        <v>1755</v>
      </c>
      <c r="F217" t="s">
        <v>1755</v>
      </c>
      <c r="G217" t="s">
        <v>1755</v>
      </c>
      <c r="I217" t="str">
        <f>CONCATENATE(Inbound___Outbound_Shifting[[#This Row],[Batch '#]],"-",Inbound___Outbound_Shifting[[#This Row],[Exp '# or Key]])</f>
        <v>--</v>
      </c>
      <c r="J217" t="s">
        <v>1755</v>
      </c>
      <c r="K217">
        <v>1</v>
      </c>
      <c r="L217" t="s">
        <v>1755</v>
      </c>
      <c r="M217" t="s">
        <v>1755</v>
      </c>
      <c r="N217" t="s">
        <v>1755</v>
      </c>
      <c r="O217" t="s">
        <v>1755</v>
      </c>
      <c r="P217" t="s">
        <v>1755</v>
      </c>
      <c r="Q217" t="s">
        <v>1755</v>
      </c>
      <c r="R217" t="s">
        <v>1755</v>
      </c>
      <c r="S217" t="s">
        <v>1755</v>
      </c>
      <c r="T217" t="s">
        <v>1755</v>
      </c>
      <c r="U217" t="s">
        <v>1755</v>
      </c>
      <c r="V217" t="s">
        <v>1755</v>
      </c>
      <c r="W217">
        <v>800</v>
      </c>
      <c r="X217" t="s">
        <v>1755</v>
      </c>
      <c r="Y217" t="s">
        <v>1755</v>
      </c>
      <c r="Z217" t="s">
        <v>1755</v>
      </c>
      <c r="AA217" t="s">
        <v>1755</v>
      </c>
      <c r="AC217" t="s">
        <v>1755</v>
      </c>
      <c r="AE217">
        <v>0</v>
      </c>
      <c r="AF217" t="s">
        <v>1755</v>
      </c>
      <c r="AI217" t="s">
        <v>1755</v>
      </c>
      <c r="AJ217" t="s">
        <v>1755</v>
      </c>
      <c r="AK217" t="s">
        <v>1755</v>
      </c>
      <c r="AL217" t="s">
        <v>1755</v>
      </c>
      <c r="AM217" t="s">
        <v>1755</v>
      </c>
      <c r="AO217">
        <v>0</v>
      </c>
    </row>
    <row r="218" spans="1:46" x14ac:dyDescent="0.25">
      <c r="A218" t="s">
        <v>6329</v>
      </c>
      <c r="B218" s="19">
        <v>46120</v>
      </c>
      <c r="C218" t="s">
        <v>1512</v>
      </c>
      <c r="D218" t="s">
        <v>1600</v>
      </c>
      <c r="E218" t="s">
        <v>117</v>
      </c>
      <c r="F218" t="s">
        <v>1279</v>
      </c>
      <c r="G218" t="s">
        <v>1755</v>
      </c>
      <c r="I218" t="str">
        <f>CONCATENATE(Inbound___Outbound_Shifting[[#This Row],[Batch '#]],"-",Inbound___Outbound_Shifting[[#This Row],[Exp '# or Key]])</f>
        <v>--</v>
      </c>
      <c r="J218" t="s">
        <v>1755</v>
      </c>
      <c r="K218">
        <v>1</v>
      </c>
      <c r="L218" t="s">
        <v>117</v>
      </c>
      <c r="M218" t="s">
        <v>1279</v>
      </c>
      <c r="N218" t="s">
        <v>1755</v>
      </c>
      <c r="O218" t="s">
        <v>767</v>
      </c>
      <c r="P218" t="s">
        <v>6680</v>
      </c>
      <c r="Q218" t="s">
        <v>1513</v>
      </c>
      <c r="R218" t="s">
        <v>6333</v>
      </c>
      <c r="S218" t="s">
        <v>1755</v>
      </c>
      <c r="T218" t="s">
        <v>1755</v>
      </c>
      <c r="U218" t="s">
        <v>1755</v>
      </c>
      <c r="V218" t="s">
        <v>1755</v>
      </c>
      <c r="W218">
        <v>800</v>
      </c>
      <c r="X218">
        <v>1215</v>
      </c>
      <c r="Y218">
        <v>46120</v>
      </c>
      <c r="Z218">
        <v>46120</v>
      </c>
      <c r="AA218" t="s">
        <v>1755</v>
      </c>
      <c r="AB218">
        <v>0</v>
      </c>
      <c r="AC218">
        <v>60000</v>
      </c>
      <c r="AD218">
        <v>9112.5</v>
      </c>
      <c r="AE218">
        <v>-50887.5</v>
      </c>
      <c r="AF218" t="s">
        <v>1755</v>
      </c>
      <c r="AG218">
        <v>49.382716049382715</v>
      </c>
      <c r="AI218" t="s">
        <v>6308</v>
      </c>
      <c r="AJ218" t="s">
        <v>47</v>
      </c>
      <c r="AK218" t="s">
        <v>107</v>
      </c>
      <c r="AL218" t="s">
        <v>107</v>
      </c>
      <c r="AM218" t="s">
        <v>107</v>
      </c>
      <c r="AO218">
        <v>50887.5</v>
      </c>
      <c r="AP218">
        <v>-5.5843621399176957</v>
      </c>
      <c r="AQ218">
        <v>49.382716049382715</v>
      </c>
      <c r="AR218" t="s">
        <v>47</v>
      </c>
      <c r="AT218" t="s">
        <v>47</v>
      </c>
    </row>
    <row r="219" spans="1:46" x14ac:dyDescent="0.25">
      <c r="A219" t="s">
        <v>6329</v>
      </c>
      <c r="B219" s="19">
        <v>46120</v>
      </c>
      <c r="C219" t="s">
        <v>1501</v>
      </c>
      <c r="D219" t="s">
        <v>1600</v>
      </c>
      <c r="E219" t="s">
        <v>1371</v>
      </c>
      <c r="F219" t="s">
        <v>1259</v>
      </c>
      <c r="G219" t="s">
        <v>1755</v>
      </c>
      <c r="I219" t="str">
        <f>CONCATENATE(Inbound___Outbound_Shifting[[#This Row],[Batch '#]],"-",Inbound___Outbound_Shifting[[#This Row],[Exp '# or Key]])</f>
        <v>--</v>
      </c>
      <c r="J219" t="s">
        <v>1755</v>
      </c>
      <c r="K219">
        <v>11</v>
      </c>
      <c r="L219" t="s">
        <v>1371</v>
      </c>
      <c r="M219" t="s">
        <v>1259</v>
      </c>
      <c r="N219" t="s">
        <v>1755</v>
      </c>
      <c r="O219" t="s">
        <v>537</v>
      </c>
      <c r="P219" t="s">
        <v>6681</v>
      </c>
      <c r="Q219" t="s">
        <v>1502</v>
      </c>
      <c r="R219" t="s">
        <v>6307</v>
      </c>
      <c r="S219" t="s">
        <v>1755</v>
      </c>
      <c r="T219" t="s">
        <v>1755</v>
      </c>
      <c r="U219" t="s">
        <v>1755</v>
      </c>
      <c r="V219" t="s">
        <v>1755</v>
      </c>
      <c r="W219">
        <v>12000</v>
      </c>
      <c r="X219">
        <v>12460</v>
      </c>
      <c r="Y219">
        <v>46124</v>
      </c>
      <c r="Z219">
        <v>46118</v>
      </c>
      <c r="AA219" t="s">
        <v>1755</v>
      </c>
      <c r="AB219">
        <v>4</v>
      </c>
      <c r="AC219">
        <v>130000</v>
      </c>
      <c r="AD219">
        <v>93450</v>
      </c>
      <c r="AE219">
        <v>-36550</v>
      </c>
      <c r="AF219" t="s">
        <v>1755</v>
      </c>
      <c r="AG219">
        <v>10.433386837881219</v>
      </c>
      <c r="AI219" t="s">
        <v>6308</v>
      </c>
      <c r="AJ219" t="s">
        <v>47</v>
      </c>
      <c r="AK219" t="s">
        <v>107</v>
      </c>
      <c r="AL219" t="s">
        <v>107</v>
      </c>
      <c r="AM219" t="s">
        <v>107</v>
      </c>
      <c r="AO219">
        <v>36550</v>
      </c>
      <c r="AP219">
        <v>-0.39111824505082932</v>
      </c>
      <c r="AQ219">
        <v>10.433386837881219</v>
      </c>
      <c r="AR219" t="s">
        <v>47</v>
      </c>
      <c r="AT219" t="s">
        <v>47</v>
      </c>
    </row>
    <row r="220" spans="1:46" x14ac:dyDescent="0.25">
      <c r="A220" t="s">
        <v>6329</v>
      </c>
      <c r="B220" s="19">
        <v>46120</v>
      </c>
      <c r="C220" t="s">
        <v>726</v>
      </c>
      <c r="D220" t="s">
        <v>6330</v>
      </c>
      <c r="E220" t="s">
        <v>117</v>
      </c>
      <c r="F220" t="s">
        <v>6682</v>
      </c>
      <c r="G220" t="s">
        <v>1755</v>
      </c>
      <c r="I220" t="str">
        <f>CONCATENATE(Inbound___Outbound_Shifting[[#This Row],[Batch '#]],"-",Inbound___Outbound_Shifting[[#This Row],[Exp '# or Key]])</f>
        <v>--</v>
      </c>
      <c r="J220" t="s">
        <v>1755</v>
      </c>
      <c r="K220">
        <v>3</v>
      </c>
      <c r="L220" t="s">
        <v>117</v>
      </c>
      <c r="M220" t="s">
        <v>1268</v>
      </c>
      <c r="N220" t="s">
        <v>1755</v>
      </c>
      <c r="O220" t="s">
        <v>134</v>
      </c>
      <c r="P220" t="s">
        <v>6683</v>
      </c>
      <c r="Q220" t="s">
        <v>626</v>
      </c>
      <c r="R220" t="s">
        <v>6307</v>
      </c>
      <c r="S220" t="s">
        <v>1755</v>
      </c>
      <c r="T220" t="s">
        <v>1755</v>
      </c>
      <c r="U220" t="s">
        <v>1755</v>
      </c>
      <c r="V220" t="s">
        <v>1755</v>
      </c>
      <c r="W220">
        <v>44000</v>
      </c>
      <c r="X220">
        <v>45000</v>
      </c>
      <c r="Y220">
        <v>46124</v>
      </c>
      <c r="Z220">
        <v>46112</v>
      </c>
      <c r="AA220" t="s">
        <v>1755</v>
      </c>
      <c r="AB220">
        <v>4</v>
      </c>
      <c r="AC220">
        <v>250000</v>
      </c>
      <c r="AD220">
        <v>337500</v>
      </c>
      <c r="AE220">
        <v>87500</v>
      </c>
      <c r="AF220" t="s">
        <v>1755</v>
      </c>
      <c r="AG220">
        <v>5.5555555555555554</v>
      </c>
      <c r="AI220" t="s">
        <v>6308</v>
      </c>
      <c r="AJ220" t="s">
        <v>47</v>
      </c>
      <c r="AK220" t="s">
        <v>107</v>
      </c>
      <c r="AL220" t="s">
        <v>107</v>
      </c>
      <c r="AM220" t="s">
        <v>107</v>
      </c>
      <c r="AO220">
        <v>-87500</v>
      </c>
      <c r="AP220">
        <v>0.25925925925925924</v>
      </c>
      <c r="AQ220">
        <v>5.5555555555555554</v>
      </c>
      <c r="AR220" t="s">
        <v>47</v>
      </c>
      <c r="AT220" t="s">
        <v>47</v>
      </c>
    </row>
    <row r="221" spans="1:46" x14ac:dyDescent="0.25">
      <c r="A221" t="s">
        <v>6329</v>
      </c>
      <c r="B221" s="19">
        <v>46121</v>
      </c>
      <c r="C221" t="s">
        <v>1258</v>
      </c>
      <c r="D221" t="s">
        <v>1600</v>
      </c>
      <c r="E221" t="s">
        <v>117</v>
      </c>
      <c r="F221" t="s">
        <v>1259</v>
      </c>
      <c r="G221" t="s">
        <v>1755</v>
      </c>
      <c r="I221" t="str">
        <f>CONCATENATE(Inbound___Outbound_Shifting[[#This Row],[Batch '#]],"-",Inbound___Outbound_Shifting[[#This Row],[Exp '# or Key]])</f>
        <v>--</v>
      </c>
      <c r="J221" t="s">
        <v>1755</v>
      </c>
      <c r="K221">
        <v>3</v>
      </c>
      <c r="L221" t="s">
        <v>117</v>
      </c>
      <c r="M221" t="s">
        <v>1259</v>
      </c>
      <c r="N221" t="s">
        <v>1755</v>
      </c>
      <c r="O221" t="s">
        <v>430</v>
      </c>
      <c r="P221" t="s">
        <v>6684</v>
      </c>
      <c r="Q221" t="s">
        <v>1260</v>
      </c>
      <c r="R221" t="s">
        <v>6307</v>
      </c>
      <c r="S221" t="s">
        <v>1755</v>
      </c>
      <c r="T221" t="s">
        <v>1755</v>
      </c>
      <c r="U221" t="s">
        <v>1755</v>
      </c>
      <c r="V221" t="s">
        <v>1755</v>
      </c>
      <c r="W221">
        <v>45000</v>
      </c>
      <c r="X221">
        <v>46000</v>
      </c>
      <c r="Y221">
        <v>46121</v>
      </c>
      <c r="Z221">
        <v>46118</v>
      </c>
      <c r="AA221" t="s">
        <v>1755</v>
      </c>
      <c r="AB221">
        <v>0</v>
      </c>
      <c r="AC221">
        <v>227370</v>
      </c>
      <c r="AD221">
        <v>345000</v>
      </c>
      <c r="AE221">
        <v>117630</v>
      </c>
      <c r="AF221" t="s">
        <v>1755</v>
      </c>
      <c r="AG221">
        <v>4.9428260869565221</v>
      </c>
      <c r="AI221" t="s">
        <v>6308</v>
      </c>
      <c r="AJ221" t="s">
        <v>47</v>
      </c>
      <c r="AK221" t="s">
        <v>107</v>
      </c>
      <c r="AL221" t="s">
        <v>107</v>
      </c>
      <c r="AM221" t="s">
        <v>107</v>
      </c>
      <c r="AO221">
        <v>-117630</v>
      </c>
      <c r="AP221">
        <v>0.34095652173913044</v>
      </c>
      <c r="AQ221">
        <v>4.9428260869565221</v>
      </c>
      <c r="AR221" t="s">
        <v>47</v>
      </c>
      <c r="AT221" t="s">
        <v>47</v>
      </c>
    </row>
    <row r="222" spans="1:46" x14ac:dyDescent="0.25">
      <c r="A222" t="s">
        <v>6329</v>
      </c>
      <c r="B222" s="19">
        <v>46121</v>
      </c>
      <c r="C222" t="s">
        <v>1504</v>
      </c>
      <c r="D222" t="s">
        <v>1600</v>
      </c>
      <c r="E222" t="s">
        <v>366</v>
      </c>
      <c r="F222" t="s">
        <v>1292</v>
      </c>
      <c r="G222" t="s">
        <v>1755</v>
      </c>
      <c r="I222" t="str">
        <f>CONCATENATE(Inbound___Outbound_Shifting[[#This Row],[Batch '#]],"-",Inbound___Outbound_Shifting[[#This Row],[Exp '# or Key]])</f>
        <v>--</v>
      </c>
      <c r="J222" t="s">
        <v>1755</v>
      </c>
      <c r="K222">
        <v>1</v>
      </c>
      <c r="L222" t="s">
        <v>366</v>
      </c>
      <c r="M222" t="s">
        <v>6447</v>
      </c>
      <c r="N222" t="s">
        <v>1755</v>
      </c>
      <c r="O222" t="s">
        <v>104</v>
      </c>
      <c r="P222" t="s">
        <v>6685</v>
      </c>
      <c r="Q222" t="s">
        <v>1505</v>
      </c>
      <c r="R222" t="s">
        <v>6333</v>
      </c>
      <c r="S222" t="s">
        <v>1755</v>
      </c>
      <c r="T222" t="s">
        <v>1755</v>
      </c>
      <c r="U222" t="s">
        <v>1755</v>
      </c>
      <c r="V222" t="s">
        <v>1755</v>
      </c>
      <c r="W222">
        <v>800</v>
      </c>
      <c r="X222">
        <v>1000</v>
      </c>
      <c r="Y222">
        <v>46122</v>
      </c>
      <c r="Z222">
        <v>46120</v>
      </c>
      <c r="AA222" t="s">
        <v>1755</v>
      </c>
      <c r="AB222">
        <v>1</v>
      </c>
      <c r="AC222">
        <v>34000</v>
      </c>
      <c r="AD222">
        <v>7500</v>
      </c>
      <c r="AE222">
        <v>-26500</v>
      </c>
      <c r="AF222" t="s">
        <v>1755</v>
      </c>
      <c r="AG222">
        <v>34</v>
      </c>
      <c r="AI222" t="s">
        <v>6334</v>
      </c>
      <c r="AJ222" t="s">
        <v>47</v>
      </c>
      <c r="AK222" t="s">
        <v>6335</v>
      </c>
      <c r="AL222" t="s">
        <v>6335</v>
      </c>
      <c r="AM222" t="s">
        <v>6335</v>
      </c>
      <c r="AO222">
        <v>26500</v>
      </c>
      <c r="AP222">
        <v>-3.5333333333333332</v>
      </c>
      <c r="AQ222">
        <v>34</v>
      </c>
      <c r="AR222" t="s">
        <v>47</v>
      </c>
      <c r="AT222" t="s">
        <v>47</v>
      </c>
    </row>
    <row r="223" spans="1:46" x14ac:dyDescent="0.25">
      <c r="A223" t="s">
        <v>6329</v>
      </c>
      <c r="B223" s="19">
        <v>46121</v>
      </c>
      <c r="C223" t="s">
        <v>726</v>
      </c>
      <c r="D223" t="s">
        <v>6330</v>
      </c>
      <c r="E223" t="s">
        <v>117</v>
      </c>
      <c r="F223" t="s">
        <v>6682</v>
      </c>
      <c r="G223" t="s">
        <v>1755</v>
      </c>
      <c r="I223" t="str">
        <f>CONCATENATE(Inbound___Outbound_Shifting[[#This Row],[Batch '#]],"-",Inbound___Outbound_Shifting[[#This Row],[Exp '# or Key]])</f>
        <v>--</v>
      </c>
      <c r="J223" t="s">
        <v>1755</v>
      </c>
      <c r="K223">
        <v>11</v>
      </c>
      <c r="L223" t="s">
        <v>117</v>
      </c>
      <c r="M223" t="s">
        <v>1268</v>
      </c>
      <c r="N223" t="s">
        <v>1755</v>
      </c>
      <c r="O223" t="s">
        <v>134</v>
      </c>
      <c r="P223" t="s">
        <v>6686</v>
      </c>
      <c r="Q223" t="s">
        <v>6687</v>
      </c>
      <c r="R223" t="s">
        <v>6307</v>
      </c>
      <c r="S223" t="s">
        <v>1755</v>
      </c>
      <c r="T223" t="s">
        <v>1755</v>
      </c>
      <c r="U223" t="s">
        <v>1755</v>
      </c>
      <c r="V223" t="s">
        <v>1755</v>
      </c>
      <c r="W223">
        <v>34500</v>
      </c>
      <c r="X223">
        <v>45000</v>
      </c>
      <c r="Y223">
        <v>46124</v>
      </c>
      <c r="Z223">
        <v>46112</v>
      </c>
      <c r="AA223" t="s">
        <v>1755</v>
      </c>
      <c r="AB223">
        <v>3</v>
      </c>
      <c r="AC223">
        <v>255000</v>
      </c>
      <c r="AD223">
        <v>337500</v>
      </c>
      <c r="AE223">
        <v>82500</v>
      </c>
      <c r="AF223" t="s">
        <v>1755</v>
      </c>
      <c r="AG223">
        <v>5.666666666666667</v>
      </c>
      <c r="AI223" t="s">
        <v>6308</v>
      </c>
      <c r="AJ223" t="s">
        <v>47</v>
      </c>
      <c r="AK223" t="s">
        <v>107</v>
      </c>
      <c r="AL223" t="s">
        <v>107</v>
      </c>
      <c r="AM223" t="s">
        <v>107</v>
      </c>
      <c r="AO223">
        <v>-82500</v>
      </c>
      <c r="AP223">
        <v>0.24444444444444444</v>
      </c>
      <c r="AQ223">
        <v>5.666666666666667</v>
      </c>
      <c r="AR223" t="s">
        <v>47</v>
      </c>
      <c r="AT223" t="s">
        <v>47</v>
      </c>
    </row>
    <row r="224" spans="1:46" x14ac:dyDescent="0.25">
      <c r="A224" t="s">
        <v>1755</v>
      </c>
      <c r="B224" s="19">
        <v>46121</v>
      </c>
      <c r="C224" t="s">
        <v>726</v>
      </c>
      <c r="D224" t="s">
        <v>6330</v>
      </c>
      <c r="E224" t="s">
        <v>366</v>
      </c>
      <c r="F224" t="s">
        <v>6682</v>
      </c>
      <c r="G224" t="s">
        <v>1755</v>
      </c>
      <c r="I224" t="str">
        <f>CONCATENATE(Inbound___Outbound_Shifting[[#This Row],[Batch '#]],"-",Inbound___Outbound_Shifting[[#This Row],[Exp '# or Key]])</f>
        <v>--</v>
      </c>
      <c r="J224" t="s">
        <v>1755</v>
      </c>
      <c r="K224">
        <v>3</v>
      </c>
      <c r="L224" t="s">
        <v>366</v>
      </c>
      <c r="M224" t="s">
        <v>1755</v>
      </c>
      <c r="N224" t="s">
        <v>1755</v>
      </c>
      <c r="O224" t="s">
        <v>1755</v>
      </c>
      <c r="P224" t="s">
        <v>1755</v>
      </c>
      <c r="Q224" t="s">
        <v>1755</v>
      </c>
      <c r="R224" t="s">
        <v>1755</v>
      </c>
      <c r="S224" t="s">
        <v>1755</v>
      </c>
      <c r="T224" t="s">
        <v>1755</v>
      </c>
      <c r="U224" t="s">
        <v>1755</v>
      </c>
      <c r="V224" t="s">
        <v>1755</v>
      </c>
      <c r="W224">
        <v>4000</v>
      </c>
      <c r="X224" t="s">
        <v>1755</v>
      </c>
      <c r="Y224" t="s">
        <v>1755</v>
      </c>
      <c r="Z224" t="s">
        <v>1755</v>
      </c>
      <c r="AA224" t="s">
        <v>1755</v>
      </c>
      <c r="AC224" t="s">
        <v>1755</v>
      </c>
      <c r="AE224">
        <v>0</v>
      </c>
      <c r="AF224" t="s">
        <v>1755</v>
      </c>
      <c r="AI224" t="s">
        <v>1755</v>
      </c>
      <c r="AJ224" t="s">
        <v>1755</v>
      </c>
      <c r="AK224" t="s">
        <v>1755</v>
      </c>
      <c r="AL224" t="s">
        <v>1755</v>
      </c>
      <c r="AM224" t="s">
        <v>1755</v>
      </c>
      <c r="AO224">
        <v>0</v>
      </c>
    </row>
    <row r="225" spans="1:46" x14ac:dyDescent="0.25">
      <c r="A225" t="s">
        <v>1755</v>
      </c>
      <c r="B225" s="19">
        <v>46121</v>
      </c>
      <c r="C225" t="s">
        <v>609</v>
      </c>
      <c r="D225" t="s">
        <v>6330</v>
      </c>
      <c r="E225" t="s">
        <v>366</v>
      </c>
      <c r="F225" t="s">
        <v>35</v>
      </c>
      <c r="G225" t="s">
        <v>1755</v>
      </c>
      <c r="I225" t="str">
        <f>CONCATENATE(Inbound___Outbound_Shifting[[#This Row],[Batch '#]],"-",Inbound___Outbound_Shifting[[#This Row],[Exp '# or Key]])</f>
        <v>--</v>
      </c>
      <c r="J225" t="s">
        <v>1755</v>
      </c>
      <c r="K225">
        <v>4</v>
      </c>
      <c r="L225" t="s">
        <v>366</v>
      </c>
      <c r="M225" t="s">
        <v>1755</v>
      </c>
      <c r="N225" t="s">
        <v>1755</v>
      </c>
      <c r="O225" t="s">
        <v>1755</v>
      </c>
      <c r="P225" t="s">
        <v>1755</v>
      </c>
      <c r="Q225" t="s">
        <v>1755</v>
      </c>
      <c r="R225" t="s">
        <v>1755</v>
      </c>
      <c r="S225" t="s">
        <v>1755</v>
      </c>
      <c r="T225" t="s">
        <v>1755</v>
      </c>
      <c r="U225" t="s">
        <v>1755</v>
      </c>
      <c r="V225" t="s">
        <v>1755</v>
      </c>
      <c r="W225">
        <v>4300</v>
      </c>
      <c r="X225" t="s">
        <v>1755</v>
      </c>
      <c r="Y225" t="s">
        <v>1755</v>
      </c>
      <c r="Z225" t="s">
        <v>1755</v>
      </c>
      <c r="AA225" t="s">
        <v>1755</v>
      </c>
      <c r="AC225" t="s">
        <v>1755</v>
      </c>
      <c r="AE225">
        <v>0</v>
      </c>
      <c r="AF225" t="s">
        <v>1755</v>
      </c>
      <c r="AI225" t="s">
        <v>1755</v>
      </c>
      <c r="AJ225" t="s">
        <v>1755</v>
      </c>
      <c r="AK225" t="s">
        <v>1755</v>
      </c>
      <c r="AL225" t="s">
        <v>1755</v>
      </c>
      <c r="AM225" t="s">
        <v>1755</v>
      </c>
      <c r="AO225">
        <v>0</v>
      </c>
    </row>
    <row r="226" spans="1:46" x14ac:dyDescent="0.25">
      <c r="A226" t="s">
        <v>1755</v>
      </c>
      <c r="B226" s="19">
        <v>46121</v>
      </c>
      <c r="C226" t="s">
        <v>1755</v>
      </c>
      <c r="D226" t="s">
        <v>1602</v>
      </c>
      <c r="E226" t="s">
        <v>366</v>
      </c>
      <c r="F226" t="s">
        <v>6688</v>
      </c>
      <c r="G226" t="s">
        <v>1755</v>
      </c>
      <c r="I226" t="str">
        <f>CONCATENATE(Inbound___Outbound_Shifting[[#This Row],[Batch '#]],"-",Inbound___Outbound_Shifting[[#This Row],[Exp '# or Key]])</f>
        <v>--</v>
      </c>
      <c r="J226" t="s">
        <v>1755</v>
      </c>
      <c r="K226">
        <v>1</v>
      </c>
      <c r="L226" t="s">
        <v>366</v>
      </c>
      <c r="M226" t="s">
        <v>1755</v>
      </c>
      <c r="N226" t="s">
        <v>1755</v>
      </c>
      <c r="O226" t="s">
        <v>1755</v>
      </c>
      <c r="P226" t="s">
        <v>1755</v>
      </c>
      <c r="Q226" t="s">
        <v>1755</v>
      </c>
      <c r="R226" t="s">
        <v>1755</v>
      </c>
      <c r="S226" t="s">
        <v>1755</v>
      </c>
      <c r="T226" t="s">
        <v>1755</v>
      </c>
      <c r="U226" t="s">
        <v>1755</v>
      </c>
      <c r="V226" t="s">
        <v>1755</v>
      </c>
      <c r="W226">
        <v>200</v>
      </c>
      <c r="X226" t="s">
        <v>1755</v>
      </c>
      <c r="Y226" t="s">
        <v>1755</v>
      </c>
      <c r="Z226" t="s">
        <v>1755</v>
      </c>
      <c r="AA226" t="s">
        <v>1755</v>
      </c>
      <c r="AC226" t="s">
        <v>1755</v>
      </c>
      <c r="AE226">
        <v>0</v>
      </c>
      <c r="AF226" t="s">
        <v>1755</v>
      </c>
      <c r="AI226" t="s">
        <v>1755</v>
      </c>
      <c r="AJ226" t="s">
        <v>1755</v>
      </c>
      <c r="AK226" t="s">
        <v>1755</v>
      </c>
      <c r="AL226" t="s">
        <v>1755</v>
      </c>
      <c r="AM226" t="s">
        <v>1755</v>
      </c>
      <c r="AO226">
        <v>0</v>
      </c>
    </row>
    <row r="227" spans="1:46" x14ac:dyDescent="0.25">
      <c r="A227" t="s">
        <v>1755</v>
      </c>
      <c r="B227" s="19">
        <v>46121</v>
      </c>
      <c r="C227" t="s">
        <v>1271</v>
      </c>
      <c r="D227" t="s">
        <v>1602</v>
      </c>
      <c r="E227" t="s">
        <v>366</v>
      </c>
      <c r="F227" t="s">
        <v>1272</v>
      </c>
      <c r="G227" t="s">
        <v>1755</v>
      </c>
      <c r="I227" t="str">
        <f>CONCATENATE(Inbound___Outbound_Shifting[[#This Row],[Batch '#]],"-",Inbound___Outbound_Shifting[[#This Row],[Exp '# or Key]])</f>
        <v>--</v>
      </c>
      <c r="J227" t="s">
        <v>1755</v>
      </c>
      <c r="K227">
        <v>2</v>
      </c>
      <c r="L227" t="s">
        <v>366</v>
      </c>
      <c r="M227" t="s">
        <v>1755</v>
      </c>
      <c r="N227" t="s">
        <v>1755</v>
      </c>
      <c r="O227" t="s">
        <v>1755</v>
      </c>
      <c r="P227" t="s">
        <v>1755</v>
      </c>
      <c r="Q227" t="s">
        <v>1755</v>
      </c>
      <c r="R227" t="s">
        <v>1755</v>
      </c>
      <c r="S227" t="s">
        <v>1755</v>
      </c>
      <c r="T227" t="s">
        <v>1755</v>
      </c>
      <c r="U227" t="s">
        <v>1755</v>
      </c>
      <c r="V227" t="s">
        <v>1755</v>
      </c>
      <c r="W227">
        <v>1400</v>
      </c>
      <c r="Y227" t="s">
        <v>1755</v>
      </c>
      <c r="Z227" t="s">
        <v>1755</v>
      </c>
      <c r="AA227" t="s">
        <v>1755</v>
      </c>
      <c r="AC227" t="s">
        <v>1755</v>
      </c>
      <c r="AD227">
        <v>0</v>
      </c>
      <c r="AE227">
        <v>0</v>
      </c>
      <c r="AF227" t="s">
        <v>1755</v>
      </c>
      <c r="AI227" t="s">
        <v>1755</v>
      </c>
      <c r="AJ227" t="s">
        <v>1755</v>
      </c>
      <c r="AK227" t="s">
        <v>1755</v>
      </c>
      <c r="AL227" t="s">
        <v>1755</v>
      </c>
      <c r="AM227" t="s">
        <v>1755</v>
      </c>
      <c r="AO227">
        <v>0</v>
      </c>
    </row>
    <row r="228" spans="1:46" x14ac:dyDescent="0.25">
      <c r="A228" t="s">
        <v>6329</v>
      </c>
      <c r="B228" s="19">
        <v>46122</v>
      </c>
      <c r="C228" t="s">
        <v>1518</v>
      </c>
      <c r="D228" t="s">
        <v>1600</v>
      </c>
      <c r="E228" t="s">
        <v>366</v>
      </c>
      <c r="F228" t="s">
        <v>1279</v>
      </c>
      <c r="G228" t="s">
        <v>1755</v>
      </c>
      <c r="I228" t="str">
        <f>CONCATENATE(Inbound___Outbound_Shifting[[#This Row],[Batch '#]],"-",Inbound___Outbound_Shifting[[#This Row],[Exp '# or Key]])</f>
        <v>--</v>
      </c>
      <c r="J228" t="s">
        <v>1755</v>
      </c>
      <c r="K228">
        <v>1</v>
      </c>
      <c r="L228" t="s">
        <v>366</v>
      </c>
      <c r="M228" t="s">
        <v>6447</v>
      </c>
      <c r="N228" t="s">
        <v>1755</v>
      </c>
      <c r="O228" t="s">
        <v>455</v>
      </c>
      <c r="P228" t="s">
        <v>6689</v>
      </c>
      <c r="Q228" t="s">
        <v>1519</v>
      </c>
      <c r="R228" t="s">
        <v>6421</v>
      </c>
      <c r="S228" t="s">
        <v>1755</v>
      </c>
      <c r="T228" t="s">
        <v>1755</v>
      </c>
      <c r="U228" t="s">
        <v>1755</v>
      </c>
      <c r="V228" t="s">
        <v>1755</v>
      </c>
      <c r="W228">
        <v>1180</v>
      </c>
      <c r="X228">
        <v>1200</v>
      </c>
      <c r="Y228">
        <v>46123</v>
      </c>
      <c r="Z228">
        <v>46122</v>
      </c>
      <c r="AA228" t="s">
        <v>1755</v>
      </c>
      <c r="AB228">
        <v>1</v>
      </c>
      <c r="AC228">
        <v>44000</v>
      </c>
      <c r="AD228">
        <v>9000</v>
      </c>
      <c r="AE228">
        <v>-35000</v>
      </c>
      <c r="AF228" t="s">
        <v>1755</v>
      </c>
      <c r="AG228">
        <v>36.666666666666664</v>
      </c>
      <c r="AI228" t="s">
        <v>6308</v>
      </c>
      <c r="AJ228" t="s">
        <v>47</v>
      </c>
      <c r="AK228" t="s">
        <v>107</v>
      </c>
      <c r="AL228" t="s">
        <v>107</v>
      </c>
      <c r="AM228" t="s">
        <v>107</v>
      </c>
      <c r="AO228">
        <v>35000</v>
      </c>
      <c r="AP228">
        <v>-3.8888888888888888</v>
      </c>
      <c r="AQ228">
        <v>36.666666666666664</v>
      </c>
      <c r="AR228" t="s">
        <v>47</v>
      </c>
      <c r="AT228" t="s">
        <v>47</v>
      </c>
    </row>
    <row r="229" spans="1:46" x14ac:dyDescent="0.25">
      <c r="A229" t="s">
        <v>6300</v>
      </c>
      <c r="B229" s="19">
        <v>46123</v>
      </c>
      <c r="C229" t="s">
        <v>6690</v>
      </c>
      <c r="D229" t="s">
        <v>6302</v>
      </c>
      <c r="E229" t="s">
        <v>1268</v>
      </c>
      <c r="F229" t="s">
        <v>6319</v>
      </c>
      <c r="G229" t="s">
        <v>1755</v>
      </c>
      <c r="I229" t="str">
        <f>CONCATENATE(Inbound___Outbound_Shifting[[#This Row],[Batch '#]],"-",Inbound___Outbound_Shifting[[#This Row],[Exp '# or Key]])</f>
        <v>--</v>
      </c>
      <c r="J229" t="s">
        <v>6691</v>
      </c>
      <c r="K229" t="s">
        <v>6483</v>
      </c>
      <c r="L229" t="s">
        <v>1755</v>
      </c>
      <c r="M229" t="s">
        <v>1755</v>
      </c>
      <c r="N229" t="s">
        <v>1755</v>
      </c>
      <c r="O229" t="s">
        <v>6631</v>
      </c>
      <c r="P229" t="s">
        <v>6692</v>
      </c>
      <c r="Q229" t="s">
        <v>6693</v>
      </c>
      <c r="R229" t="s">
        <v>6307</v>
      </c>
      <c r="S229">
        <v>1</v>
      </c>
      <c r="T229" t="s">
        <v>1755</v>
      </c>
      <c r="U229" t="s">
        <v>1755</v>
      </c>
      <c r="V229" t="s">
        <v>1755</v>
      </c>
      <c r="W229">
        <v>5250</v>
      </c>
      <c r="X229">
        <v>6250</v>
      </c>
      <c r="Y229">
        <v>46126</v>
      </c>
      <c r="Z229" t="s">
        <v>1755</v>
      </c>
      <c r="AA229" t="s">
        <v>1755</v>
      </c>
      <c r="AB229">
        <v>3</v>
      </c>
      <c r="AC229">
        <v>108000</v>
      </c>
      <c r="AD229">
        <v>93750</v>
      </c>
      <c r="AE229">
        <v>-14250</v>
      </c>
      <c r="AF229" t="s">
        <v>1755</v>
      </c>
      <c r="AG229">
        <v>17.28</v>
      </c>
      <c r="AH229">
        <v>88.597210828547986</v>
      </c>
      <c r="AI229" t="s">
        <v>6308</v>
      </c>
      <c r="AJ229" t="s">
        <v>47</v>
      </c>
      <c r="AK229" t="s">
        <v>107</v>
      </c>
      <c r="AL229" t="s">
        <v>107</v>
      </c>
      <c r="AM229" t="s">
        <v>107</v>
      </c>
      <c r="AO229">
        <v>14250</v>
      </c>
      <c r="AP229">
        <v>-0.152</v>
      </c>
      <c r="AQ229">
        <v>17.28</v>
      </c>
      <c r="AR229" t="s">
        <v>47</v>
      </c>
      <c r="AT229" t="s">
        <v>47</v>
      </c>
    </row>
    <row r="230" spans="1:46" x14ac:dyDescent="0.25">
      <c r="A230" t="s">
        <v>1755</v>
      </c>
      <c r="B230" s="19">
        <v>46123</v>
      </c>
      <c r="C230" t="s">
        <v>6694</v>
      </c>
      <c r="D230" t="s">
        <v>6302</v>
      </c>
      <c r="E230" t="s">
        <v>1297</v>
      </c>
      <c r="F230" t="s">
        <v>1371</v>
      </c>
      <c r="G230" t="s">
        <v>1755</v>
      </c>
      <c r="I230" t="str">
        <f>CONCATENATE(Inbound___Outbound_Shifting[[#This Row],[Batch '#]],"-",Inbound___Outbound_Shifting[[#This Row],[Exp '# or Key]])</f>
        <v>--</v>
      </c>
      <c r="J230" t="s">
        <v>6695</v>
      </c>
      <c r="K230" t="s">
        <v>6434</v>
      </c>
      <c r="L230" t="s">
        <v>1755</v>
      </c>
      <c r="M230" t="s">
        <v>1755</v>
      </c>
      <c r="N230" t="s">
        <v>1755</v>
      </c>
      <c r="O230" t="s">
        <v>1755</v>
      </c>
      <c r="P230" t="s">
        <v>1755</v>
      </c>
      <c r="Q230" t="s">
        <v>1755</v>
      </c>
      <c r="R230" t="s">
        <v>1755</v>
      </c>
      <c r="S230" t="s">
        <v>1755</v>
      </c>
      <c r="T230" t="s">
        <v>1755</v>
      </c>
      <c r="U230" t="s">
        <v>1755</v>
      </c>
      <c r="V230" t="s">
        <v>1755</v>
      </c>
      <c r="W230">
        <v>1000</v>
      </c>
      <c r="X230" t="s">
        <v>1755</v>
      </c>
      <c r="Y230">
        <v>46126</v>
      </c>
      <c r="Z230" t="s">
        <v>1755</v>
      </c>
      <c r="AA230" t="s">
        <v>1755</v>
      </c>
      <c r="AB230">
        <v>3</v>
      </c>
      <c r="AC230" t="s">
        <v>1755</v>
      </c>
      <c r="AD230">
        <v>0</v>
      </c>
      <c r="AE230">
        <v>0</v>
      </c>
      <c r="AF230" t="s">
        <v>1755</v>
      </c>
      <c r="AI230" t="s">
        <v>1755</v>
      </c>
      <c r="AJ230" t="s">
        <v>1755</v>
      </c>
      <c r="AK230" t="s">
        <v>1755</v>
      </c>
      <c r="AL230" t="s">
        <v>1755</v>
      </c>
      <c r="AM230" t="s">
        <v>1755</v>
      </c>
      <c r="AO230">
        <v>0</v>
      </c>
    </row>
    <row r="231" spans="1:46" x14ac:dyDescent="0.25">
      <c r="A231" t="s">
        <v>6300</v>
      </c>
      <c r="B231" s="19">
        <v>46123</v>
      </c>
      <c r="C231" t="s">
        <v>6696</v>
      </c>
      <c r="D231" t="s">
        <v>6302</v>
      </c>
      <c r="E231" t="s">
        <v>6086</v>
      </c>
      <c r="F231" t="s">
        <v>6319</v>
      </c>
      <c r="G231" t="s">
        <v>1755</v>
      </c>
      <c r="I231" t="str">
        <f>CONCATENATE(Inbound___Outbound_Shifting[[#This Row],[Batch '#]],"-",Inbound___Outbound_Shifting[[#This Row],[Exp '# or Key]])</f>
        <v>--</v>
      </c>
      <c r="J231" t="s">
        <v>6413</v>
      </c>
      <c r="K231" t="s">
        <v>6395</v>
      </c>
      <c r="L231" t="s">
        <v>1755</v>
      </c>
      <c r="M231" t="s">
        <v>1755</v>
      </c>
      <c r="N231" t="s">
        <v>1755</v>
      </c>
      <c r="O231" t="s">
        <v>6631</v>
      </c>
      <c r="P231" t="s">
        <v>6697</v>
      </c>
      <c r="Q231" t="s">
        <v>6698</v>
      </c>
      <c r="R231" t="s">
        <v>6307</v>
      </c>
      <c r="S231">
        <v>1</v>
      </c>
      <c r="T231" t="s">
        <v>6699</v>
      </c>
      <c r="U231">
        <v>2</v>
      </c>
      <c r="V231" t="s">
        <v>1755</v>
      </c>
      <c r="W231">
        <v>54000</v>
      </c>
      <c r="X231">
        <v>59182</v>
      </c>
      <c r="Y231">
        <v>46126</v>
      </c>
      <c r="Z231" t="s">
        <v>1755</v>
      </c>
      <c r="AA231" t="s">
        <v>1755</v>
      </c>
      <c r="AB231">
        <v>3</v>
      </c>
      <c r="AC231">
        <v>668000</v>
      </c>
      <c r="AD231">
        <v>887730</v>
      </c>
      <c r="AE231">
        <v>219730</v>
      </c>
      <c r="AF231" t="s">
        <v>1755</v>
      </c>
      <c r="AG231">
        <v>11.287215707478625</v>
      </c>
      <c r="AH231">
        <v>547.99015586546352</v>
      </c>
      <c r="AI231" t="s">
        <v>6308</v>
      </c>
      <c r="AJ231" t="s">
        <v>47</v>
      </c>
      <c r="AK231" t="s">
        <v>107</v>
      </c>
      <c r="AL231" t="s">
        <v>107</v>
      </c>
      <c r="AM231" t="s">
        <v>107</v>
      </c>
      <c r="AO231">
        <v>-219730</v>
      </c>
      <c r="AP231">
        <v>0.2475189528347583</v>
      </c>
      <c r="AQ231">
        <v>11.287215707478625</v>
      </c>
      <c r="AR231" t="s">
        <v>47</v>
      </c>
      <c r="AT231" t="s">
        <v>47</v>
      </c>
    </row>
    <row r="232" spans="1:46" x14ac:dyDescent="0.25">
      <c r="A232" t="s">
        <v>6329</v>
      </c>
      <c r="B232" s="19">
        <v>46125</v>
      </c>
      <c r="C232" t="s">
        <v>1493</v>
      </c>
      <c r="D232" t="s">
        <v>1600</v>
      </c>
      <c r="E232" t="s">
        <v>366</v>
      </c>
      <c r="F232" t="s">
        <v>1494</v>
      </c>
      <c r="G232" t="s">
        <v>1755</v>
      </c>
      <c r="I232" t="str">
        <f>CONCATENATE(Inbound___Outbound_Shifting[[#This Row],[Batch '#]],"-",Inbound___Outbound_Shifting[[#This Row],[Exp '# or Key]])</f>
        <v>--</v>
      </c>
      <c r="J232" t="s">
        <v>1755</v>
      </c>
      <c r="K232">
        <v>2</v>
      </c>
      <c r="L232" t="s">
        <v>366</v>
      </c>
      <c r="M232" t="s">
        <v>6447</v>
      </c>
      <c r="N232" t="s">
        <v>1755</v>
      </c>
      <c r="O232" t="s">
        <v>455</v>
      </c>
      <c r="P232" t="s">
        <v>6700</v>
      </c>
      <c r="Q232" t="s">
        <v>1495</v>
      </c>
      <c r="R232" t="s">
        <v>6421</v>
      </c>
      <c r="S232" t="s">
        <v>1755</v>
      </c>
      <c r="T232" t="s">
        <v>1755</v>
      </c>
      <c r="U232" t="s">
        <v>1755</v>
      </c>
      <c r="V232" t="s">
        <v>1755</v>
      </c>
      <c r="W232">
        <v>1800</v>
      </c>
      <c r="X232">
        <v>2000</v>
      </c>
      <c r="Y232">
        <v>46125</v>
      </c>
      <c r="Z232">
        <v>46125</v>
      </c>
      <c r="AA232" t="s">
        <v>1755</v>
      </c>
      <c r="AB232">
        <v>0</v>
      </c>
      <c r="AC232">
        <v>59000</v>
      </c>
      <c r="AD232">
        <v>15000</v>
      </c>
      <c r="AE232">
        <v>-44000</v>
      </c>
      <c r="AF232" t="s">
        <v>1755</v>
      </c>
      <c r="AG232">
        <v>29.5</v>
      </c>
      <c r="AI232" t="s">
        <v>6308</v>
      </c>
      <c r="AJ232" t="s">
        <v>47</v>
      </c>
      <c r="AK232" t="s">
        <v>107</v>
      </c>
      <c r="AL232" t="s">
        <v>107</v>
      </c>
      <c r="AM232" t="s">
        <v>107</v>
      </c>
      <c r="AO232">
        <v>44000</v>
      </c>
      <c r="AP232">
        <v>-2.9333333333333331</v>
      </c>
      <c r="AQ232">
        <v>29.5</v>
      </c>
      <c r="AR232" t="s">
        <v>47</v>
      </c>
      <c r="AT232" t="s">
        <v>47</v>
      </c>
    </row>
    <row r="233" spans="1:46" x14ac:dyDescent="0.25">
      <c r="A233" t="s">
        <v>6329</v>
      </c>
      <c r="B233" s="19">
        <v>46125</v>
      </c>
      <c r="C233" t="s">
        <v>564</v>
      </c>
      <c r="D233" t="s">
        <v>6330</v>
      </c>
      <c r="E233" t="s">
        <v>117</v>
      </c>
      <c r="F233" t="s">
        <v>6701</v>
      </c>
      <c r="G233" t="s">
        <v>1755</v>
      </c>
      <c r="I233" t="str">
        <f>CONCATENATE(Inbound___Outbound_Shifting[[#This Row],[Batch '#]],"-",Inbound___Outbound_Shifting[[#This Row],[Exp '# or Key]])</f>
        <v>--</v>
      </c>
      <c r="J233" t="s">
        <v>1755</v>
      </c>
      <c r="K233">
        <v>6</v>
      </c>
      <c r="L233" t="s">
        <v>117</v>
      </c>
      <c r="M233" t="s">
        <v>1268</v>
      </c>
      <c r="N233" t="s">
        <v>1755</v>
      </c>
      <c r="O233" t="s">
        <v>134</v>
      </c>
      <c r="P233" t="s">
        <v>6702</v>
      </c>
      <c r="Q233" t="s">
        <v>566</v>
      </c>
      <c r="R233" t="s">
        <v>6307</v>
      </c>
      <c r="S233" t="s">
        <v>1755</v>
      </c>
      <c r="T233" t="s">
        <v>1755</v>
      </c>
      <c r="U233" t="s">
        <v>1755</v>
      </c>
      <c r="V233" t="s">
        <v>1755</v>
      </c>
      <c r="W233">
        <v>22000</v>
      </c>
      <c r="X233">
        <v>25000</v>
      </c>
      <c r="Y233">
        <v>46128</v>
      </c>
      <c r="Z233">
        <v>46125</v>
      </c>
      <c r="AA233" t="s">
        <v>1755</v>
      </c>
      <c r="AB233">
        <v>3</v>
      </c>
      <c r="AC233">
        <v>130000</v>
      </c>
      <c r="AD233">
        <v>187500</v>
      </c>
      <c r="AE233">
        <v>57500</v>
      </c>
      <c r="AF233" t="s">
        <v>1755</v>
      </c>
      <c r="AG233">
        <v>5.2</v>
      </c>
      <c r="AI233" t="s">
        <v>6308</v>
      </c>
      <c r="AJ233" t="s">
        <v>47</v>
      </c>
      <c r="AK233" t="s">
        <v>107</v>
      </c>
      <c r="AL233" t="s">
        <v>107</v>
      </c>
      <c r="AM233" t="s">
        <v>107</v>
      </c>
      <c r="AO233">
        <v>-57500</v>
      </c>
      <c r="AP233">
        <v>0.30666666666666664</v>
      </c>
      <c r="AQ233">
        <v>5.2</v>
      </c>
      <c r="AR233" t="s">
        <v>47</v>
      </c>
      <c r="AT233" t="s">
        <v>47</v>
      </c>
    </row>
    <row r="234" spans="1:46" x14ac:dyDescent="0.25">
      <c r="A234" t="s">
        <v>1755</v>
      </c>
      <c r="B234" s="19">
        <v>46125</v>
      </c>
      <c r="C234" t="s">
        <v>600</v>
      </c>
      <c r="D234" t="s">
        <v>6330</v>
      </c>
      <c r="E234" t="s">
        <v>117</v>
      </c>
      <c r="F234" t="s">
        <v>6703</v>
      </c>
      <c r="G234" t="s">
        <v>1755</v>
      </c>
      <c r="I234" t="str">
        <f>CONCATENATE(Inbound___Outbound_Shifting[[#This Row],[Batch '#]],"-",Inbound___Outbound_Shifting[[#This Row],[Exp '# or Key]])</f>
        <v>--</v>
      </c>
      <c r="J234" t="s">
        <v>1755</v>
      </c>
      <c r="K234">
        <v>1</v>
      </c>
      <c r="L234" t="s">
        <v>117</v>
      </c>
      <c r="M234" t="s">
        <v>1755</v>
      </c>
      <c r="N234" t="s">
        <v>1755</v>
      </c>
      <c r="O234" t="s">
        <v>1755</v>
      </c>
      <c r="P234" t="s">
        <v>1755</v>
      </c>
      <c r="Q234" t="s">
        <v>1755</v>
      </c>
      <c r="R234" t="s">
        <v>1755</v>
      </c>
      <c r="S234" t="s">
        <v>1755</v>
      </c>
      <c r="T234" t="s">
        <v>1755</v>
      </c>
      <c r="U234" t="s">
        <v>1755</v>
      </c>
      <c r="V234" t="s">
        <v>1755</v>
      </c>
      <c r="W234">
        <v>500</v>
      </c>
      <c r="X234" t="s">
        <v>1755</v>
      </c>
      <c r="Y234" t="s">
        <v>1755</v>
      </c>
      <c r="Z234" t="s">
        <v>1755</v>
      </c>
      <c r="AA234" t="s">
        <v>1755</v>
      </c>
      <c r="AC234" t="s">
        <v>1755</v>
      </c>
      <c r="AE234">
        <v>0</v>
      </c>
      <c r="AF234" t="s">
        <v>1755</v>
      </c>
      <c r="AI234" t="s">
        <v>1755</v>
      </c>
      <c r="AJ234" t="s">
        <v>1755</v>
      </c>
      <c r="AK234" t="s">
        <v>1755</v>
      </c>
      <c r="AL234" t="s">
        <v>1755</v>
      </c>
      <c r="AM234" t="s">
        <v>1755</v>
      </c>
      <c r="AO234">
        <v>0</v>
      </c>
    </row>
    <row r="235" spans="1:46" x14ac:dyDescent="0.25">
      <c r="A235" t="s">
        <v>1755</v>
      </c>
      <c r="B235" s="19">
        <v>46125</v>
      </c>
      <c r="C235" t="s">
        <v>1271</v>
      </c>
      <c r="D235" t="s">
        <v>1602</v>
      </c>
      <c r="E235" t="s">
        <v>117</v>
      </c>
      <c r="F235" t="s">
        <v>1272</v>
      </c>
      <c r="G235" t="s">
        <v>1755</v>
      </c>
      <c r="I235" t="str">
        <f>CONCATENATE(Inbound___Outbound_Shifting[[#This Row],[Batch '#]],"-",Inbound___Outbound_Shifting[[#This Row],[Exp '# or Key]])</f>
        <v>--</v>
      </c>
      <c r="J235" t="s">
        <v>1755</v>
      </c>
      <c r="K235">
        <v>2</v>
      </c>
      <c r="L235" t="s">
        <v>117</v>
      </c>
      <c r="M235" t="s">
        <v>1755</v>
      </c>
      <c r="N235" t="s">
        <v>1755</v>
      </c>
      <c r="O235" t="s">
        <v>1755</v>
      </c>
      <c r="P235" t="s">
        <v>1755</v>
      </c>
      <c r="Q235" t="s">
        <v>1755</v>
      </c>
      <c r="R235" t="s">
        <v>1755</v>
      </c>
      <c r="S235" t="s">
        <v>1755</v>
      </c>
      <c r="T235" t="s">
        <v>1755</v>
      </c>
      <c r="U235" t="s">
        <v>1755</v>
      </c>
      <c r="V235" t="s">
        <v>1755</v>
      </c>
      <c r="W235">
        <v>2500</v>
      </c>
      <c r="X235" t="s">
        <v>1755</v>
      </c>
      <c r="Y235" t="s">
        <v>1755</v>
      </c>
      <c r="Z235" t="s">
        <v>1755</v>
      </c>
      <c r="AA235" t="s">
        <v>1755</v>
      </c>
      <c r="AC235" t="s">
        <v>1755</v>
      </c>
      <c r="AE235">
        <v>0</v>
      </c>
      <c r="AF235" t="s">
        <v>1755</v>
      </c>
      <c r="AI235" t="s">
        <v>1755</v>
      </c>
      <c r="AJ235" t="s">
        <v>1755</v>
      </c>
      <c r="AK235" t="s">
        <v>1755</v>
      </c>
      <c r="AL235" t="s">
        <v>1755</v>
      </c>
      <c r="AM235" t="s">
        <v>1755</v>
      </c>
      <c r="AO235">
        <v>0</v>
      </c>
    </row>
    <row r="236" spans="1:46" x14ac:dyDescent="0.25">
      <c r="A236" t="s">
        <v>6329</v>
      </c>
      <c r="B236" s="19">
        <v>46125</v>
      </c>
      <c r="C236" t="s">
        <v>946</v>
      </c>
      <c r="D236" t="s">
        <v>6330</v>
      </c>
      <c r="E236" t="s">
        <v>117</v>
      </c>
      <c r="F236" t="s">
        <v>23</v>
      </c>
      <c r="G236" t="s">
        <v>1755</v>
      </c>
      <c r="I236" t="str">
        <f>CONCATENATE(Inbound___Outbound_Shifting[[#This Row],[Batch '#]],"-",Inbound___Outbound_Shifting[[#This Row],[Exp '# or Key]])</f>
        <v>--</v>
      </c>
      <c r="J236" t="s">
        <v>1755</v>
      </c>
      <c r="K236">
        <v>1</v>
      </c>
      <c r="L236" t="s">
        <v>117</v>
      </c>
      <c r="M236" t="s">
        <v>6599</v>
      </c>
      <c r="N236" t="s">
        <v>1755</v>
      </c>
      <c r="O236" t="s">
        <v>767</v>
      </c>
      <c r="P236" t="s">
        <v>1755</v>
      </c>
      <c r="Q236" t="s">
        <v>947</v>
      </c>
      <c r="R236" t="s">
        <v>6421</v>
      </c>
      <c r="S236" t="s">
        <v>1755</v>
      </c>
      <c r="T236" t="s">
        <v>1755</v>
      </c>
      <c r="U236" t="s">
        <v>1755</v>
      </c>
      <c r="V236" t="s">
        <v>1755</v>
      </c>
      <c r="W236">
        <v>350</v>
      </c>
      <c r="X236">
        <v>800</v>
      </c>
      <c r="Y236">
        <v>46140</v>
      </c>
      <c r="Z236">
        <v>46125</v>
      </c>
      <c r="AA236" t="s">
        <v>1755</v>
      </c>
      <c r="AB236">
        <v>15</v>
      </c>
      <c r="AC236">
        <v>15000</v>
      </c>
      <c r="AD236">
        <v>6000</v>
      </c>
      <c r="AE236">
        <v>-9000</v>
      </c>
      <c r="AF236" t="s">
        <v>1755</v>
      </c>
      <c r="AG236">
        <v>18.75</v>
      </c>
      <c r="AI236" t="s">
        <v>6308</v>
      </c>
      <c r="AJ236" t="s">
        <v>47</v>
      </c>
      <c r="AK236" t="s">
        <v>107</v>
      </c>
      <c r="AL236" t="s">
        <v>107</v>
      </c>
      <c r="AM236" t="s">
        <v>107</v>
      </c>
      <c r="AO236">
        <v>9000</v>
      </c>
      <c r="AP236">
        <v>-1.5</v>
      </c>
      <c r="AQ236">
        <v>18.75</v>
      </c>
      <c r="AR236" t="s">
        <v>47</v>
      </c>
      <c r="AT236" t="s">
        <v>47</v>
      </c>
    </row>
    <row r="237" spans="1:46" x14ac:dyDescent="0.25">
      <c r="A237" t="s">
        <v>1755</v>
      </c>
      <c r="B237" s="19">
        <v>46125</v>
      </c>
      <c r="C237" t="s">
        <v>957</v>
      </c>
      <c r="D237" t="s">
        <v>6330</v>
      </c>
      <c r="E237" t="s">
        <v>1755</v>
      </c>
      <c r="F237" t="s">
        <v>23</v>
      </c>
      <c r="G237" t="s">
        <v>1755</v>
      </c>
      <c r="I237" t="str">
        <f>CONCATENATE(Inbound___Outbound_Shifting[[#This Row],[Batch '#]],"-",Inbound___Outbound_Shifting[[#This Row],[Exp '# or Key]])</f>
        <v>--</v>
      </c>
      <c r="J237" t="s">
        <v>1755</v>
      </c>
      <c r="K237">
        <v>1</v>
      </c>
      <c r="L237" t="s">
        <v>1755</v>
      </c>
      <c r="M237" t="s">
        <v>1755</v>
      </c>
      <c r="N237" t="s">
        <v>1755</v>
      </c>
      <c r="O237" t="s">
        <v>1755</v>
      </c>
      <c r="P237" t="s">
        <v>1755</v>
      </c>
      <c r="Q237" t="s">
        <v>1755</v>
      </c>
      <c r="R237" t="s">
        <v>1755</v>
      </c>
      <c r="S237" t="s">
        <v>1755</v>
      </c>
      <c r="T237" t="s">
        <v>1755</v>
      </c>
      <c r="U237" t="s">
        <v>1755</v>
      </c>
      <c r="V237" t="s">
        <v>1755</v>
      </c>
      <c r="W237">
        <v>350</v>
      </c>
      <c r="X237" t="s">
        <v>1755</v>
      </c>
      <c r="Y237" t="s">
        <v>1755</v>
      </c>
      <c r="Z237">
        <v>46125</v>
      </c>
      <c r="AA237" t="s">
        <v>1755</v>
      </c>
      <c r="AC237" t="s">
        <v>1755</v>
      </c>
      <c r="AE237">
        <v>0</v>
      </c>
      <c r="AF237" t="s">
        <v>1755</v>
      </c>
      <c r="AI237" t="s">
        <v>1755</v>
      </c>
      <c r="AJ237" t="s">
        <v>1755</v>
      </c>
      <c r="AK237" t="s">
        <v>1755</v>
      </c>
      <c r="AL237" t="s">
        <v>1755</v>
      </c>
      <c r="AM237" t="s">
        <v>1755</v>
      </c>
      <c r="AO237">
        <v>0</v>
      </c>
    </row>
    <row r="238" spans="1:46" x14ac:dyDescent="0.25">
      <c r="A238" t="s">
        <v>6300</v>
      </c>
      <c r="B238" s="19">
        <v>46126</v>
      </c>
      <c r="C238" t="s">
        <v>6704</v>
      </c>
      <c r="D238" t="s">
        <v>6302</v>
      </c>
      <c r="E238" t="s">
        <v>6130</v>
      </c>
      <c r="F238" t="s">
        <v>117</v>
      </c>
      <c r="G238" t="s">
        <v>1755</v>
      </c>
      <c r="I238" t="str">
        <f>CONCATENATE(Inbound___Outbound_Shifting[[#This Row],[Batch '#]],"-",Inbound___Outbound_Shifting[[#This Row],[Exp '# or Key]])</f>
        <v>--</v>
      </c>
      <c r="J238" t="s">
        <v>6705</v>
      </c>
      <c r="K238" t="s">
        <v>6395</v>
      </c>
      <c r="L238" t="s">
        <v>1755</v>
      </c>
      <c r="M238" t="s">
        <v>1755</v>
      </c>
      <c r="N238" t="s">
        <v>1755</v>
      </c>
      <c r="O238" t="s">
        <v>6341</v>
      </c>
      <c r="P238" t="s">
        <v>6706</v>
      </c>
      <c r="Q238" t="s">
        <v>6707</v>
      </c>
      <c r="R238" t="s">
        <v>6535</v>
      </c>
      <c r="S238">
        <v>1</v>
      </c>
      <c r="T238" t="s">
        <v>6708</v>
      </c>
      <c r="U238" t="s">
        <v>1755</v>
      </c>
      <c r="V238">
        <v>1</v>
      </c>
      <c r="W238">
        <v>9700</v>
      </c>
      <c r="X238">
        <v>13680</v>
      </c>
      <c r="Y238">
        <v>46129</v>
      </c>
      <c r="Z238" t="s">
        <v>1755</v>
      </c>
      <c r="AA238" t="s">
        <v>1755</v>
      </c>
      <c r="AB238">
        <v>3</v>
      </c>
      <c r="AC238">
        <v>305000</v>
      </c>
      <c r="AD238">
        <v>205200</v>
      </c>
      <c r="AE238">
        <v>-99800</v>
      </c>
      <c r="AF238" t="s">
        <v>1755</v>
      </c>
      <c r="AG238">
        <v>22.295321637426902</v>
      </c>
      <c r="AH238">
        <v>250.20508613617719</v>
      </c>
      <c r="AI238" t="s">
        <v>6308</v>
      </c>
      <c r="AJ238" t="s">
        <v>47</v>
      </c>
      <c r="AK238" t="s">
        <v>107</v>
      </c>
      <c r="AL238" t="s">
        <v>107</v>
      </c>
      <c r="AM238" t="s">
        <v>107</v>
      </c>
      <c r="AO238">
        <v>99800</v>
      </c>
      <c r="AP238">
        <v>-0.48635477582846004</v>
      </c>
      <c r="AQ238">
        <v>22.295321637426902</v>
      </c>
      <c r="AR238" t="s">
        <v>47</v>
      </c>
      <c r="AT238" t="s">
        <v>47</v>
      </c>
    </row>
    <row r="239" spans="1:46" x14ac:dyDescent="0.25">
      <c r="A239" t="s">
        <v>6300</v>
      </c>
      <c r="B239" s="19">
        <v>46126</v>
      </c>
      <c r="C239" t="s">
        <v>6704</v>
      </c>
      <c r="D239" t="s">
        <v>6302</v>
      </c>
      <c r="E239" t="s">
        <v>6130</v>
      </c>
      <c r="F239" t="s">
        <v>117</v>
      </c>
      <c r="G239" t="s">
        <v>1755</v>
      </c>
      <c r="I239" t="str">
        <f>CONCATENATE(Inbound___Outbound_Shifting[[#This Row],[Batch '#]],"-",Inbound___Outbound_Shifting[[#This Row],[Exp '# or Key]])</f>
        <v>--</v>
      </c>
      <c r="J239" t="s">
        <v>6705</v>
      </c>
      <c r="K239" t="s">
        <v>6395</v>
      </c>
      <c r="L239" t="s">
        <v>1755</v>
      </c>
      <c r="M239" t="s">
        <v>1755</v>
      </c>
      <c r="N239" t="s">
        <v>1755</v>
      </c>
      <c r="O239" t="s">
        <v>6341</v>
      </c>
      <c r="P239" t="s">
        <v>6709</v>
      </c>
      <c r="Q239" t="s">
        <v>6710</v>
      </c>
      <c r="R239" t="s">
        <v>6535</v>
      </c>
      <c r="S239">
        <v>1</v>
      </c>
      <c r="T239" t="s">
        <v>6711</v>
      </c>
      <c r="U239" t="s">
        <v>1755</v>
      </c>
      <c r="V239">
        <v>1</v>
      </c>
      <c r="W239">
        <v>20100</v>
      </c>
      <c r="X239">
        <v>24370</v>
      </c>
      <c r="Y239">
        <v>46129</v>
      </c>
      <c r="Z239" t="s">
        <v>1755</v>
      </c>
      <c r="AA239" t="s">
        <v>1755</v>
      </c>
      <c r="AB239">
        <v>3</v>
      </c>
      <c r="AC239">
        <v>355000</v>
      </c>
      <c r="AD239">
        <v>365550</v>
      </c>
      <c r="AE239">
        <v>10550</v>
      </c>
      <c r="AF239" t="s">
        <v>1755</v>
      </c>
      <c r="AG239">
        <v>14.567090685268774</v>
      </c>
      <c r="AH239">
        <v>291.22231337161605</v>
      </c>
      <c r="AI239" t="s">
        <v>6308</v>
      </c>
      <c r="AJ239" t="s">
        <v>47</v>
      </c>
      <c r="AK239" t="s">
        <v>107</v>
      </c>
      <c r="AL239" t="s">
        <v>107</v>
      </c>
      <c r="AM239" t="s">
        <v>107</v>
      </c>
      <c r="AO239">
        <v>-10550</v>
      </c>
      <c r="AP239">
        <v>2.8860620982081794E-2</v>
      </c>
      <c r="AQ239">
        <v>14.567090685268774</v>
      </c>
      <c r="AR239" t="s">
        <v>47</v>
      </c>
      <c r="AT239" t="s">
        <v>47</v>
      </c>
    </row>
    <row r="240" spans="1:46" x14ac:dyDescent="0.25">
      <c r="A240" t="s">
        <v>6300</v>
      </c>
      <c r="B240" s="19">
        <v>46126</v>
      </c>
      <c r="C240" t="s">
        <v>6704</v>
      </c>
      <c r="D240" t="s">
        <v>6302</v>
      </c>
      <c r="E240" t="s">
        <v>6130</v>
      </c>
      <c r="F240" t="s">
        <v>117</v>
      </c>
      <c r="G240" t="s">
        <v>1755</v>
      </c>
      <c r="I240" t="str">
        <f>CONCATENATE(Inbound___Outbound_Shifting[[#This Row],[Batch '#]],"-",Inbound___Outbound_Shifting[[#This Row],[Exp '# or Key]])</f>
        <v>--</v>
      </c>
      <c r="J240" t="s">
        <v>6705</v>
      </c>
      <c r="K240" t="s">
        <v>6395</v>
      </c>
      <c r="L240" t="s">
        <v>1755</v>
      </c>
      <c r="M240" t="s">
        <v>1755</v>
      </c>
      <c r="N240" t="s">
        <v>1755</v>
      </c>
      <c r="O240" t="s">
        <v>6341</v>
      </c>
      <c r="P240" t="s">
        <v>6712</v>
      </c>
      <c r="Q240" t="s">
        <v>6713</v>
      </c>
      <c r="R240" t="s">
        <v>6535</v>
      </c>
      <c r="S240">
        <v>1</v>
      </c>
      <c r="T240" t="s">
        <v>6714</v>
      </c>
      <c r="U240" t="s">
        <v>1755</v>
      </c>
      <c r="V240">
        <v>1</v>
      </c>
      <c r="W240">
        <v>21700</v>
      </c>
      <c r="X240">
        <v>25400</v>
      </c>
      <c r="Y240">
        <v>46129</v>
      </c>
      <c r="Z240" t="s">
        <v>1755</v>
      </c>
      <c r="AA240" t="s">
        <v>1755</v>
      </c>
      <c r="AB240">
        <v>3</v>
      </c>
      <c r="AC240">
        <v>355000</v>
      </c>
      <c r="AD240">
        <v>381000</v>
      </c>
      <c r="AE240">
        <v>26000</v>
      </c>
      <c r="AF240" t="s">
        <v>1755</v>
      </c>
      <c r="AG240">
        <v>13.976377952755906</v>
      </c>
      <c r="AH240">
        <v>291.22231337161605</v>
      </c>
      <c r="AI240" t="s">
        <v>6308</v>
      </c>
      <c r="AJ240" t="s">
        <v>47</v>
      </c>
      <c r="AK240" t="s">
        <v>107</v>
      </c>
      <c r="AL240" t="s">
        <v>107</v>
      </c>
      <c r="AM240" t="s">
        <v>107</v>
      </c>
      <c r="AO240">
        <v>-26000</v>
      </c>
      <c r="AP240">
        <v>6.8241469816272965E-2</v>
      </c>
      <c r="AQ240">
        <v>13.976377952755906</v>
      </c>
      <c r="AR240" t="s">
        <v>47</v>
      </c>
      <c r="AT240" t="s">
        <v>47</v>
      </c>
    </row>
    <row r="241" spans="1:46" x14ac:dyDescent="0.25">
      <c r="A241" t="s">
        <v>6300</v>
      </c>
      <c r="B241" s="19">
        <v>46126</v>
      </c>
      <c r="C241" t="s">
        <v>6715</v>
      </c>
      <c r="D241" t="s">
        <v>6302</v>
      </c>
      <c r="E241" t="s">
        <v>6085</v>
      </c>
      <c r="F241" t="s">
        <v>6319</v>
      </c>
      <c r="G241" t="s">
        <v>1755</v>
      </c>
      <c r="I241" t="str">
        <f>CONCATENATE(Inbound___Outbound_Shifting[[#This Row],[Batch '#]],"-",Inbound___Outbound_Shifting[[#This Row],[Exp '# or Key]])</f>
        <v>--</v>
      </c>
      <c r="J241" t="s">
        <v>6716</v>
      </c>
      <c r="K241" t="s">
        <v>6395</v>
      </c>
      <c r="L241" t="s">
        <v>1755</v>
      </c>
      <c r="M241" t="s">
        <v>1755</v>
      </c>
      <c r="N241" t="s">
        <v>1755</v>
      </c>
      <c r="O241" t="s">
        <v>6341</v>
      </c>
      <c r="P241" t="s">
        <v>6717</v>
      </c>
      <c r="Q241" t="s">
        <v>6718</v>
      </c>
      <c r="R241" t="s">
        <v>6560</v>
      </c>
      <c r="S241">
        <v>1</v>
      </c>
      <c r="T241" t="s">
        <v>6719</v>
      </c>
      <c r="U241">
        <v>1</v>
      </c>
      <c r="V241" t="s">
        <v>1755</v>
      </c>
      <c r="W241">
        <v>18900</v>
      </c>
      <c r="X241">
        <v>21400</v>
      </c>
      <c r="Y241">
        <v>46129</v>
      </c>
      <c r="Z241" t="s">
        <v>1755</v>
      </c>
      <c r="AA241" t="s">
        <v>1755</v>
      </c>
      <c r="AB241">
        <v>3</v>
      </c>
      <c r="AC241">
        <v>280000</v>
      </c>
      <c r="AD241">
        <v>321000</v>
      </c>
      <c r="AE241">
        <v>41000</v>
      </c>
      <c r="AF241" t="s">
        <v>1755</v>
      </c>
      <c r="AG241">
        <v>13.084112149532711</v>
      </c>
      <c r="AH241">
        <v>229.69647251845774</v>
      </c>
      <c r="AI241" t="s">
        <v>6308</v>
      </c>
      <c r="AJ241" t="s">
        <v>47</v>
      </c>
      <c r="AK241" t="s">
        <v>107</v>
      </c>
      <c r="AL241" t="s">
        <v>107</v>
      </c>
      <c r="AM241" t="s">
        <v>107</v>
      </c>
      <c r="AO241">
        <v>-41000</v>
      </c>
      <c r="AP241">
        <v>0.1277258566978193</v>
      </c>
      <c r="AQ241">
        <v>13.084112149532711</v>
      </c>
      <c r="AR241" t="s">
        <v>47</v>
      </c>
      <c r="AT241" t="s">
        <v>47</v>
      </c>
    </row>
    <row r="242" spans="1:46" x14ac:dyDescent="0.25">
      <c r="A242" t="s">
        <v>6300</v>
      </c>
      <c r="B242" s="19">
        <v>46126</v>
      </c>
      <c r="C242" t="s">
        <v>6720</v>
      </c>
      <c r="D242" t="s">
        <v>6302</v>
      </c>
      <c r="E242" t="s">
        <v>6061</v>
      </c>
      <c r="F242" t="s">
        <v>1371</v>
      </c>
      <c r="G242" t="s">
        <v>1755</v>
      </c>
      <c r="I242" t="str">
        <f>CONCATENATE(Inbound___Outbound_Shifting[[#This Row],[Batch '#]],"-",Inbound___Outbound_Shifting[[#This Row],[Exp '# or Key]])</f>
        <v>--</v>
      </c>
      <c r="J242" t="s">
        <v>6721</v>
      </c>
      <c r="K242" t="s">
        <v>6395</v>
      </c>
      <c r="L242" t="s">
        <v>1755</v>
      </c>
      <c r="M242" t="s">
        <v>1755</v>
      </c>
      <c r="N242" t="s">
        <v>1755</v>
      </c>
      <c r="O242" t="s">
        <v>6341</v>
      </c>
      <c r="P242" t="s">
        <v>6722</v>
      </c>
      <c r="Q242" t="s">
        <v>6723</v>
      </c>
      <c r="R242" t="s">
        <v>6560</v>
      </c>
      <c r="S242">
        <v>1</v>
      </c>
      <c r="T242" t="s">
        <v>6724</v>
      </c>
      <c r="U242">
        <v>1</v>
      </c>
      <c r="V242" t="s">
        <v>1755</v>
      </c>
      <c r="W242">
        <v>3140</v>
      </c>
      <c r="X242">
        <v>5640</v>
      </c>
      <c r="Y242">
        <v>46129</v>
      </c>
      <c r="Z242" t="s">
        <v>1755</v>
      </c>
      <c r="AA242" t="s">
        <v>1755</v>
      </c>
      <c r="AB242">
        <v>3</v>
      </c>
      <c r="AC242">
        <v>190000</v>
      </c>
      <c r="AD242">
        <v>84600</v>
      </c>
      <c r="AE242">
        <v>-105400</v>
      </c>
      <c r="AF242" t="s">
        <v>1755</v>
      </c>
      <c r="AG242">
        <v>33.687943262411345</v>
      </c>
      <c r="AH242">
        <v>155.86546349466775</v>
      </c>
      <c r="AI242" t="s">
        <v>6308</v>
      </c>
      <c r="AJ242" t="s">
        <v>47</v>
      </c>
      <c r="AK242" t="s">
        <v>107</v>
      </c>
      <c r="AL242" t="s">
        <v>107</v>
      </c>
      <c r="AM242" t="s">
        <v>107</v>
      </c>
      <c r="AO242">
        <v>105400</v>
      </c>
      <c r="AP242">
        <v>-1.2458628841607564</v>
      </c>
      <c r="AQ242">
        <v>33.687943262411345</v>
      </c>
      <c r="AR242" t="s">
        <v>47</v>
      </c>
      <c r="AT242" t="s">
        <v>47</v>
      </c>
    </row>
    <row r="243" spans="1:46" x14ac:dyDescent="0.25">
      <c r="A243" t="s">
        <v>6329</v>
      </c>
      <c r="B243" s="19">
        <v>46127</v>
      </c>
      <c r="C243" t="s">
        <v>760</v>
      </c>
      <c r="D243" t="s">
        <v>6330</v>
      </c>
      <c r="E243" t="s">
        <v>366</v>
      </c>
      <c r="F243" t="s">
        <v>6725</v>
      </c>
      <c r="G243" t="s">
        <v>1755</v>
      </c>
      <c r="I243" t="str">
        <f>CONCATENATE(Inbound___Outbound_Shifting[[#This Row],[Batch '#]],"-",Inbound___Outbound_Shifting[[#This Row],[Exp '# or Key]])</f>
        <v>--</v>
      </c>
      <c r="J243" t="s">
        <v>1755</v>
      </c>
      <c r="K243">
        <v>1</v>
      </c>
      <c r="L243" t="s">
        <v>366</v>
      </c>
      <c r="M243" t="s">
        <v>6599</v>
      </c>
      <c r="N243" t="s">
        <v>1755</v>
      </c>
      <c r="O243" t="s">
        <v>767</v>
      </c>
      <c r="P243" t="s">
        <v>6726</v>
      </c>
      <c r="Q243">
        <v>1867</v>
      </c>
      <c r="R243" t="s">
        <v>6333</v>
      </c>
      <c r="S243" t="s">
        <v>1755</v>
      </c>
      <c r="T243" t="s">
        <v>1755</v>
      </c>
      <c r="U243" t="s">
        <v>1755</v>
      </c>
      <c r="V243" t="s">
        <v>1755</v>
      </c>
      <c r="W243">
        <v>400</v>
      </c>
      <c r="X243">
        <v>500</v>
      </c>
      <c r="Y243">
        <v>46127</v>
      </c>
      <c r="Z243" t="s">
        <v>1755</v>
      </c>
      <c r="AA243" t="s">
        <v>1755</v>
      </c>
      <c r="AB243">
        <v>0</v>
      </c>
      <c r="AC243">
        <v>12000</v>
      </c>
      <c r="AD243">
        <v>3750</v>
      </c>
      <c r="AE243">
        <v>-8250</v>
      </c>
      <c r="AF243" t="s">
        <v>1755</v>
      </c>
      <c r="AG243">
        <v>24</v>
      </c>
      <c r="AI243" t="s">
        <v>6308</v>
      </c>
      <c r="AJ243" t="s">
        <v>47</v>
      </c>
      <c r="AK243" t="s">
        <v>107</v>
      </c>
      <c r="AL243" t="s">
        <v>107</v>
      </c>
      <c r="AM243" t="s">
        <v>107</v>
      </c>
      <c r="AO243">
        <v>8250</v>
      </c>
      <c r="AP243">
        <v>-2.2000000000000002</v>
      </c>
      <c r="AQ243">
        <v>24</v>
      </c>
      <c r="AR243" t="s">
        <v>47</v>
      </c>
      <c r="AT243" t="s">
        <v>47</v>
      </c>
    </row>
    <row r="244" spans="1:46" x14ac:dyDescent="0.25">
      <c r="A244" t="s">
        <v>6329</v>
      </c>
      <c r="B244" s="19">
        <v>46129</v>
      </c>
      <c r="C244" t="s">
        <v>1514</v>
      </c>
      <c r="D244" t="s">
        <v>1600</v>
      </c>
      <c r="E244" t="s">
        <v>366</v>
      </c>
      <c r="F244" t="s">
        <v>1515</v>
      </c>
      <c r="G244" t="s">
        <v>1755</v>
      </c>
      <c r="I244" t="str">
        <f>CONCATENATE(Inbound___Outbound_Shifting[[#This Row],[Batch '#]],"-",Inbound___Outbound_Shifting[[#This Row],[Exp '# or Key]])</f>
        <v>--</v>
      </c>
      <c r="J244" t="s">
        <v>1755</v>
      </c>
      <c r="K244">
        <v>1</v>
      </c>
      <c r="L244" t="s">
        <v>366</v>
      </c>
      <c r="M244" t="s">
        <v>6727</v>
      </c>
      <c r="N244" t="s">
        <v>1755</v>
      </c>
      <c r="O244" t="s">
        <v>455</v>
      </c>
      <c r="P244" t="s">
        <v>6728</v>
      </c>
      <c r="Q244" t="s">
        <v>1516</v>
      </c>
      <c r="R244" t="s">
        <v>6333</v>
      </c>
      <c r="S244" t="s">
        <v>1755</v>
      </c>
      <c r="T244" t="s">
        <v>1755</v>
      </c>
      <c r="U244" t="s">
        <v>1755</v>
      </c>
      <c r="V244" t="s">
        <v>1755</v>
      </c>
      <c r="W244">
        <v>350</v>
      </c>
      <c r="X244">
        <v>1500</v>
      </c>
      <c r="Y244">
        <v>46130</v>
      </c>
      <c r="Z244">
        <v>46121</v>
      </c>
      <c r="AA244" t="s">
        <v>1755</v>
      </c>
      <c r="AB244">
        <v>1</v>
      </c>
      <c r="AC244">
        <v>44000</v>
      </c>
      <c r="AD244">
        <v>11250</v>
      </c>
      <c r="AE244">
        <v>-32750</v>
      </c>
      <c r="AF244" t="s">
        <v>1755</v>
      </c>
      <c r="AG244">
        <v>29.333333333333332</v>
      </c>
      <c r="AI244" t="s">
        <v>6308</v>
      </c>
      <c r="AJ244" t="s">
        <v>47</v>
      </c>
      <c r="AK244" t="s">
        <v>107</v>
      </c>
      <c r="AL244" t="s">
        <v>107</v>
      </c>
      <c r="AM244" t="s">
        <v>107</v>
      </c>
      <c r="AO244">
        <v>32750</v>
      </c>
      <c r="AP244">
        <v>-2.911111111111111</v>
      </c>
      <c r="AQ244">
        <v>29.333333333333332</v>
      </c>
      <c r="AR244" t="s">
        <v>47</v>
      </c>
      <c r="AT244" t="s">
        <v>47</v>
      </c>
    </row>
    <row r="245" spans="1:46" x14ac:dyDescent="0.25">
      <c r="A245" t="s">
        <v>1755</v>
      </c>
      <c r="B245" s="19">
        <v>46129</v>
      </c>
      <c r="C245" t="s">
        <v>1521</v>
      </c>
      <c r="D245" t="s">
        <v>1600</v>
      </c>
      <c r="E245" t="s">
        <v>366</v>
      </c>
      <c r="F245" t="s">
        <v>1755</v>
      </c>
      <c r="G245" t="s">
        <v>1755</v>
      </c>
      <c r="I245" t="str">
        <f>CONCATENATE(Inbound___Outbound_Shifting[[#This Row],[Batch '#]],"-",Inbound___Outbound_Shifting[[#This Row],[Exp '# or Key]])</f>
        <v>--</v>
      </c>
      <c r="J245" t="s">
        <v>1755</v>
      </c>
      <c r="K245">
        <v>1</v>
      </c>
      <c r="L245" t="s">
        <v>366</v>
      </c>
      <c r="M245" t="s">
        <v>1755</v>
      </c>
      <c r="N245" t="s">
        <v>1755</v>
      </c>
      <c r="O245" t="s">
        <v>1755</v>
      </c>
      <c r="P245" t="s">
        <v>1755</v>
      </c>
      <c r="Q245" t="s">
        <v>1755</v>
      </c>
      <c r="R245" t="s">
        <v>1755</v>
      </c>
      <c r="S245" t="s">
        <v>1755</v>
      </c>
      <c r="T245" t="s">
        <v>1755</v>
      </c>
      <c r="U245" t="s">
        <v>1755</v>
      </c>
      <c r="V245" t="s">
        <v>1755</v>
      </c>
      <c r="W245">
        <v>1216</v>
      </c>
      <c r="X245" t="s">
        <v>1755</v>
      </c>
      <c r="Y245">
        <v>46130</v>
      </c>
      <c r="Z245">
        <v>46128</v>
      </c>
      <c r="AA245" t="s">
        <v>1755</v>
      </c>
      <c r="AB245">
        <v>1</v>
      </c>
      <c r="AC245" t="s">
        <v>1755</v>
      </c>
      <c r="AE245">
        <v>0</v>
      </c>
      <c r="AF245" t="s">
        <v>1755</v>
      </c>
      <c r="AI245" t="s">
        <v>1755</v>
      </c>
      <c r="AJ245" t="s">
        <v>1755</v>
      </c>
      <c r="AK245" t="s">
        <v>1755</v>
      </c>
      <c r="AL245" t="s">
        <v>1755</v>
      </c>
      <c r="AM245" t="s">
        <v>1755</v>
      </c>
      <c r="AO245">
        <v>0</v>
      </c>
    </row>
    <row r="246" spans="1:46" x14ac:dyDescent="0.25">
      <c r="A246" t="s">
        <v>6329</v>
      </c>
      <c r="B246" s="19">
        <v>46132</v>
      </c>
      <c r="C246" t="s">
        <v>928</v>
      </c>
      <c r="D246" t="s">
        <v>6330</v>
      </c>
      <c r="E246" t="s">
        <v>117</v>
      </c>
      <c r="F246" t="s">
        <v>1004</v>
      </c>
      <c r="G246" t="s">
        <v>1755</v>
      </c>
      <c r="I246" t="str">
        <f>CONCATENATE(Inbound___Outbound_Shifting[[#This Row],[Batch '#]],"-",Inbound___Outbound_Shifting[[#This Row],[Exp '# or Key]])</f>
        <v>--</v>
      </c>
      <c r="J246" t="s">
        <v>1755</v>
      </c>
      <c r="K246">
        <v>2</v>
      </c>
      <c r="L246" t="s">
        <v>117</v>
      </c>
      <c r="M246" t="s">
        <v>1268</v>
      </c>
      <c r="N246" t="s">
        <v>1755</v>
      </c>
      <c r="O246" t="s">
        <v>134</v>
      </c>
      <c r="P246" t="s">
        <v>6729</v>
      </c>
      <c r="Q246" t="s">
        <v>931</v>
      </c>
      <c r="R246" t="s">
        <v>6307</v>
      </c>
      <c r="S246" t="s">
        <v>1755</v>
      </c>
      <c r="T246" t="s">
        <v>1755</v>
      </c>
      <c r="U246" t="s">
        <v>1755</v>
      </c>
      <c r="V246" t="s">
        <v>1755</v>
      </c>
      <c r="W246">
        <v>1140</v>
      </c>
      <c r="X246">
        <v>18500</v>
      </c>
      <c r="Y246">
        <v>46135</v>
      </c>
      <c r="Z246">
        <v>46122</v>
      </c>
      <c r="AA246" t="s">
        <v>1755</v>
      </c>
      <c r="AB246">
        <v>3</v>
      </c>
      <c r="AC246">
        <v>115000</v>
      </c>
      <c r="AD246">
        <v>138750</v>
      </c>
      <c r="AE246">
        <v>23750</v>
      </c>
      <c r="AF246" t="s">
        <v>1755</v>
      </c>
      <c r="AG246">
        <v>6.2162162162162158</v>
      </c>
      <c r="AI246" t="s">
        <v>6308</v>
      </c>
      <c r="AJ246" t="s">
        <v>47</v>
      </c>
      <c r="AK246" t="s">
        <v>107</v>
      </c>
      <c r="AL246" t="s">
        <v>107</v>
      </c>
      <c r="AM246" t="s">
        <v>107</v>
      </c>
      <c r="AO246">
        <v>-23750</v>
      </c>
      <c r="AP246">
        <v>0.17117117117117117</v>
      </c>
      <c r="AQ246">
        <v>6.2162162162162158</v>
      </c>
      <c r="AR246" t="s">
        <v>47</v>
      </c>
      <c r="AT246" t="s">
        <v>47</v>
      </c>
    </row>
    <row r="247" spans="1:46" x14ac:dyDescent="0.25">
      <c r="A247" t="s">
        <v>1755</v>
      </c>
      <c r="B247" s="19">
        <v>46132</v>
      </c>
      <c r="C247" t="s">
        <v>1003</v>
      </c>
      <c r="D247" t="s">
        <v>6330</v>
      </c>
      <c r="E247" t="s">
        <v>117</v>
      </c>
      <c r="F247" t="s">
        <v>1004</v>
      </c>
      <c r="G247" t="s">
        <v>1755</v>
      </c>
      <c r="I247" t="str">
        <f>CONCATENATE(Inbound___Outbound_Shifting[[#This Row],[Batch '#]],"-",Inbound___Outbound_Shifting[[#This Row],[Exp '# or Key]])</f>
        <v>--</v>
      </c>
      <c r="J247" t="s">
        <v>1755</v>
      </c>
      <c r="K247">
        <v>4</v>
      </c>
      <c r="L247" t="s">
        <v>117</v>
      </c>
      <c r="M247" t="s">
        <v>1755</v>
      </c>
      <c r="N247" t="s">
        <v>1755</v>
      </c>
      <c r="O247" t="s">
        <v>1755</v>
      </c>
      <c r="R247" t="s">
        <v>1755</v>
      </c>
      <c r="S247" t="s">
        <v>1755</v>
      </c>
      <c r="T247" t="s">
        <v>1755</v>
      </c>
      <c r="U247" t="s">
        <v>1755</v>
      </c>
      <c r="V247" t="s">
        <v>1755</v>
      </c>
      <c r="W247">
        <v>10720</v>
      </c>
      <c r="X247" t="s">
        <v>1755</v>
      </c>
      <c r="Y247">
        <v>46135</v>
      </c>
      <c r="Z247">
        <v>46128</v>
      </c>
      <c r="AA247" t="s">
        <v>1755</v>
      </c>
      <c r="AB247">
        <v>3</v>
      </c>
      <c r="AE247">
        <v>0</v>
      </c>
      <c r="AF247" t="s">
        <v>1755</v>
      </c>
      <c r="AI247" t="s">
        <v>1755</v>
      </c>
      <c r="AJ247" t="s">
        <v>1755</v>
      </c>
      <c r="AK247" t="s">
        <v>1755</v>
      </c>
      <c r="AL247" t="s">
        <v>1755</v>
      </c>
      <c r="AM247" t="s">
        <v>1755</v>
      </c>
      <c r="AO247">
        <v>0</v>
      </c>
    </row>
    <row r="248" spans="1:46" x14ac:dyDescent="0.25">
      <c r="A248" t="s">
        <v>1755</v>
      </c>
      <c r="B248" s="19">
        <v>46132</v>
      </c>
      <c r="C248" t="s">
        <v>962</v>
      </c>
      <c r="D248" t="s">
        <v>6330</v>
      </c>
      <c r="E248" t="s">
        <v>117</v>
      </c>
      <c r="F248" t="s">
        <v>3558</v>
      </c>
      <c r="G248" t="s">
        <v>1755</v>
      </c>
      <c r="I248" t="str">
        <f>CONCATENATE(Inbound___Outbound_Shifting[[#This Row],[Batch '#]],"-",Inbound___Outbound_Shifting[[#This Row],[Exp '# or Key]])</f>
        <v>--</v>
      </c>
      <c r="J248" t="s">
        <v>1755</v>
      </c>
      <c r="K248">
        <v>1</v>
      </c>
      <c r="L248" t="s">
        <v>117</v>
      </c>
      <c r="M248" t="s">
        <v>1755</v>
      </c>
      <c r="N248" t="s">
        <v>1755</v>
      </c>
      <c r="O248" t="s">
        <v>1755</v>
      </c>
      <c r="R248" t="s">
        <v>1755</v>
      </c>
      <c r="S248" t="s">
        <v>1755</v>
      </c>
      <c r="T248" t="s">
        <v>1755</v>
      </c>
      <c r="U248" t="s">
        <v>1755</v>
      </c>
      <c r="V248" t="s">
        <v>1755</v>
      </c>
      <c r="W248">
        <v>520</v>
      </c>
      <c r="X248" t="s">
        <v>1755</v>
      </c>
      <c r="Y248">
        <v>46135</v>
      </c>
      <c r="Z248">
        <v>46128</v>
      </c>
      <c r="AA248" t="s">
        <v>1755</v>
      </c>
      <c r="AB248">
        <v>3</v>
      </c>
      <c r="AE248">
        <v>0</v>
      </c>
      <c r="AF248" t="s">
        <v>1755</v>
      </c>
      <c r="AI248" t="s">
        <v>1755</v>
      </c>
      <c r="AJ248" t="s">
        <v>1755</v>
      </c>
      <c r="AK248" t="s">
        <v>1755</v>
      </c>
      <c r="AL248" t="s">
        <v>1755</v>
      </c>
      <c r="AM248" t="s">
        <v>1755</v>
      </c>
      <c r="AO248">
        <v>0</v>
      </c>
    </row>
    <row r="249" spans="1:46" x14ac:dyDescent="0.25">
      <c r="A249" t="s">
        <v>1755</v>
      </c>
      <c r="B249" s="19">
        <v>46132</v>
      </c>
      <c r="C249" t="s">
        <v>863</v>
      </c>
      <c r="D249" t="s">
        <v>6330</v>
      </c>
      <c r="E249" t="s">
        <v>117</v>
      </c>
      <c r="F249" t="s">
        <v>1032</v>
      </c>
      <c r="G249" t="s">
        <v>1755</v>
      </c>
      <c r="I249" t="str">
        <f>CONCATENATE(Inbound___Outbound_Shifting[[#This Row],[Batch '#]],"-",Inbound___Outbound_Shifting[[#This Row],[Exp '# or Key]])</f>
        <v>--</v>
      </c>
      <c r="J249" t="s">
        <v>1755</v>
      </c>
      <c r="K249">
        <v>2</v>
      </c>
      <c r="L249" t="s">
        <v>117</v>
      </c>
      <c r="M249" t="s">
        <v>1755</v>
      </c>
      <c r="N249" t="s">
        <v>1755</v>
      </c>
      <c r="O249" t="s">
        <v>1755</v>
      </c>
      <c r="R249" t="s">
        <v>1755</v>
      </c>
      <c r="S249" t="s">
        <v>1755</v>
      </c>
      <c r="T249" t="s">
        <v>1755</v>
      </c>
      <c r="U249" t="s">
        <v>1755</v>
      </c>
      <c r="V249" t="s">
        <v>1755</v>
      </c>
      <c r="W249">
        <v>1430</v>
      </c>
      <c r="X249" t="s">
        <v>1755</v>
      </c>
      <c r="Y249">
        <v>46135</v>
      </c>
      <c r="Z249">
        <v>46122</v>
      </c>
      <c r="AA249" t="s">
        <v>1755</v>
      </c>
      <c r="AB249">
        <v>3</v>
      </c>
      <c r="AE249">
        <v>0</v>
      </c>
      <c r="AF249" t="s">
        <v>1755</v>
      </c>
      <c r="AI249" t="s">
        <v>1755</v>
      </c>
      <c r="AJ249" t="s">
        <v>1755</v>
      </c>
      <c r="AK249" t="s">
        <v>1755</v>
      </c>
      <c r="AL249" t="s">
        <v>1755</v>
      </c>
      <c r="AM249" t="s">
        <v>1755</v>
      </c>
      <c r="AO249">
        <v>0</v>
      </c>
    </row>
    <row r="250" spans="1:46" x14ac:dyDescent="0.25">
      <c r="A250" t="s">
        <v>1755</v>
      </c>
      <c r="B250" s="19">
        <v>46132</v>
      </c>
      <c r="C250" t="s">
        <v>212</v>
      </c>
      <c r="D250" t="s">
        <v>6330</v>
      </c>
      <c r="E250" t="s">
        <v>117</v>
      </c>
      <c r="F250" t="s">
        <v>35</v>
      </c>
      <c r="G250" t="s">
        <v>1755</v>
      </c>
      <c r="I250" t="str">
        <f>CONCATENATE(Inbound___Outbound_Shifting[[#This Row],[Batch '#]],"-",Inbound___Outbound_Shifting[[#This Row],[Exp '# or Key]])</f>
        <v>--</v>
      </c>
      <c r="J250" t="s">
        <v>1755</v>
      </c>
      <c r="K250">
        <v>4</v>
      </c>
      <c r="L250" t="s">
        <v>117</v>
      </c>
      <c r="M250" t="s">
        <v>1755</v>
      </c>
      <c r="N250" t="s">
        <v>1755</v>
      </c>
      <c r="O250" t="s">
        <v>1755</v>
      </c>
      <c r="R250" t="s">
        <v>1755</v>
      </c>
      <c r="S250" t="s">
        <v>1755</v>
      </c>
      <c r="T250" t="s">
        <v>1755</v>
      </c>
      <c r="U250" t="s">
        <v>1755</v>
      </c>
      <c r="V250" t="s">
        <v>1755</v>
      </c>
      <c r="W250">
        <v>4230</v>
      </c>
      <c r="X250" t="s">
        <v>1755</v>
      </c>
      <c r="Y250">
        <v>46135</v>
      </c>
      <c r="Z250">
        <v>46094</v>
      </c>
      <c r="AA250" t="s">
        <v>1755</v>
      </c>
      <c r="AB250">
        <v>3</v>
      </c>
      <c r="AE250">
        <v>0</v>
      </c>
      <c r="AF250" t="s">
        <v>1755</v>
      </c>
      <c r="AI250" t="s">
        <v>1755</v>
      </c>
      <c r="AJ250" t="s">
        <v>1755</v>
      </c>
      <c r="AK250" t="s">
        <v>1755</v>
      </c>
      <c r="AL250" t="s">
        <v>1755</v>
      </c>
      <c r="AM250" t="s">
        <v>1755</v>
      </c>
      <c r="AO250">
        <v>0</v>
      </c>
    </row>
    <row r="251" spans="1:46" x14ac:dyDescent="0.25">
      <c r="A251" t="s">
        <v>6329</v>
      </c>
      <c r="B251" s="19">
        <v>46132</v>
      </c>
      <c r="C251" t="s">
        <v>1306</v>
      </c>
      <c r="D251" t="s">
        <v>1596</v>
      </c>
      <c r="E251" t="s">
        <v>117</v>
      </c>
      <c r="F251" t="s">
        <v>1307</v>
      </c>
      <c r="G251" t="s">
        <v>1755</v>
      </c>
      <c r="I251" t="str">
        <f>CONCATENATE(Inbound___Outbound_Shifting[[#This Row],[Batch '#]],"-",Inbound___Outbound_Shifting[[#This Row],[Exp '# or Key]])</f>
        <v>--</v>
      </c>
      <c r="J251" t="s">
        <v>1755</v>
      </c>
      <c r="K251">
        <v>1</v>
      </c>
      <c r="L251" t="s">
        <v>117</v>
      </c>
      <c r="M251" t="s">
        <v>6426</v>
      </c>
      <c r="N251" t="s">
        <v>1755</v>
      </c>
      <c r="O251" t="s">
        <v>767</v>
      </c>
      <c r="P251" t="s">
        <v>6730</v>
      </c>
      <c r="Q251" t="s">
        <v>1308</v>
      </c>
      <c r="R251" t="s">
        <v>6307</v>
      </c>
      <c r="S251" t="s">
        <v>1755</v>
      </c>
      <c r="T251" t="s">
        <v>1755</v>
      </c>
      <c r="U251" t="s">
        <v>1755</v>
      </c>
      <c r="V251" t="s">
        <v>1755</v>
      </c>
      <c r="W251">
        <v>23700</v>
      </c>
      <c r="X251">
        <v>24000</v>
      </c>
      <c r="Y251">
        <v>46133</v>
      </c>
      <c r="Z251">
        <v>46129</v>
      </c>
      <c r="AA251" t="s">
        <v>1755</v>
      </c>
      <c r="AB251">
        <v>1</v>
      </c>
      <c r="AC251">
        <v>65000</v>
      </c>
      <c r="AD251">
        <v>180000</v>
      </c>
      <c r="AE251">
        <v>115000</v>
      </c>
      <c r="AF251" t="s">
        <v>1755</v>
      </c>
      <c r="AG251">
        <v>2.7083333333333335</v>
      </c>
      <c r="AI251" t="s">
        <v>6369</v>
      </c>
      <c r="AJ251" t="s">
        <v>47</v>
      </c>
      <c r="AK251" t="s">
        <v>1755</v>
      </c>
      <c r="AL251" t="s">
        <v>1755</v>
      </c>
      <c r="AM251" t="s">
        <v>1755</v>
      </c>
      <c r="AO251">
        <v>-115000</v>
      </c>
      <c r="AP251">
        <v>0.63888888888888884</v>
      </c>
      <c r="AQ251">
        <v>2.7083333333333335</v>
      </c>
      <c r="AR251" t="s">
        <v>47</v>
      </c>
      <c r="AT251" t="s">
        <v>47</v>
      </c>
    </row>
    <row r="252" spans="1:46" x14ac:dyDescent="0.25">
      <c r="A252" t="s">
        <v>6329</v>
      </c>
      <c r="B252" s="19">
        <v>46133</v>
      </c>
      <c r="C252" t="s">
        <v>1261</v>
      </c>
      <c r="D252" t="s">
        <v>1596</v>
      </c>
      <c r="E252" t="s">
        <v>117</v>
      </c>
      <c r="F252" t="s">
        <v>1262</v>
      </c>
      <c r="G252" t="s">
        <v>1755</v>
      </c>
      <c r="I252" t="str">
        <f>CONCATENATE(Inbound___Outbound_Shifting[[#This Row],[Batch '#]],"-",Inbound___Outbound_Shifting[[#This Row],[Exp '# or Key]])</f>
        <v>--</v>
      </c>
      <c r="J252" t="s">
        <v>1755</v>
      </c>
      <c r="K252">
        <v>2</v>
      </c>
      <c r="L252" t="s">
        <v>117</v>
      </c>
      <c r="M252" t="s">
        <v>6731</v>
      </c>
      <c r="N252" t="s">
        <v>1755</v>
      </c>
      <c r="O252" t="s">
        <v>767</v>
      </c>
      <c r="P252" t="s">
        <v>6732</v>
      </c>
      <c r="Q252" t="s">
        <v>1263</v>
      </c>
      <c r="R252" t="s">
        <v>6307</v>
      </c>
      <c r="S252" t="s">
        <v>1755</v>
      </c>
      <c r="T252" t="s">
        <v>1755</v>
      </c>
      <c r="U252" t="s">
        <v>1755</v>
      </c>
      <c r="V252" t="s">
        <v>1755</v>
      </c>
      <c r="W252">
        <v>44800</v>
      </c>
      <c r="X252">
        <v>46000</v>
      </c>
      <c r="Y252">
        <v>46133</v>
      </c>
      <c r="Z252">
        <v>46129</v>
      </c>
      <c r="AA252" t="s">
        <v>1755</v>
      </c>
      <c r="AB252">
        <v>0</v>
      </c>
      <c r="AC252">
        <v>175000</v>
      </c>
      <c r="AD252">
        <v>345000</v>
      </c>
      <c r="AE252">
        <v>170000</v>
      </c>
      <c r="AF252" t="s">
        <v>1755</v>
      </c>
      <c r="AG252">
        <v>3.8043478260869565</v>
      </c>
      <c r="AI252" t="s">
        <v>6369</v>
      </c>
      <c r="AJ252" t="s">
        <v>47</v>
      </c>
      <c r="AK252" t="s">
        <v>1755</v>
      </c>
      <c r="AL252" t="s">
        <v>1755</v>
      </c>
      <c r="AM252" t="s">
        <v>1755</v>
      </c>
      <c r="AO252">
        <v>-170000</v>
      </c>
      <c r="AP252">
        <v>0.49275362318840582</v>
      </c>
      <c r="AQ252">
        <v>3.8043478260869565</v>
      </c>
      <c r="AR252" t="s">
        <v>47</v>
      </c>
      <c r="AT252" t="s">
        <v>47</v>
      </c>
    </row>
    <row r="253" spans="1:46" x14ac:dyDescent="0.25">
      <c r="A253" t="s">
        <v>6329</v>
      </c>
      <c r="B253" s="19">
        <v>46134</v>
      </c>
      <c r="C253" t="s">
        <v>1554</v>
      </c>
      <c r="D253" t="s">
        <v>1596</v>
      </c>
      <c r="E253" t="s">
        <v>117</v>
      </c>
      <c r="F253" t="s">
        <v>1305</v>
      </c>
      <c r="G253" t="s">
        <v>1755</v>
      </c>
      <c r="I253" t="str">
        <f>CONCATENATE(Inbound___Outbound_Shifting[[#This Row],[Batch '#]],"-",Inbound___Outbound_Shifting[[#This Row],[Exp '# or Key]])</f>
        <v>--</v>
      </c>
      <c r="J253" t="s">
        <v>1755</v>
      </c>
      <c r="K253">
        <v>2</v>
      </c>
      <c r="L253" t="s">
        <v>117</v>
      </c>
      <c r="M253" t="s">
        <v>6426</v>
      </c>
      <c r="N253" t="s">
        <v>1755</v>
      </c>
      <c r="O253" t="s">
        <v>767</v>
      </c>
      <c r="P253" t="s">
        <v>6733</v>
      </c>
      <c r="Q253" t="s">
        <v>1555</v>
      </c>
      <c r="R253" t="s">
        <v>6307</v>
      </c>
      <c r="S253" t="s">
        <v>1755</v>
      </c>
      <c r="T253" t="s">
        <v>1755</v>
      </c>
      <c r="U253" t="s">
        <v>1755</v>
      </c>
      <c r="V253" t="s">
        <v>1755</v>
      </c>
      <c r="W253">
        <v>62000</v>
      </c>
      <c r="X253">
        <v>62570</v>
      </c>
      <c r="Y253">
        <v>46135</v>
      </c>
      <c r="Z253">
        <v>46133</v>
      </c>
      <c r="AA253" t="s">
        <v>1755</v>
      </c>
      <c r="AB253">
        <v>1</v>
      </c>
      <c r="AC253">
        <v>180000</v>
      </c>
      <c r="AD253">
        <v>469275</v>
      </c>
      <c r="AE253">
        <v>289275</v>
      </c>
      <c r="AF253" t="s">
        <v>1755</v>
      </c>
      <c r="AG253">
        <v>2.8767780086303341</v>
      </c>
      <c r="AI253" t="s">
        <v>6369</v>
      </c>
      <c r="AJ253" t="s">
        <v>47</v>
      </c>
      <c r="AK253" t="s">
        <v>1755</v>
      </c>
      <c r="AL253" t="s">
        <v>1755</v>
      </c>
      <c r="AM253" t="s">
        <v>1755</v>
      </c>
      <c r="AO253">
        <v>-289275</v>
      </c>
      <c r="AP253">
        <v>0.61642959884928883</v>
      </c>
      <c r="AQ253">
        <v>2.8767780086303341</v>
      </c>
      <c r="AR253" t="s">
        <v>47</v>
      </c>
      <c r="AT253" t="s">
        <v>47</v>
      </c>
    </row>
    <row r="254" spans="1:46" x14ac:dyDescent="0.25">
      <c r="A254" t="s">
        <v>6329</v>
      </c>
      <c r="B254" s="19">
        <v>46134</v>
      </c>
      <c r="C254" t="s">
        <v>1554</v>
      </c>
      <c r="D254" t="s">
        <v>1596</v>
      </c>
      <c r="E254" t="s">
        <v>117</v>
      </c>
      <c r="F254" t="s">
        <v>1305</v>
      </c>
      <c r="G254" t="s">
        <v>1755</v>
      </c>
      <c r="I254" t="str">
        <f>CONCATENATE(Inbound___Outbound_Shifting[[#This Row],[Batch '#]],"-",Inbound___Outbound_Shifting[[#This Row],[Exp '# or Key]])</f>
        <v>--</v>
      </c>
      <c r="J254" t="s">
        <v>1755</v>
      </c>
      <c r="K254">
        <v>2</v>
      </c>
      <c r="L254" t="s">
        <v>117</v>
      </c>
      <c r="M254" t="s">
        <v>6426</v>
      </c>
      <c r="N254" t="s">
        <v>1755</v>
      </c>
      <c r="O254" t="s">
        <v>767</v>
      </c>
      <c r="P254" t="s">
        <v>6734</v>
      </c>
      <c r="Q254" t="s">
        <v>6735</v>
      </c>
      <c r="R254" t="s">
        <v>6307</v>
      </c>
      <c r="S254" t="s">
        <v>1755</v>
      </c>
      <c r="T254" t="s">
        <v>1755</v>
      </c>
      <c r="U254" t="s">
        <v>1755</v>
      </c>
      <c r="V254" t="s">
        <v>1755</v>
      </c>
      <c r="W254">
        <v>60500</v>
      </c>
      <c r="X254">
        <v>60820</v>
      </c>
      <c r="Y254">
        <v>46135</v>
      </c>
      <c r="Z254">
        <v>46133</v>
      </c>
      <c r="AA254" t="s">
        <v>1755</v>
      </c>
      <c r="AB254">
        <v>1</v>
      </c>
      <c r="AC254">
        <v>180000</v>
      </c>
      <c r="AD254">
        <v>456150</v>
      </c>
      <c r="AE254">
        <v>276150</v>
      </c>
      <c r="AF254" t="s">
        <v>1755</v>
      </c>
      <c r="AG254">
        <v>2.9595527786912199</v>
      </c>
      <c r="AI254" t="s">
        <v>6369</v>
      </c>
      <c r="AJ254" t="s">
        <v>47</v>
      </c>
      <c r="AK254" t="s">
        <v>1755</v>
      </c>
      <c r="AL254" t="s">
        <v>1755</v>
      </c>
      <c r="AM254" t="s">
        <v>1755</v>
      </c>
      <c r="AO254">
        <v>-276150</v>
      </c>
      <c r="AP254">
        <v>0.60539296284117061</v>
      </c>
      <c r="AQ254">
        <v>2.9595527786912199</v>
      </c>
      <c r="AR254" t="s">
        <v>47</v>
      </c>
      <c r="AT254" t="s">
        <v>47</v>
      </c>
    </row>
    <row r="255" spans="1:46" x14ac:dyDescent="0.25">
      <c r="A255" t="s">
        <v>6300</v>
      </c>
      <c r="B255" s="19">
        <v>46136</v>
      </c>
      <c r="C255" t="s">
        <v>6736</v>
      </c>
      <c r="D255" t="s">
        <v>6302</v>
      </c>
      <c r="E255" t="s">
        <v>6085</v>
      </c>
      <c r="F255" t="s">
        <v>1371</v>
      </c>
      <c r="G255" t="s">
        <v>1755</v>
      </c>
      <c r="I255" t="str">
        <f>CONCATENATE(Inbound___Outbound_Shifting[[#This Row],[Batch '#]],"-",Inbound___Outbound_Shifting[[#This Row],[Exp '# or Key]])</f>
        <v>--</v>
      </c>
      <c r="J255" t="s">
        <v>6737</v>
      </c>
      <c r="K255" t="s">
        <v>6395</v>
      </c>
      <c r="L255" t="s">
        <v>1755</v>
      </c>
      <c r="M255" t="s">
        <v>1755</v>
      </c>
      <c r="N255" t="s">
        <v>1755</v>
      </c>
      <c r="O255" t="s">
        <v>6631</v>
      </c>
      <c r="P255" t="s">
        <v>6738</v>
      </c>
      <c r="Q255" t="s">
        <v>6739</v>
      </c>
      <c r="R255" t="s">
        <v>6560</v>
      </c>
      <c r="S255">
        <v>1</v>
      </c>
      <c r="T255" t="s">
        <v>6740</v>
      </c>
      <c r="U255">
        <v>1</v>
      </c>
      <c r="V255" t="s">
        <v>1755</v>
      </c>
      <c r="W255">
        <v>19800</v>
      </c>
      <c r="X255">
        <v>22300</v>
      </c>
      <c r="Y255">
        <v>46139</v>
      </c>
      <c r="Z255" t="s">
        <v>1755</v>
      </c>
      <c r="AA255" t="s">
        <v>1755</v>
      </c>
      <c r="AB255">
        <v>3</v>
      </c>
      <c r="AC255">
        <v>240000</v>
      </c>
      <c r="AD255">
        <v>334500</v>
      </c>
      <c r="AE255">
        <v>94500</v>
      </c>
      <c r="AF255" t="s">
        <v>1755</v>
      </c>
      <c r="AG255">
        <v>10.762331838565023</v>
      </c>
      <c r="AH255">
        <v>196.88269073010665</v>
      </c>
      <c r="AI255" t="s">
        <v>6308</v>
      </c>
      <c r="AJ255" t="s">
        <v>47</v>
      </c>
      <c r="AK255" t="s">
        <v>107</v>
      </c>
      <c r="AL255" t="s">
        <v>107</v>
      </c>
      <c r="AM255" t="s">
        <v>107</v>
      </c>
      <c r="AO255">
        <v>-94500</v>
      </c>
      <c r="AP255">
        <v>0.28251121076233182</v>
      </c>
      <c r="AQ255">
        <v>10.762331838565023</v>
      </c>
      <c r="AR255" t="s">
        <v>47</v>
      </c>
      <c r="AT255" t="s">
        <v>47</v>
      </c>
    </row>
    <row r="256" spans="1:46" x14ac:dyDescent="0.25">
      <c r="A256" t="s">
        <v>6329</v>
      </c>
      <c r="B256" s="19">
        <v>46136</v>
      </c>
      <c r="C256" t="s">
        <v>1402</v>
      </c>
      <c r="D256" t="s">
        <v>1141</v>
      </c>
      <c r="E256" t="s">
        <v>117</v>
      </c>
      <c r="F256" t="s">
        <v>1180</v>
      </c>
      <c r="G256" t="s">
        <v>1755</v>
      </c>
      <c r="I256" t="str">
        <f>CONCATENATE(Inbound___Outbound_Shifting[[#This Row],[Batch '#]],"-",Inbound___Outbound_Shifting[[#This Row],[Exp '# or Key]])</f>
        <v>--</v>
      </c>
      <c r="J256" t="s">
        <v>1755</v>
      </c>
      <c r="K256">
        <v>1</v>
      </c>
      <c r="L256" t="s">
        <v>117</v>
      </c>
      <c r="M256" t="s">
        <v>1268</v>
      </c>
      <c r="N256" t="s">
        <v>1755</v>
      </c>
      <c r="O256" t="s">
        <v>537</v>
      </c>
      <c r="P256" t="s">
        <v>6741</v>
      </c>
      <c r="Q256" t="s">
        <v>1408</v>
      </c>
      <c r="R256" t="s">
        <v>6307</v>
      </c>
      <c r="S256" t="s">
        <v>1755</v>
      </c>
      <c r="T256" t="s">
        <v>1755</v>
      </c>
      <c r="U256" t="s">
        <v>1755</v>
      </c>
      <c r="V256" t="s">
        <v>1755</v>
      </c>
      <c r="W256">
        <v>265</v>
      </c>
      <c r="X256">
        <v>45460</v>
      </c>
      <c r="Y256">
        <v>46139</v>
      </c>
      <c r="Z256">
        <v>46084</v>
      </c>
      <c r="AA256" t="s">
        <v>1755</v>
      </c>
      <c r="AB256">
        <v>3</v>
      </c>
      <c r="AC256">
        <v>220000</v>
      </c>
      <c r="AD256">
        <v>340950</v>
      </c>
      <c r="AE256">
        <v>120950</v>
      </c>
      <c r="AF256" t="s">
        <v>1755</v>
      </c>
      <c r="AG256">
        <v>4.8394192696876379</v>
      </c>
      <c r="AI256" t="s">
        <v>6308</v>
      </c>
      <c r="AJ256" t="s">
        <v>47</v>
      </c>
      <c r="AK256" t="s">
        <v>107</v>
      </c>
      <c r="AL256" t="s">
        <v>107</v>
      </c>
      <c r="AM256" t="s">
        <v>107</v>
      </c>
      <c r="AO256">
        <v>-120950</v>
      </c>
      <c r="AP256">
        <v>0.35474409737498169</v>
      </c>
      <c r="AQ256">
        <v>4.8394192696876379</v>
      </c>
      <c r="AR256" t="s">
        <v>47</v>
      </c>
      <c r="AT256" t="s">
        <v>47</v>
      </c>
    </row>
    <row r="257" spans="1:46" x14ac:dyDescent="0.25">
      <c r="A257" t="s">
        <v>1755</v>
      </c>
      <c r="B257" s="19">
        <v>46136</v>
      </c>
      <c r="C257" t="s">
        <v>1330</v>
      </c>
      <c r="D257" t="s">
        <v>6330</v>
      </c>
      <c r="E257" t="s">
        <v>117</v>
      </c>
      <c r="F257" t="s">
        <v>1331</v>
      </c>
      <c r="G257" t="s">
        <v>1755</v>
      </c>
      <c r="I257" t="str">
        <f>CONCATENATE(Inbound___Outbound_Shifting[[#This Row],[Batch '#]],"-",Inbound___Outbound_Shifting[[#This Row],[Exp '# or Key]])</f>
        <v>--</v>
      </c>
      <c r="J257" t="s">
        <v>1755</v>
      </c>
      <c r="K257">
        <v>2</v>
      </c>
      <c r="L257" t="s">
        <v>117</v>
      </c>
      <c r="M257" t="s">
        <v>1755</v>
      </c>
      <c r="N257" t="s">
        <v>1755</v>
      </c>
      <c r="O257" t="s">
        <v>1755</v>
      </c>
      <c r="P257" t="s">
        <v>1755</v>
      </c>
      <c r="Q257" t="s">
        <v>1755</v>
      </c>
      <c r="R257" t="s">
        <v>1755</v>
      </c>
      <c r="S257" t="s">
        <v>1755</v>
      </c>
      <c r="T257" t="s">
        <v>1755</v>
      </c>
      <c r="U257" t="s">
        <v>1755</v>
      </c>
      <c r="V257" t="s">
        <v>1755</v>
      </c>
      <c r="W257">
        <v>36790</v>
      </c>
      <c r="X257" t="s">
        <v>1755</v>
      </c>
      <c r="Y257">
        <v>46139</v>
      </c>
      <c r="Z257">
        <v>46125</v>
      </c>
      <c r="AA257" t="s">
        <v>1755</v>
      </c>
      <c r="AB257">
        <v>3</v>
      </c>
      <c r="AC257" t="s">
        <v>1755</v>
      </c>
      <c r="AE257">
        <v>0</v>
      </c>
      <c r="AF257" t="s">
        <v>1755</v>
      </c>
      <c r="AI257" t="s">
        <v>1755</v>
      </c>
      <c r="AJ257" t="s">
        <v>1755</v>
      </c>
      <c r="AK257" t="s">
        <v>1755</v>
      </c>
      <c r="AL257" t="s">
        <v>1755</v>
      </c>
      <c r="AM257" t="s">
        <v>1755</v>
      </c>
      <c r="AO257">
        <v>0</v>
      </c>
    </row>
    <row r="258" spans="1:46" x14ac:dyDescent="0.25">
      <c r="A258" t="s">
        <v>1755</v>
      </c>
      <c r="B258" s="19">
        <v>46136</v>
      </c>
      <c r="C258" t="s">
        <v>1329</v>
      </c>
      <c r="D258" t="s">
        <v>6330</v>
      </c>
      <c r="E258" t="s">
        <v>117</v>
      </c>
      <c r="F258" t="s">
        <v>35</v>
      </c>
      <c r="G258" t="s">
        <v>1755</v>
      </c>
      <c r="I258" t="str">
        <f>CONCATENATE(Inbound___Outbound_Shifting[[#This Row],[Batch '#]],"-",Inbound___Outbound_Shifting[[#This Row],[Exp '# or Key]])</f>
        <v>--</v>
      </c>
      <c r="J258" t="s">
        <v>1755</v>
      </c>
      <c r="K258">
        <v>1</v>
      </c>
      <c r="L258" t="s">
        <v>117</v>
      </c>
      <c r="M258" t="s">
        <v>1755</v>
      </c>
      <c r="N258" t="s">
        <v>1755</v>
      </c>
      <c r="O258" t="s">
        <v>1755</v>
      </c>
      <c r="P258" t="s">
        <v>1755</v>
      </c>
      <c r="Q258" t="s">
        <v>1755</v>
      </c>
      <c r="R258" t="s">
        <v>1755</v>
      </c>
      <c r="S258" t="s">
        <v>1755</v>
      </c>
      <c r="T258" t="s">
        <v>1755</v>
      </c>
      <c r="U258" t="s">
        <v>1755</v>
      </c>
      <c r="V258" t="s">
        <v>1755</v>
      </c>
      <c r="W258">
        <v>900</v>
      </c>
      <c r="X258" t="s">
        <v>1755</v>
      </c>
      <c r="Y258">
        <v>46139</v>
      </c>
      <c r="Z258">
        <v>46105</v>
      </c>
      <c r="AA258" t="s">
        <v>1755</v>
      </c>
      <c r="AB258">
        <v>3</v>
      </c>
      <c r="AC258" t="s">
        <v>1755</v>
      </c>
      <c r="AE258">
        <v>0</v>
      </c>
      <c r="AF258" t="s">
        <v>1755</v>
      </c>
      <c r="AI258" t="s">
        <v>1755</v>
      </c>
      <c r="AJ258" t="s">
        <v>1755</v>
      </c>
      <c r="AK258" t="s">
        <v>1755</v>
      </c>
      <c r="AL258" t="s">
        <v>1755</v>
      </c>
      <c r="AM258" t="s">
        <v>1755</v>
      </c>
      <c r="AO258">
        <v>0</v>
      </c>
    </row>
    <row r="259" spans="1:46" x14ac:dyDescent="0.25">
      <c r="A259" t="s">
        <v>1755</v>
      </c>
      <c r="B259" s="19">
        <v>46136</v>
      </c>
      <c r="C259" t="s">
        <v>1510</v>
      </c>
      <c r="D259" t="s">
        <v>1600</v>
      </c>
      <c r="E259" t="s">
        <v>117</v>
      </c>
      <c r="F259" t="s">
        <v>1270</v>
      </c>
      <c r="G259" t="s">
        <v>1755</v>
      </c>
      <c r="I259" t="str">
        <f>CONCATENATE(Inbound___Outbound_Shifting[[#This Row],[Batch '#]],"-",Inbound___Outbound_Shifting[[#This Row],[Exp '# or Key]])</f>
        <v>--</v>
      </c>
      <c r="J259" t="s">
        <v>1755</v>
      </c>
      <c r="K259">
        <v>3</v>
      </c>
      <c r="L259" t="s">
        <v>117</v>
      </c>
      <c r="M259" t="s">
        <v>1755</v>
      </c>
      <c r="N259" t="s">
        <v>1755</v>
      </c>
      <c r="O259" t="s">
        <v>1755</v>
      </c>
      <c r="P259" t="s">
        <v>1755</v>
      </c>
      <c r="Q259" t="s">
        <v>1755</v>
      </c>
      <c r="R259" t="s">
        <v>1755</v>
      </c>
      <c r="S259" t="s">
        <v>1755</v>
      </c>
      <c r="T259" t="s">
        <v>1755</v>
      </c>
      <c r="U259" t="s">
        <v>1755</v>
      </c>
      <c r="V259" t="s">
        <v>1755</v>
      </c>
      <c r="W259">
        <v>6855</v>
      </c>
      <c r="X259" t="s">
        <v>1755</v>
      </c>
      <c r="Y259">
        <v>46139</v>
      </c>
      <c r="Z259">
        <v>46134</v>
      </c>
      <c r="AA259" t="s">
        <v>1755</v>
      </c>
      <c r="AB259">
        <v>3</v>
      </c>
      <c r="AC259" t="s">
        <v>1755</v>
      </c>
      <c r="AE259">
        <v>0</v>
      </c>
      <c r="AF259" t="s">
        <v>1755</v>
      </c>
      <c r="AI259" t="s">
        <v>1755</v>
      </c>
      <c r="AJ259" t="s">
        <v>1755</v>
      </c>
      <c r="AK259" t="s">
        <v>1755</v>
      </c>
      <c r="AL259" t="s">
        <v>1755</v>
      </c>
      <c r="AM259" t="s">
        <v>1755</v>
      </c>
      <c r="AO259">
        <v>0</v>
      </c>
    </row>
    <row r="260" spans="1:46" x14ac:dyDescent="0.25">
      <c r="A260" t="s">
        <v>1755</v>
      </c>
      <c r="B260" s="19">
        <v>46136</v>
      </c>
      <c r="C260" t="s">
        <v>1491</v>
      </c>
      <c r="D260" t="s">
        <v>1600</v>
      </c>
      <c r="E260" t="s">
        <v>117</v>
      </c>
      <c r="F260" t="s">
        <v>41</v>
      </c>
      <c r="G260" t="s">
        <v>1755</v>
      </c>
      <c r="I260" t="str">
        <f>CONCATENATE(Inbound___Outbound_Shifting[[#This Row],[Batch '#]],"-",Inbound___Outbound_Shifting[[#This Row],[Exp '# or Key]])</f>
        <v>--</v>
      </c>
      <c r="J260" t="s">
        <v>1755</v>
      </c>
      <c r="K260">
        <v>1</v>
      </c>
      <c r="L260" t="s">
        <v>117</v>
      </c>
      <c r="M260" t="s">
        <v>1755</v>
      </c>
      <c r="N260" t="s">
        <v>1755</v>
      </c>
      <c r="O260" t="s">
        <v>1755</v>
      </c>
      <c r="P260" t="s">
        <v>1755</v>
      </c>
      <c r="Q260" t="s">
        <v>1755</v>
      </c>
      <c r="R260" t="s">
        <v>1755</v>
      </c>
      <c r="S260" t="s">
        <v>1755</v>
      </c>
      <c r="T260" t="s">
        <v>1755</v>
      </c>
      <c r="U260" t="s">
        <v>1755</v>
      </c>
      <c r="V260" t="s">
        <v>1755</v>
      </c>
      <c r="W260">
        <v>150</v>
      </c>
      <c r="X260" t="s">
        <v>1755</v>
      </c>
      <c r="Y260">
        <v>46139</v>
      </c>
      <c r="Z260">
        <v>46134</v>
      </c>
      <c r="AA260" t="s">
        <v>1755</v>
      </c>
      <c r="AB260">
        <v>3</v>
      </c>
      <c r="AC260" t="s">
        <v>1755</v>
      </c>
      <c r="AE260">
        <v>0</v>
      </c>
      <c r="AF260" t="s">
        <v>1755</v>
      </c>
      <c r="AI260" t="s">
        <v>1755</v>
      </c>
      <c r="AJ260" t="s">
        <v>1755</v>
      </c>
      <c r="AK260" t="s">
        <v>1755</v>
      </c>
      <c r="AL260" t="s">
        <v>1755</v>
      </c>
      <c r="AM260" t="s">
        <v>1755</v>
      </c>
      <c r="AO260">
        <v>0</v>
      </c>
    </row>
    <row r="261" spans="1:46" x14ac:dyDescent="0.25">
      <c r="A261" t="s">
        <v>1755</v>
      </c>
      <c r="B261" s="19">
        <v>46136</v>
      </c>
      <c r="C261" t="s">
        <v>1490</v>
      </c>
      <c r="D261" t="s">
        <v>1600</v>
      </c>
      <c r="E261" t="s">
        <v>117</v>
      </c>
      <c r="F261" t="s">
        <v>41</v>
      </c>
      <c r="G261" t="s">
        <v>1755</v>
      </c>
      <c r="I261" t="str">
        <f>CONCATENATE(Inbound___Outbound_Shifting[[#This Row],[Batch '#]],"-",Inbound___Outbound_Shifting[[#This Row],[Exp '# or Key]])</f>
        <v>--</v>
      </c>
      <c r="J261" t="s">
        <v>1755</v>
      </c>
      <c r="L261" t="s">
        <v>117</v>
      </c>
      <c r="M261" t="s">
        <v>1755</v>
      </c>
      <c r="N261" t="s">
        <v>1755</v>
      </c>
      <c r="O261" t="s">
        <v>1755</v>
      </c>
      <c r="P261" t="s">
        <v>1755</v>
      </c>
      <c r="Q261" t="s">
        <v>1755</v>
      </c>
      <c r="R261" t="s">
        <v>1755</v>
      </c>
      <c r="S261" t="s">
        <v>1755</v>
      </c>
      <c r="T261" t="s">
        <v>1755</v>
      </c>
      <c r="U261" t="s">
        <v>1755</v>
      </c>
      <c r="V261" t="s">
        <v>1755</v>
      </c>
      <c r="W261">
        <v>150</v>
      </c>
      <c r="X261" t="s">
        <v>1755</v>
      </c>
      <c r="Y261">
        <v>46139</v>
      </c>
      <c r="Z261">
        <v>46134</v>
      </c>
      <c r="AA261" t="s">
        <v>1755</v>
      </c>
      <c r="AB261">
        <v>3</v>
      </c>
      <c r="AC261" t="s">
        <v>1755</v>
      </c>
      <c r="AE261">
        <v>0</v>
      </c>
      <c r="AF261" t="s">
        <v>1755</v>
      </c>
      <c r="AI261" t="s">
        <v>1755</v>
      </c>
      <c r="AJ261" t="s">
        <v>1755</v>
      </c>
      <c r="AK261" t="s">
        <v>1755</v>
      </c>
      <c r="AL261" t="s">
        <v>1755</v>
      </c>
      <c r="AM261" t="s">
        <v>1755</v>
      </c>
      <c r="AO261">
        <v>0</v>
      </c>
    </row>
    <row r="262" spans="1:46" x14ac:dyDescent="0.25">
      <c r="A262" t="s">
        <v>1755</v>
      </c>
      <c r="B262" s="19">
        <v>46136</v>
      </c>
      <c r="C262" t="s">
        <v>1489</v>
      </c>
      <c r="D262" t="s">
        <v>1600</v>
      </c>
      <c r="E262" t="s">
        <v>117</v>
      </c>
      <c r="F262" t="s">
        <v>41</v>
      </c>
      <c r="G262" t="s">
        <v>1755</v>
      </c>
      <c r="I262" t="str">
        <f>CONCATENATE(Inbound___Outbound_Shifting[[#This Row],[Batch '#]],"-",Inbound___Outbound_Shifting[[#This Row],[Exp '# or Key]])</f>
        <v>--</v>
      </c>
      <c r="J262" t="s">
        <v>1755</v>
      </c>
      <c r="L262" t="s">
        <v>117</v>
      </c>
      <c r="M262" t="s">
        <v>1755</v>
      </c>
      <c r="N262" t="s">
        <v>1755</v>
      </c>
      <c r="O262" t="s">
        <v>1755</v>
      </c>
      <c r="P262" t="s">
        <v>1755</v>
      </c>
      <c r="Q262" t="s">
        <v>1755</v>
      </c>
      <c r="R262" t="s">
        <v>1755</v>
      </c>
      <c r="S262" t="s">
        <v>1755</v>
      </c>
      <c r="T262" t="s">
        <v>1755</v>
      </c>
      <c r="U262" t="s">
        <v>1755</v>
      </c>
      <c r="V262" t="s">
        <v>1755</v>
      </c>
      <c r="W262">
        <v>150</v>
      </c>
      <c r="X262" t="s">
        <v>1755</v>
      </c>
      <c r="Y262">
        <v>46139</v>
      </c>
      <c r="Z262">
        <v>46134</v>
      </c>
      <c r="AA262" t="s">
        <v>1755</v>
      </c>
      <c r="AB262">
        <v>3</v>
      </c>
      <c r="AC262" t="s">
        <v>1755</v>
      </c>
      <c r="AE262">
        <v>0</v>
      </c>
      <c r="AF262" t="s">
        <v>1755</v>
      </c>
      <c r="AI262" t="s">
        <v>1755</v>
      </c>
      <c r="AJ262" t="s">
        <v>1755</v>
      </c>
      <c r="AK262" t="s">
        <v>1755</v>
      </c>
      <c r="AL262" t="s">
        <v>1755</v>
      </c>
      <c r="AM262" t="s">
        <v>1755</v>
      </c>
      <c r="AO262">
        <v>0</v>
      </c>
    </row>
    <row r="263" spans="1:46" x14ac:dyDescent="0.25">
      <c r="A263" t="s">
        <v>1755</v>
      </c>
      <c r="B263" s="19">
        <v>46136</v>
      </c>
      <c r="C263" t="s">
        <v>1488</v>
      </c>
      <c r="D263" t="s">
        <v>1600</v>
      </c>
      <c r="E263" t="s">
        <v>117</v>
      </c>
      <c r="F263" t="s">
        <v>41</v>
      </c>
      <c r="G263" t="s">
        <v>1755</v>
      </c>
      <c r="I263" t="str">
        <f>CONCATENATE(Inbound___Outbound_Shifting[[#This Row],[Batch '#]],"-",Inbound___Outbound_Shifting[[#This Row],[Exp '# or Key]])</f>
        <v>--</v>
      </c>
      <c r="J263" t="s">
        <v>1755</v>
      </c>
      <c r="K263">
        <v>1</v>
      </c>
      <c r="L263" t="s">
        <v>117</v>
      </c>
      <c r="M263" t="s">
        <v>1755</v>
      </c>
      <c r="N263" t="s">
        <v>1755</v>
      </c>
      <c r="O263" t="s">
        <v>1755</v>
      </c>
      <c r="P263" t="s">
        <v>1755</v>
      </c>
      <c r="Q263" t="s">
        <v>1755</v>
      </c>
      <c r="R263" t="s">
        <v>1755</v>
      </c>
      <c r="S263" t="s">
        <v>1755</v>
      </c>
      <c r="T263" t="s">
        <v>1755</v>
      </c>
      <c r="U263" t="s">
        <v>1755</v>
      </c>
      <c r="V263" t="s">
        <v>1755</v>
      </c>
      <c r="W263">
        <v>200</v>
      </c>
      <c r="X263" t="s">
        <v>1755</v>
      </c>
      <c r="Y263">
        <v>46139</v>
      </c>
      <c r="Z263">
        <v>46134</v>
      </c>
      <c r="AA263" t="s">
        <v>1755</v>
      </c>
      <c r="AB263">
        <v>3</v>
      </c>
      <c r="AC263" t="s">
        <v>1755</v>
      </c>
      <c r="AE263">
        <v>0</v>
      </c>
      <c r="AF263" t="s">
        <v>1755</v>
      </c>
      <c r="AI263" t="s">
        <v>1755</v>
      </c>
      <c r="AJ263" t="s">
        <v>1755</v>
      </c>
      <c r="AK263" t="s">
        <v>1755</v>
      </c>
      <c r="AL263" t="s">
        <v>1755</v>
      </c>
      <c r="AM263" t="s">
        <v>1755</v>
      </c>
      <c r="AO263">
        <v>0</v>
      </c>
    </row>
    <row r="264" spans="1:46" x14ac:dyDescent="0.25">
      <c r="A264" t="s">
        <v>6329</v>
      </c>
      <c r="B264" s="19">
        <v>46136</v>
      </c>
      <c r="C264" t="s">
        <v>730</v>
      </c>
      <c r="D264" t="s">
        <v>6330</v>
      </c>
      <c r="E264" t="s">
        <v>117</v>
      </c>
      <c r="F264" t="s">
        <v>6742</v>
      </c>
      <c r="G264" t="s">
        <v>1755</v>
      </c>
      <c r="I264" t="str">
        <f>CONCATENATE(Inbound___Outbound_Shifting[[#This Row],[Batch '#]],"-",Inbound___Outbound_Shifting[[#This Row],[Exp '# or Key]])</f>
        <v>--</v>
      </c>
      <c r="J264" t="s">
        <v>1755</v>
      </c>
      <c r="K264">
        <v>6</v>
      </c>
      <c r="L264" t="s">
        <v>117</v>
      </c>
      <c r="M264" t="s">
        <v>1268</v>
      </c>
      <c r="N264" t="s">
        <v>1755</v>
      </c>
      <c r="O264" t="s">
        <v>430</v>
      </c>
      <c r="P264" t="s">
        <v>6743</v>
      </c>
      <c r="Q264" t="s">
        <v>732</v>
      </c>
      <c r="R264" t="s">
        <v>6307</v>
      </c>
      <c r="S264" t="s">
        <v>1755</v>
      </c>
      <c r="T264" t="s">
        <v>1755</v>
      </c>
      <c r="U264" t="s">
        <v>1755</v>
      </c>
      <c r="V264" t="s">
        <v>1755</v>
      </c>
      <c r="W264">
        <v>52800</v>
      </c>
      <c r="X264">
        <v>54600</v>
      </c>
      <c r="Y264">
        <v>46139</v>
      </c>
      <c r="Z264">
        <v>46125</v>
      </c>
      <c r="AA264" t="s">
        <v>1755</v>
      </c>
      <c r="AB264">
        <v>3</v>
      </c>
      <c r="AC264">
        <v>236327</v>
      </c>
      <c r="AD264">
        <v>409500</v>
      </c>
      <c r="AE264">
        <v>173173</v>
      </c>
      <c r="AF264" t="s">
        <v>1755</v>
      </c>
      <c r="AG264">
        <v>4.3283333333333331</v>
      </c>
      <c r="AI264" t="s">
        <v>6308</v>
      </c>
      <c r="AJ264" t="s">
        <v>47</v>
      </c>
      <c r="AK264" t="s">
        <v>107</v>
      </c>
      <c r="AL264" t="s">
        <v>107</v>
      </c>
      <c r="AM264" t="s">
        <v>107</v>
      </c>
      <c r="AO264">
        <v>-173173</v>
      </c>
      <c r="AP264">
        <v>0.42288888888888887</v>
      </c>
      <c r="AQ264">
        <v>4.3283333333333331</v>
      </c>
      <c r="AR264" t="s">
        <v>47</v>
      </c>
      <c r="AT264" t="s">
        <v>47</v>
      </c>
    </row>
    <row r="265" spans="1:46" x14ac:dyDescent="0.25">
      <c r="A265" t="s">
        <v>6329</v>
      </c>
      <c r="B265" s="19">
        <v>46137</v>
      </c>
      <c r="C265" t="s">
        <v>730</v>
      </c>
      <c r="D265" t="s">
        <v>6330</v>
      </c>
      <c r="E265" t="s">
        <v>117</v>
      </c>
      <c r="F265" t="s">
        <v>6742</v>
      </c>
      <c r="G265" t="s">
        <v>1755</v>
      </c>
      <c r="I265" t="str">
        <f>CONCATENATE(Inbound___Outbound_Shifting[[#This Row],[Batch '#]],"-",Inbound___Outbound_Shifting[[#This Row],[Exp '# or Key]])</f>
        <v>--</v>
      </c>
      <c r="J265" t="s">
        <v>1755</v>
      </c>
      <c r="K265">
        <v>16</v>
      </c>
      <c r="L265" t="s">
        <v>117</v>
      </c>
      <c r="M265" t="s">
        <v>1268</v>
      </c>
      <c r="N265" t="s">
        <v>1755</v>
      </c>
      <c r="O265" t="s">
        <v>278</v>
      </c>
      <c r="P265" t="s">
        <v>6744</v>
      </c>
      <c r="Q265" t="s">
        <v>6745</v>
      </c>
      <c r="R265" t="s">
        <v>6307</v>
      </c>
      <c r="S265" t="s">
        <v>1755</v>
      </c>
      <c r="T265" t="s">
        <v>1755</v>
      </c>
      <c r="U265" t="s">
        <v>1755</v>
      </c>
      <c r="V265" t="s">
        <v>1755</v>
      </c>
      <c r="W265">
        <v>42075</v>
      </c>
      <c r="X265">
        <v>42075</v>
      </c>
      <c r="Y265">
        <v>46140</v>
      </c>
      <c r="Z265">
        <v>46125</v>
      </c>
      <c r="AA265" t="s">
        <v>1755</v>
      </c>
      <c r="AB265">
        <v>3</v>
      </c>
      <c r="AC265">
        <v>190000</v>
      </c>
      <c r="AD265">
        <v>315562.5</v>
      </c>
      <c r="AE265">
        <v>125562.5</v>
      </c>
      <c r="AF265" t="s">
        <v>1755</v>
      </c>
      <c r="AG265">
        <v>4.5157456922162806</v>
      </c>
      <c r="AI265" t="s">
        <v>6308</v>
      </c>
      <c r="AJ265" t="s">
        <v>47</v>
      </c>
      <c r="AK265" t="s">
        <v>107</v>
      </c>
      <c r="AL265" t="s">
        <v>107</v>
      </c>
      <c r="AM265" t="s">
        <v>107</v>
      </c>
      <c r="AO265">
        <v>-125562.5</v>
      </c>
      <c r="AP265">
        <v>0.39790057437116261</v>
      </c>
      <c r="AQ265">
        <v>4.5157456922162806</v>
      </c>
      <c r="AR265" t="s">
        <v>47</v>
      </c>
      <c r="AT265" t="s">
        <v>47</v>
      </c>
    </row>
    <row r="266" spans="1:46" x14ac:dyDescent="0.25">
      <c r="A266" t="s">
        <v>6329</v>
      </c>
      <c r="B266" s="19">
        <v>46141</v>
      </c>
      <c r="C266" t="s">
        <v>1549</v>
      </c>
      <c r="D266" t="s">
        <v>1596</v>
      </c>
      <c r="E266" t="s">
        <v>117</v>
      </c>
      <c r="F266" t="s">
        <v>1550</v>
      </c>
      <c r="G266" t="s">
        <v>1755</v>
      </c>
      <c r="I266" t="str">
        <f>CONCATENATE(Inbound___Outbound_Shifting[[#This Row],[Batch '#]],"-",Inbound___Outbound_Shifting[[#This Row],[Exp '# or Key]])</f>
        <v>--</v>
      </c>
      <c r="J266" t="s">
        <v>1755</v>
      </c>
      <c r="K266">
        <v>2</v>
      </c>
      <c r="L266" t="s">
        <v>117</v>
      </c>
      <c r="M266" t="s">
        <v>6746</v>
      </c>
      <c r="N266" t="s">
        <v>1755</v>
      </c>
      <c r="O266" t="s">
        <v>767</v>
      </c>
      <c r="P266" t="s">
        <v>6747</v>
      </c>
      <c r="Q266" t="s">
        <v>1551</v>
      </c>
      <c r="R266" t="s">
        <v>6307</v>
      </c>
      <c r="S266" t="s">
        <v>1755</v>
      </c>
      <c r="T266" t="s">
        <v>1755</v>
      </c>
      <c r="U266" t="s">
        <v>1755</v>
      </c>
      <c r="V266" t="s">
        <v>1755</v>
      </c>
      <c r="W266">
        <v>29000</v>
      </c>
      <c r="X266">
        <v>30000</v>
      </c>
      <c r="Y266">
        <v>46141</v>
      </c>
      <c r="Z266">
        <v>46140</v>
      </c>
      <c r="AA266" t="s">
        <v>1755</v>
      </c>
      <c r="AB266">
        <v>0</v>
      </c>
      <c r="AC266">
        <v>107000</v>
      </c>
      <c r="AD266">
        <v>225000</v>
      </c>
      <c r="AE266">
        <v>118000</v>
      </c>
      <c r="AF266" t="s">
        <v>1755</v>
      </c>
      <c r="AG266">
        <v>3.5666666666666669</v>
      </c>
      <c r="AI266" t="s">
        <v>6369</v>
      </c>
      <c r="AJ266" t="s">
        <v>47</v>
      </c>
      <c r="AK266" t="s">
        <v>1755</v>
      </c>
      <c r="AL266" t="s">
        <v>1755</v>
      </c>
      <c r="AM266" t="s">
        <v>1755</v>
      </c>
      <c r="AO266">
        <v>-118000</v>
      </c>
      <c r="AP266">
        <v>0.52444444444444449</v>
      </c>
      <c r="AQ266">
        <v>3.5666666666666669</v>
      </c>
      <c r="AR266" t="s">
        <v>47</v>
      </c>
      <c r="AT266" t="s">
        <v>47</v>
      </c>
    </row>
    <row r="267" spans="1:46" x14ac:dyDescent="0.25">
      <c r="A267" t="s">
        <v>6329</v>
      </c>
      <c r="B267" s="19">
        <v>46141</v>
      </c>
      <c r="C267" t="s">
        <v>1549</v>
      </c>
      <c r="D267" t="s">
        <v>1596</v>
      </c>
      <c r="E267" t="s">
        <v>117</v>
      </c>
      <c r="F267" t="s">
        <v>1550</v>
      </c>
      <c r="G267" t="s">
        <v>1755</v>
      </c>
      <c r="I267" t="str">
        <f>CONCATENATE(Inbound___Outbound_Shifting[[#This Row],[Batch '#]],"-",Inbound___Outbound_Shifting[[#This Row],[Exp '# or Key]])</f>
        <v>--</v>
      </c>
      <c r="J267" t="s">
        <v>1755</v>
      </c>
      <c r="K267">
        <v>2</v>
      </c>
      <c r="L267" t="s">
        <v>117</v>
      </c>
      <c r="M267" t="s">
        <v>6746</v>
      </c>
      <c r="N267" t="s">
        <v>1755</v>
      </c>
      <c r="O267" t="s">
        <v>767</v>
      </c>
      <c r="P267" t="s">
        <v>6748</v>
      </c>
      <c r="Q267" t="s">
        <v>6749</v>
      </c>
      <c r="R267" t="s">
        <v>6307</v>
      </c>
      <c r="S267" t="s">
        <v>1755</v>
      </c>
      <c r="T267" t="s">
        <v>1755</v>
      </c>
      <c r="U267" t="s">
        <v>1755</v>
      </c>
      <c r="V267" t="s">
        <v>1755</v>
      </c>
      <c r="W267">
        <v>29000</v>
      </c>
      <c r="X267">
        <v>30000</v>
      </c>
      <c r="Y267">
        <v>46141</v>
      </c>
      <c r="Z267">
        <v>46140</v>
      </c>
      <c r="AA267" t="s">
        <v>1755</v>
      </c>
      <c r="AB267">
        <v>0</v>
      </c>
      <c r="AC267">
        <v>107000</v>
      </c>
      <c r="AD267">
        <v>225000</v>
      </c>
      <c r="AE267">
        <v>118000</v>
      </c>
      <c r="AF267" t="s">
        <v>1755</v>
      </c>
      <c r="AG267">
        <v>3.5666666666666669</v>
      </c>
      <c r="AI267" t="s">
        <v>6369</v>
      </c>
      <c r="AJ267" t="s">
        <v>47</v>
      </c>
      <c r="AK267" t="s">
        <v>1755</v>
      </c>
      <c r="AL267" t="s">
        <v>1755</v>
      </c>
      <c r="AM267" t="s">
        <v>1755</v>
      </c>
      <c r="AO267">
        <v>-118000</v>
      </c>
      <c r="AP267">
        <v>0.52444444444444449</v>
      </c>
      <c r="AQ267">
        <v>3.5666666666666669</v>
      </c>
      <c r="AR267" t="s">
        <v>47</v>
      </c>
      <c r="AT267" t="s">
        <v>47</v>
      </c>
    </row>
    <row r="268" spans="1:46" x14ac:dyDescent="0.25">
      <c r="A268" t="s">
        <v>6329</v>
      </c>
      <c r="B268" s="19">
        <v>46141</v>
      </c>
      <c r="C268" t="s">
        <v>1294</v>
      </c>
      <c r="D268" t="s">
        <v>1600</v>
      </c>
      <c r="E268" t="s">
        <v>117</v>
      </c>
      <c r="F268" t="s">
        <v>41</v>
      </c>
      <c r="G268" t="s">
        <v>1755</v>
      </c>
      <c r="I268" t="str">
        <f>CONCATENATE(Inbound___Outbound_Shifting[[#This Row],[Batch '#]],"-",Inbound___Outbound_Shifting[[#This Row],[Exp '# or Key]])</f>
        <v>--</v>
      </c>
      <c r="J268" t="s">
        <v>1755</v>
      </c>
      <c r="K268">
        <v>1</v>
      </c>
      <c r="L268" t="s">
        <v>117</v>
      </c>
      <c r="M268" t="s">
        <v>6544</v>
      </c>
      <c r="N268" t="s">
        <v>1755</v>
      </c>
      <c r="O268" t="s">
        <v>767</v>
      </c>
      <c r="P268" t="s">
        <v>6750</v>
      </c>
      <c r="Q268" t="s">
        <v>1295</v>
      </c>
      <c r="R268" t="s">
        <v>6465</v>
      </c>
      <c r="S268" t="s">
        <v>1755</v>
      </c>
      <c r="T268" t="s">
        <v>1755</v>
      </c>
      <c r="U268" t="s">
        <v>1755</v>
      </c>
      <c r="V268" t="s">
        <v>1755</v>
      </c>
      <c r="W268">
        <v>3950</v>
      </c>
      <c r="X268">
        <v>4000</v>
      </c>
      <c r="Y268">
        <v>46141</v>
      </c>
      <c r="Z268">
        <v>46140</v>
      </c>
      <c r="AA268" t="s">
        <v>1755</v>
      </c>
      <c r="AB268">
        <v>0</v>
      </c>
      <c r="AC268">
        <v>90000</v>
      </c>
      <c r="AD268">
        <v>30000</v>
      </c>
      <c r="AE268">
        <v>-60000</v>
      </c>
      <c r="AF268" t="s">
        <v>1755</v>
      </c>
      <c r="AG268">
        <v>22.5</v>
      </c>
      <c r="AI268" t="s">
        <v>6369</v>
      </c>
      <c r="AJ268" t="s">
        <v>47</v>
      </c>
      <c r="AK268" t="s">
        <v>1755</v>
      </c>
      <c r="AL268" t="s">
        <v>1755</v>
      </c>
      <c r="AM268" t="s">
        <v>1755</v>
      </c>
      <c r="AO268">
        <v>60000</v>
      </c>
      <c r="AP268">
        <v>-2</v>
      </c>
      <c r="AQ268">
        <v>22.5</v>
      </c>
      <c r="AR268" t="s">
        <v>47</v>
      </c>
      <c r="AT268" t="s">
        <v>47</v>
      </c>
    </row>
    <row r="269" spans="1:46" x14ac:dyDescent="0.25">
      <c r="A269" t="s">
        <v>6300</v>
      </c>
      <c r="B269" s="19">
        <v>46142</v>
      </c>
      <c r="C269" t="s">
        <v>6751</v>
      </c>
      <c r="D269" t="s">
        <v>6302</v>
      </c>
      <c r="E269" t="s">
        <v>6086</v>
      </c>
      <c r="F269" t="s">
        <v>1371</v>
      </c>
      <c r="G269" t="s">
        <v>1755</v>
      </c>
      <c r="I269" t="str">
        <f>CONCATENATE(Inbound___Outbound_Shifting[[#This Row],[Batch '#]],"-",Inbound___Outbound_Shifting[[#This Row],[Exp '# or Key]])</f>
        <v>--</v>
      </c>
      <c r="J269" t="s">
        <v>6752</v>
      </c>
      <c r="K269" t="s">
        <v>6395</v>
      </c>
      <c r="L269" t="s">
        <v>1755</v>
      </c>
      <c r="M269" t="s">
        <v>1755</v>
      </c>
      <c r="N269" t="s">
        <v>1755</v>
      </c>
      <c r="O269" t="s">
        <v>6631</v>
      </c>
      <c r="P269" t="s">
        <v>6753</v>
      </c>
      <c r="Q269" t="s">
        <v>6754</v>
      </c>
      <c r="R269" t="s">
        <v>6535</v>
      </c>
      <c r="S269">
        <v>1</v>
      </c>
      <c r="T269" t="s">
        <v>6755</v>
      </c>
      <c r="U269">
        <v>1</v>
      </c>
      <c r="V269" t="s">
        <v>1755</v>
      </c>
      <c r="W269">
        <v>21025</v>
      </c>
      <c r="X269">
        <v>46333</v>
      </c>
      <c r="Y269">
        <v>46146</v>
      </c>
      <c r="Z269" t="s">
        <v>1755</v>
      </c>
      <c r="AA269" t="s">
        <v>1755</v>
      </c>
      <c r="AB269">
        <v>4</v>
      </c>
      <c r="AC269">
        <v>480000</v>
      </c>
      <c r="AD269">
        <v>694995</v>
      </c>
      <c r="AE269">
        <v>214995</v>
      </c>
      <c r="AF269" t="s">
        <v>1755</v>
      </c>
      <c r="AG269">
        <v>10.359786761055835</v>
      </c>
      <c r="AH269">
        <v>393.76538146021329</v>
      </c>
      <c r="AI269" t="s">
        <v>6308</v>
      </c>
      <c r="AJ269" t="s">
        <v>47</v>
      </c>
      <c r="AK269" t="s">
        <v>107</v>
      </c>
      <c r="AL269" t="s">
        <v>107</v>
      </c>
      <c r="AM269" t="s">
        <v>107</v>
      </c>
      <c r="AO269">
        <v>-214995</v>
      </c>
      <c r="AP269">
        <v>0.30934754926294433</v>
      </c>
      <c r="AQ269">
        <v>10.359786761055835</v>
      </c>
      <c r="AR269" t="s">
        <v>47</v>
      </c>
      <c r="AT269" t="s">
        <v>47</v>
      </c>
    </row>
    <row r="270" spans="1:46" x14ac:dyDescent="0.25">
      <c r="A270" t="s">
        <v>1755</v>
      </c>
      <c r="B270" s="19">
        <v>46142</v>
      </c>
      <c r="C270" t="s">
        <v>6751</v>
      </c>
      <c r="D270" t="s">
        <v>6302</v>
      </c>
      <c r="E270" t="s">
        <v>6086</v>
      </c>
      <c r="F270" t="s">
        <v>1371</v>
      </c>
      <c r="G270" t="s">
        <v>1755</v>
      </c>
      <c r="I270" t="str">
        <f>CONCATENATE(Inbound___Outbound_Shifting[[#This Row],[Batch '#]],"-",Inbound___Outbound_Shifting[[#This Row],[Exp '# or Key]])</f>
        <v>--</v>
      </c>
      <c r="J270" t="s">
        <v>6752</v>
      </c>
      <c r="K270" t="s">
        <v>6395</v>
      </c>
      <c r="L270" t="s">
        <v>1755</v>
      </c>
      <c r="M270" t="s">
        <v>1755</v>
      </c>
      <c r="N270" t="s">
        <v>1755</v>
      </c>
      <c r="O270" t="s">
        <v>1755</v>
      </c>
      <c r="P270" t="s">
        <v>1755</v>
      </c>
      <c r="Q270" t="s">
        <v>1755</v>
      </c>
      <c r="R270" t="s">
        <v>1755</v>
      </c>
      <c r="S270" t="s">
        <v>1755</v>
      </c>
      <c r="T270" t="s">
        <v>6756</v>
      </c>
      <c r="U270">
        <v>1</v>
      </c>
      <c r="V270" t="s">
        <v>1755</v>
      </c>
      <c r="W270">
        <v>20808</v>
      </c>
      <c r="X270" t="s">
        <v>1755</v>
      </c>
      <c r="Y270">
        <v>46146</v>
      </c>
      <c r="Z270" t="s">
        <v>1755</v>
      </c>
      <c r="AA270" t="s">
        <v>1755</v>
      </c>
      <c r="AB270">
        <v>4</v>
      </c>
      <c r="AC270" t="s">
        <v>1755</v>
      </c>
      <c r="AE270">
        <v>0</v>
      </c>
      <c r="AF270" t="s">
        <v>1755</v>
      </c>
      <c r="AI270" t="s">
        <v>1755</v>
      </c>
      <c r="AJ270" t="s">
        <v>1755</v>
      </c>
      <c r="AK270" t="s">
        <v>1755</v>
      </c>
      <c r="AL270" t="s">
        <v>1755</v>
      </c>
      <c r="AM270" t="s">
        <v>1755</v>
      </c>
      <c r="AO270">
        <v>0</v>
      </c>
    </row>
    <row r="271" spans="1:46" x14ac:dyDescent="0.25">
      <c r="A271" t="s">
        <v>6300</v>
      </c>
      <c r="B271" s="19">
        <v>46142</v>
      </c>
      <c r="C271" t="s">
        <v>6751</v>
      </c>
      <c r="D271" t="s">
        <v>6302</v>
      </c>
      <c r="E271" t="s">
        <v>6086</v>
      </c>
      <c r="F271" t="s">
        <v>1371</v>
      </c>
      <c r="G271" t="s">
        <v>1755</v>
      </c>
      <c r="I271" t="str">
        <f>CONCATENATE(Inbound___Outbound_Shifting[[#This Row],[Batch '#]],"-",Inbound___Outbound_Shifting[[#This Row],[Exp '# or Key]])</f>
        <v>--</v>
      </c>
      <c r="J271" t="s">
        <v>6752</v>
      </c>
      <c r="K271" t="s">
        <v>6395</v>
      </c>
      <c r="L271" t="s">
        <v>1755</v>
      </c>
      <c r="M271" t="s">
        <v>1755</v>
      </c>
      <c r="N271" t="s">
        <v>1755</v>
      </c>
      <c r="O271" t="s">
        <v>6631</v>
      </c>
      <c r="P271" t="s">
        <v>6757</v>
      </c>
      <c r="Q271" t="s">
        <v>6758</v>
      </c>
      <c r="R271" t="s">
        <v>6560</v>
      </c>
      <c r="S271">
        <v>1</v>
      </c>
      <c r="T271" t="s">
        <v>6759</v>
      </c>
      <c r="U271">
        <v>1</v>
      </c>
      <c r="V271" t="s">
        <v>1755</v>
      </c>
      <c r="W271">
        <v>21034</v>
      </c>
      <c r="X271">
        <v>23534</v>
      </c>
      <c r="Y271">
        <v>46146</v>
      </c>
      <c r="Z271" t="s">
        <v>1755</v>
      </c>
      <c r="AA271" t="s">
        <v>1755</v>
      </c>
      <c r="AB271">
        <v>4</v>
      </c>
      <c r="AC271">
        <v>265000</v>
      </c>
      <c r="AD271">
        <v>353010</v>
      </c>
      <c r="AE271">
        <v>88010</v>
      </c>
      <c r="AF271" t="s">
        <v>1755</v>
      </c>
      <c r="AG271">
        <v>11.260304240673069</v>
      </c>
      <c r="AH271">
        <v>217.39130434782609</v>
      </c>
      <c r="AI271" t="s">
        <v>6308</v>
      </c>
      <c r="AJ271" t="s">
        <v>47</v>
      </c>
      <c r="AK271" t="s">
        <v>107</v>
      </c>
      <c r="AL271" t="s">
        <v>107</v>
      </c>
      <c r="AM271" t="s">
        <v>107</v>
      </c>
      <c r="AO271">
        <v>-88010</v>
      </c>
      <c r="AP271">
        <v>0.24931305062179543</v>
      </c>
      <c r="AQ271">
        <v>11.260304240673069</v>
      </c>
      <c r="AR271" t="s">
        <v>47</v>
      </c>
      <c r="AT271" t="s">
        <v>47</v>
      </c>
    </row>
    <row r="272" spans="1:46" x14ac:dyDescent="0.25">
      <c r="A272" t="s">
        <v>6300</v>
      </c>
      <c r="B272" s="19">
        <v>46142</v>
      </c>
      <c r="C272" t="s">
        <v>6760</v>
      </c>
      <c r="D272" t="s">
        <v>6302</v>
      </c>
      <c r="E272" t="s">
        <v>6086</v>
      </c>
      <c r="F272" t="s">
        <v>1371</v>
      </c>
      <c r="G272" t="s">
        <v>1755</v>
      </c>
      <c r="I272" t="str">
        <f>CONCATENATE(Inbound___Outbound_Shifting[[#This Row],[Batch '#]],"-",Inbound___Outbound_Shifting[[#This Row],[Exp '# or Key]])</f>
        <v>--</v>
      </c>
      <c r="J272" t="s">
        <v>6761</v>
      </c>
      <c r="K272" t="s">
        <v>6395</v>
      </c>
      <c r="L272" t="s">
        <v>1755</v>
      </c>
      <c r="M272" t="s">
        <v>1755</v>
      </c>
      <c r="N272" t="s">
        <v>1755</v>
      </c>
      <c r="O272" t="s">
        <v>6341</v>
      </c>
      <c r="P272" t="s">
        <v>6762</v>
      </c>
      <c r="Q272" t="s">
        <v>6763</v>
      </c>
      <c r="R272" t="s">
        <v>6535</v>
      </c>
      <c r="S272">
        <v>1</v>
      </c>
      <c r="T272" t="s">
        <v>6764</v>
      </c>
      <c r="U272">
        <v>1</v>
      </c>
      <c r="V272" t="s">
        <v>1755</v>
      </c>
      <c r="W272">
        <v>17160</v>
      </c>
      <c r="X272">
        <v>37680</v>
      </c>
      <c r="Y272">
        <v>46146</v>
      </c>
      <c r="Z272" t="s">
        <v>1755</v>
      </c>
      <c r="AA272" t="s">
        <v>1755</v>
      </c>
      <c r="AB272">
        <v>4</v>
      </c>
      <c r="AC272">
        <v>475000</v>
      </c>
      <c r="AD272">
        <v>565200</v>
      </c>
      <c r="AE272">
        <v>90200</v>
      </c>
      <c r="AF272" t="s">
        <v>1755</v>
      </c>
      <c r="AG272">
        <v>12.606157112526539</v>
      </c>
      <c r="AH272">
        <v>389.66365873666939</v>
      </c>
      <c r="AI272" t="s">
        <v>6308</v>
      </c>
      <c r="AJ272" t="s">
        <v>47</v>
      </c>
      <c r="AK272" t="s">
        <v>107</v>
      </c>
      <c r="AL272" t="s">
        <v>107</v>
      </c>
      <c r="AM272" t="s">
        <v>107</v>
      </c>
      <c r="AO272">
        <v>-90200</v>
      </c>
      <c r="AP272">
        <v>0.15958952583156405</v>
      </c>
      <c r="AQ272">
        <v>12.606157112526539</v>
      </c>
      <c r="AR272" t="s">
        <v>47</v>
      </c>
      <c r="AT272" t="s">
        <v>47</v>
      </c>
    </row>
    <row r="273" spans="1:46" x14ac:dyDescent="0.25">
      <c r="A273" t="s">
        <v>1755</v>
      </c>
      <c r="B273" s="19">
        <v>46142</v>
      </c>
      <c r="C273" t="s">
        <v>6760</v>
      </c>
      <c r="D273" t="s">
        <v>6302</v>
      </c>
      <c r="E273" t="s">
        <v>6086</v>
      </c>
      <c r="F273" t="s">
        <v>1371</v>
      </c>
      <c r="G273" t="s">
        <v>1755</v>
      </c>
      <c r="I273" t="str">
        <f>CONCATENATE(Inbound___Outbound_Shifting[[#This Row],[Batch '#]],"-",Inbound___Outbound_Shifting[[#This Row],[Exp '# or Key]])</f>
        <v>--</v>
      </c>
      <c r="J273" t="s">
        <v>6761</v>
      </c>
      <c r="K273" t="s">
        <v>6395</v>
      </c>
      <c r="L273" t="s">
        <v>1755</v>
      </c>
      <c r="M273" t="s">
        <v>1755</v>
      </c>
      <c r="N273" t="s">
        <v>1755</v>
      </c>
      <c r="O273" t="s">
        <v>1755</v>
      </c>
      <c r="P273" t="s">
        <v>1755</v>
      </c>
      <c r="Q273" t="s">
        <v>1755</v>
      </c>
      <c r="R273" t="s">
        <v>1755</v>
      </c>
      <c r="S273" t="s">
        <v>1755</v>
      </c>
      <c r="T273" t="s">
        <v>6765</v>
      </c>
      <c r="U273">
        <v>1</v>
      </c>
      <c r="V273" t="s">
        <v>1755</v>
      </c>
      <c r="W273">
        <v>16020</v>
      </c>
      <c r="X273" t="s">
        <v>1755</v>
      </c>
      <c r="Y273">
        <v>46146</v>
      </c>
      <c r="Z273" t="s">
        <v>1755</v>
      </c>
      <c r="AA273" t="s">
        <v>1755</v>
      </c>
      <c r="AB273">
        <v>4</v>
      </c>
      <c r="AC273" t="s">
        <v>1755</v>
      </c>
      <c r="AE273">
        <v>0</v>
      </c>
      <c r="AF273" t="s">
        <v>1755</v>
      </c>
      <c r="AI273" t="s">
        <v>1755</v>
      </c>
      <c r="AJ273" t="s">
        <v>1755</v>
      </c>
      <c r="AK273" t="s">
        <v>1755</v>
      </c>
      <c r="AL273" t="s">
        <v>1755</v>
      </c>
      <c r="AM273" t="s">
        <v>1755</v>
      </c>
      <c r="AO273">
        <v>0</v>
      </c>
    </row>
    <row r="274" spans="1:46" x14ac:dyDescent="0.25">
      <c r="A274" t="s">
        <v>6300</v>
      </c>
      <c r="B274" s="19">
        <v>46142</v>
      </c>
      <c r="C274" t="s">
        <v>6760</v>
      </c>
      <c r="D274" t="s">
        <v>6302</v>
      </c>
      <c r="E274" t="s">
        <v>6086</v>
      </c>
      <c r="F274" t="s">
        <v>1371</v>
      </c>
      <c r="G274" t="s">
        <v>1755</v>
      </c>
      <c r="I274" t="str">
        <f>CONCATENATE(Inbound___Outbound_Shifting[[#This Row],[Batch '#]],"-",Inbound___Outbound_Shifting[[#This Row],[Exp '# or Key]])</f>
        <v>--</v>
      </c>
      <c r="J274" t="s">
        <v>6761</v>
      </c>
      <c r="K274" t="s">
        <v>6395</v>
      </c>
      <c r="L274" t="s">
        <v>1755</v>
      </c>
      <c r="M274" t="s">
        <v>1755</v>
      </c>
      <c r="N274" t="s">
        <v>1755</v>
      </c>
      <c r="O274" t="s">
        <v>6341</v>
      </c>
      <c r="P274" t="s">
        <v>6766</v>
      </c>
      <c r="Q274" t="s">
        <v>6767</v>
      </c>
      <c r="R274" t="s">
        <v>6535</v>
      </c>
      <c r="S274">
        <v>1</v>
      </c>
      <c r="T274" t="s">
        <v>6768</v>
      </c>
      <c r="U274">
        <v>1</v>
      </c>
      <c r="V274" t="s">
        <v>1755</v>
      </c>
      <c r="W274">
        <v>16000</v>
      </c>
      <c r="X274">
        <v>37280</v>
      </c>
      <c r="Y274">
        <v>46146</v>
      </c>
      <c r="Z274" t="s">
        <v>1755</v>
      </c>
      <c r="AA274" t="s">
        <v>1755</v>
      </c>
      <c r="AB274">
        <v>4</v>
      </c>
      <c r="AC274">
        <v>475000</v>
      </c>
      <c r="AD274">
        <v>559200</v>
      </c>
      <c r="AE274">
        <v>84200</v>
      </c>
      <c r="AF274" t="s">
        <v>1755</v>
      </c>
      <c r="AG274">
        <v>12.741416309012875</v>
      </c>
      <c r="AH274">
        <v>389.66365873666939</v>
      </c>
      <c r="AI274" t="s">
        <v>6308</v>
      </c>
      <c r="AJ274" t="s">
        <v>47</v>
      </c>
      <c r="AK274" t="s">
        <v>107</v>
      </c>
      <c r="AL274" t="s">
        <v>107</v>
      </c>
      <c r="AM274" t="s">
        <v>107</v>
      </c>
      <c r="AO274">
        <v>-84200</v>
      </c>
      <c r="AP274">
        <v>0.1505722460658083</v>
      </c>
      <c r="AQ274">
        <v>12.741416309012875</v>
      </c>
      <c r="AR274" t="s">
        <v>47</v>
      </c>
      <c r="AT274" t="s">
        <v>47</v>
      </c>
    </row>
    <row r="275" spans="1:46" x14ac:dyDescent="0.25">
      <c r="A275" t="s">
        <v>1755</v>
      </c>
      <c r="B275" s="19">
        <v>46142</v>
      </c>
      <c r="C275" t="s">
        <v>6760</v>
      </c>
      <c r="D275" t="s">
        <v>6302</v>
      </c>
      <c r="E275" t="s">
        <v>6086</v>
      </c>
      <c r="F275" t="s">
        <v>1371</v>
      </c>
      <c r="G275" t="s">
        <v>1755</v>
      </c>
      <c r="I275" t="str">
        <f>CONCATENATE(Inbound___Outbound_Shifting[[#This Row],[Batch '#]],"-",Inbound___Outbound_Shifting[[#This Row],[Exp '# or Key]])</f>
        <v>--</v>
      </c>
      <c r="J275" t="s">
        <v>6761</v>
      </c>
      <c r="K275" t="s">
        <v>6395</v>
      </c>
      <c r="L275" t="s">
        <v>1755</v>
      </c>
      <c r="M275" t="s">
        <v>1755</v>
      </c>
      <c r="N275" t="s">
        <v>1755</v>
      </c>
      <c r="O275" t="s">
        <v>1755</v>
      </c>
      <c r="P275" t="s">
        <v>1755</v>
      </c>
      <c r="Q275" t="s">
        <v>1755</v>
      </c>
      <c r="R275" t="s">
        <v>1755</v>
      </c>
      <c r="S275" t="s">
        <v>1755</v>
      </c>
      <c r="T275" t="s">
        <v>6769</v>
      </c>
      <c r="U275">
        <v>1</v>
      </c>
      <c r="V275" t="s">
        <v>1755</v>
      </c>
      <c r="W275">
        <v>16780</v>
      </c>
      <c r="X275" t="s">
        <v>1755</v>
      </c>
      <c r="Y275">
        <v>46146</v>
      </c>
      <c r="Z275" t="s">
        <v>1755</v>
      </c>
      <c r="AA275" t="s">
        <v>1755</v>
      </c>
      <c r="AB275">
        <v>4</v>
      </c>
      <c r="AC275" t="s">
        <v>1755</v>
      </c>
      <c r="AE275">
        <v>0</v>
      </c>
      <c r="AF275" t="s">
        <v>1755</v>
      </c>
      <c r="AI275" t="s">
        <v>1755</v>
      </c>
      <c r="AJ275" t="s">
        <v>1755</v>
      </c>
      <c r="AK275" t="s">
        <v>1755</v>
      </c>
      <c r="AL275" t="s">
        <v>1755</v>
      </c>
      <c r="AM275" t="s">
        <v>1755</v>
      </c>
      <c r="AO275">
        <v>0</v>
      </c>
    </row>
    <row r="276" spans="1:46" x14ac:dyDescent="0.25">
      <c r="A276" t="s">
        <v>6300</v>
      </c>
      <c r="B276" s="19">
        <v>46142</v>
      </c>
      <c r="C276" t="s">
        <v>6760</v>
      </c>
      <c r="D276" t="s">
        <v>6302</v>
      </c>
      <c r="E276" t="s">
        <v>6086</v>
      </c>
      <c r="F276" t="s">
        <v>1371</v>
      </c>
      <c r="G276" t="s">
        <v>1755</v>
      </c>
      <c r="I276" t="str">
        <f>CONCATENATE(Inbound___Outbound_Shifting[[#This Row],[Batch '#]],"-",Inbound___Outbound_Shifting[[#This Row],[Exp '# or Key]])</f>
        <v>--</v>
      </c>
      <c r="J276" t="s">
        <v>6761</v>
      </c>
      <c r="K276" t="s">
        <v>6395</v>
      </c>
      <c r="L276" t="s">
        <v>1755</v>
      </c>
      <c r="M276" t="s">
        <v>1755</v>
      </c>
      <c r="N276" t="s">
        <v>1755</v>
      </c>
      <c r="O276" t="s">
        <v>6341</v>
      </c>
      <c r="P276" t="s">
        <v>6770</v>
      </c>
      <c r="Q276" t="s">
        <v>6771</v>
      </c>
      <c r="R276" t="s">
        <v>6535</v>
      </c>
      <c r="S276">
        <v>1</v>
      </c>
      <c r="T276" t="s">
        <v>6772</v>
      </c>
      <c r="U276">
        <v>1</v>
      </c>
      <c r="V276" t="s">
        <v>1755</v>
      </c>
      <c r="W276">
        <v>16600</v>
      </c>
      <c r="X276">
        <v>37020</v>
      </c>
      <c r="Y276">
        <v>46146</v>
      </c>
      <c r="Z276" t="s">
        <v>1755</v>
      </c>
      <c r="AA276" t="s">
        <v>1755</v>
      </c>
      <c r="AB276">
        <v>4</v>
      </c>
      <c r="AC276">
        <v>475000</v>
      </c>
      <c r="AD276">
        <v>555300</v>
      </c>
      <c r="AE276">
        <v>80300</v>
      </c>
      <c r="AF276" t="s">
        <v>1755</v>
      </c>
      <c r="AG276">
        <v>12.830902215018909</v>
      </c>
      <c r="AH276">
        <v>389.66365873666939</v>
      </c>
      <c r="AI276" t="s">
        <v>6308</v>
      </c>
      <c r="AJ276" t="s">
        <v>47</v>
      </c>
      <c r="AK276" t="s">
        <v>107</v>
      </c>
      <c r="AL276" t="s">
        <v>107</v>
      </c>
      <c r="AM276" t="s">
        <v>107</v>
      </c>
      <c r="AO276">
        <v>-80300</v>
      </c>
      <c r="AP276">
        <v>0.14460651899873941</v>
      </c>
      <c r="AQ276">
        <v>12.830902215018909</v>
      </c>
      <c r="AR276" t="s">
        <v>47</v>
      </c>
      <c r="AT276" t="s">
        <v>47</v>
      </c>
    </row>
    <row r="277" spans="1:46" x14ac:dyDescent="0.25">
      <c r="A277" t="s">
        <v>1755</v>
      </c>
      <c r="B277" s="19">
        <v>46142</v>
      </c>
      <c r="C277" t="s">
        <v>6760</v>
      </c>
      <c r="D277" t="s">
        <v>6302</v>
      </c>
      <c r="E277" t="s">
        <v>6086</v>
      </c>
      <c r="F277" t="s">
        <v>1371</v>
      </c>
      <c r="G277" t="s">
        <v>1755</v>
      </c>
      <c r="I277" t="str">
        <f>CONCATENATE(Inbound___Outbound_Shifting[[#This Row],[Batch '#]],"-",Inbound___Outbound_Shifting[[#This Row],[Exp '# or Key]])</f>
        <v>--</v>
      </c>
      <c r="J277" t="s">
        <v>6761</v>
      </c>
      <c r="K277" t="s">
        <v>6395</v>
      </c>
      <c r="L277" t="s">
        <v>1755</v>
      </c>
      <c r="M277" t="s">
        <v>1755</v>
      </c>
      <c r="N277" t="s">
        <v>1755</v>
      </c>
      <c r="O277" t="s">
        <v>1755</v>
      </c>
      <c r="P277" t="s">
        <v>1755</v>
      </c>
      <c r="Q277" t="s">
        <v>1755</v>
      </c>
      <c r="R277" t="s">
        <v>1755</v>
      </c>
      <c r="S277" t="s">
        <v>1755</v>
      </c>
      <c r="T277" t="s">
        <v>6773</v>
      </c>
      <c r="U277">
        <v>1</v>
      </c>
      <c r="V277" t="s">
        <v>1755</v>
      </c>
      <c r="W277">
        <v>16120</v>
      </c>
      <c r="X277" t="s">
        <v>1755</v>
      </c>
      <c r="Y277">
        <v>46146</v>
      </c>
      <c r="Z277" t="s">
        <v>1755</v>
      </c>
      <c r="AA277" t="s">
        <v>1755</v>
      </c>
      <c r="AB277">
        <v>4</v>
      </c>
      <c r="AC277" t="s">
        <v>1755</v>
      </c>
      <c r="AE277">
        <v>0</v>
      </c>
      <c r="AF277" t="s">
        <v>1755</v>
      </c>
      <c r="AI277" t="s">
        <v>1755</v>
      </c>
      <c r="AJ277" t="s">
        <v>1755</v>
      </c>
      <c r="AK277" t="s">
        <v>1755</v>
      </c>
      <c r="AL277" t="s">
        <v>1755</v>
      </c>
      <c r="AM277" t="s">
        <v>1755</v>
      </c>
      <c r="AO277">
        <v>0</v>
      </c>
    </row>
    <row r="278" spans="1:46" x14ac:dyDescent="0.25">
      <c r="A278" t="s">
        <v>6300</v>
      </c>
      <c r="B278" s="19">
        <v>46142</v>
      </c>
      <c r="C278" t="s">
        <v>6760</v>
      </c>
      <c r="D278" t="s">
        <v>6302</v>
      </c>
      <c r="E278" t="s">
        <v>6086</v>
      </c>
      <c r="F278" t="s">
        <v>1371</v>
      </c>
      <c r="G278" t="s">
        <v>1755</v>
      </c>
      <c r="I278" t="str">
        <f>CONCATENATE(Inbound___Outbound_Shifting[[#This Row],[Batch '#]],"-",Inbound___Outbound_Shifting[[#This Row],[Exp '# or Key]])</f>
        <v>--</v>
      </c>
      <c r="J278" t="s">
        <v>6761</v>
      </c>
      <c r="K278" t="s">
        <v>6395</v>
      </c>
      <c r="L278" t="s">
        <v>1755</v>
      </c>
      <c r="M278" t="s">
        <v>1755</v>
      </c>
      <c r="N278" t="s">
        <v>1755</v>
      </c>
      <c r="O278" t="s">
        <v>6341</v>
      </c>
      <c r="P278" t="s">
        <v>6774</v>
      </c>
      <c r="Q278" t="s">
        <v>6775</v>
      </c>
      <c r="R278" t="s">
        <v>6560</v>
      </c>
      <c r="S278">
        <v>1</v>
      </c>
      <c r="T278" t="s">
        <v>6776</v>
      </c>
      <c r="U278">
        <v>1</v>
      </c>
      <c r="V278" t="s">
        <v>1755</v>
      </c>
      <c r="W278">
        <v>17200</v>
      </c>
      <c r="X278">
        <v>19520</v>
      </c>
      <c r="Y278">
        <v>46146</v>
      </c>
      <c r="Z278" t="s">
        <v>1755</v>
      </c>
      <c r="AA278" t="s">
        <v>1755</v>
      </c>
      <c r="AB278">
        <v>4</v>
      </c>
      <c r="AC278">
        <v>255000</v>
      </c>
      <c r="AD278">
        <v>292800</v>
      </c>
      <c r="AE278">
        <v>37800</v>
      </c>
      <c r="AF278" t="s">
        <v>1755</v>
      </c>
      <c r="AG278">
        <v>13.063524590163935</v>
      </c>
      <c r="AH278">
        <v>209.18785890073832</v>
      </c>
      <c r="AI278" t="s">
        <v>6308</v>
      </c>
      <c r="AJ278" t="s">
        <v>47</v>
      </c>
      <c r="AK278" t="s">
        <v>107</v>
      </c>
      <c r="AL278" t="s">
        <v>107</v>
      </c>
      <c r="AM278" t="s">
        <v>107</v>
      </c>
      <c r="AO278">
        <v>-37800</v>
      </c>
      <c r="AP278">
        <v>0.12909836065573771</v>
      </c>
      <c r="AQ278">
        <v>13.063524590163935</v>
      </c>
      <c r="AR278" t="s">
        <v>47</v>
      </c>
      <c r="AT278" t="s">
        <v>47</v>
      </c>
    </row>
    <row r="279" spans="1:46" x14ac:dyDescent="0.25">
      <c r="A279" t="s">
        <v>6329</v>
      </c>
      <c r="B279" s="19">
        <v>46144</v>
      </c>
      <c r="C279" t="s">
        <v>923</v>
      </c>
      <c r="D279" t="s">
        <v>6330</v>
      </c>
      <c r="E279" t="s">
        <v>117</v>
      </c>
      <c r="F279" t="s">
        <v>844</v>
      </c>
      <c r="G279" t="s">
        <v>1755</v>
      </c>
      <c r="I279" t="str">
        <f>CONCATENATE(Inbound___Outbound_Shifting[[#This Row],[Batch '#]],"-",Inbound___Outbound_Shifting[[#This Row],[Exp '# or Key]])</f>
        <v>--</v>
      </c>
      <c r="J279" t="s">
        <v>1755</v>
      </c>
      <c r="K279">
        <v>1</v>
      </c>
      <c r="L279" t="s">
        <v>117</v>
      </c>
      <c r="M279" t="s">
        <v>1268</v>
      </c>
      <c r="N279" t="s">
        <v>1755</v>
      </c>
      <c r="O279" t="s">
        <v>430</v>
      </c>
      <c r="P279" t="s">
        <v>6777</v>
      </c>
      <c r="Q279" t="s">
        <v>926</v>
      </c>
      <c r="R279" t="s">
        <v>6307</v>
      </c>
      <c r="S279" t="s">
        <v>1755</v>
      </c>
      <c r="T279" t="s">
        <v>1755</v>
      </c>
      <c r="U279" t="s">
        <v>1755</v>
      </c>
      <c r="V279" t="s">
        <v>1755</v>
      </c>
      <c r="W279">
        <v>800</v>
      </c>
      <c r="X279">
        <v>3065</v>
      </c>
      <c r="Y279">
        <v>46058</v>
      </c>
      <c r="Z279">
        <v>46136</v>
      </c>
      <c r="AA279" t="s">
        <v>1755</v>
      </c>
      <c r="AB279">
        <v>-86</v>
      </c>
      <c r="AC279">
        <v>98450</v>
      </c>
      <c r="AD279">
        <v>22987.5</v>
      </c>
      <c r="AE279">
        <v>-75462.5</v>
      </c>
      <c r="AF279" t="s">
        <v>1755</v>
      </c>
      <c r="AG279">
        <v>32.120717781402938</v>
      </c>
      <c r="AI279" t="s">
        <v>6308</v>
      </c>
      <c r="AJ279" t="s">
        <v>47</v>
      </c>
      <c r="AK279" t="s">
        <v>1755</v>
      </c>
      <c r="AL279" t="s">
        <v>1755</v>
      </c>
      <c r="AM279" t="s">
        <v>1755</v>
      </c>
      <c r="AO279">
        <v>75462.5</v>
      </c>
      <c r="AP279">
        <v>-3.282762370853725</v>
      </c>
      <c r="AQ279">
        <v>32.120717781402938</v>
      </c>
      <c r="AR279" t="s">
        <v>47</v>
      </c>
      <c r="AT279" t="s">
        <v>47</v>
      </c>
    </row>
    <row r="280" spans="1:46" x14ac:dyDescent="0.25">
      <c r="A280" t="s">
        <v>1755</v>
      </c>
      <c r="B280" s="19">
        <v>46144</v>
      </c>
      <c r="C280" t="s">
        <v>916</v>
      </c>
      <c r="D280" t="s">
        <v>6330</v>
      </c>
      <c r="E280" t="s">
        <v>1755</v>
      </c>
      <c r="F280" t="s">
        <v>917</v>
      </c>
      <c r="G280" t="s">
        <v>1755</v>
      </c>
      <c r="I280" t="str">
        <f>CONCATENATE(Inbound___Outbound_Shifting[[#This Row],[Batch '#]],"-",Inbound___Outbound_Shifting[[#This Row],[Exp '# or Key]])</f>
        <v>--</v>
      </c>
      <c r="J280" t="s">
        <v>1755</v>
      </c>
      <c r="K280">
        <v>2</v>
      </c>
      <c r="L280" t="s">
        <v>1755</v>
      </c>
      <c r="M280" t="s">
        <v>1755</v>
      </c>
      <c r="N280" t="s">
        <v>1755</v>
      </c>
      <c r="O280" t="s">
        <v>1755</v>
      </c>
      <c r="P280" t="s">
        <v>1755</v>
      </c>
      <c r="Q280" t="s">
        <v>1755</v>
      </c>
      <c r="R280" t="s">
        <v>1755</v>
      </c>
      <c r="S280" t="s">
        <v>1755</v>
      </c>
      <c r="T280" t="s">
        <v>1755</v>
      </c>
      <c r="U280" t="s">
        <v>1755</v>
      </c>
      <c r="V280" t="s">
        <v>1755</v>
      </c>
      <c r="W280">
        <v>1150</v>
      </c>
      <c r="X280" t="s">
        <v>1755</v>
      </c>
      <c r="Y280">
        <v>46058</v>
      </c>
      <c r="Z280">
        <v>46136</v>
      </c>
      <c r="AA280" t="s">
        <v>1755</v>
      </c>
      <c r="AB280">
        <v>-86</v>
      </c>
      <c r="AC280" t="s">
        <v>1755</v>
      </c>
      <c r="AE280">
        <v>0</v>
      </c>
      <c r="AF280" t="s">
        <v>1755</v>
      </c>
      <c r="AI280" t="s">
        <v>1755</v>
      </c>
      <c r="AJ280" t="s">
        <v>1755</v>
      </c>
      <c r="AK280" t="s">
        <v>1755</v>
      </c>
      <c r="AL280" t="s">
        <v>1755</v>
      </c>
      <c r="AM280" t="s">
        <v>1755</v>
      </c>
      <c r="AO280">
        <v>0</v>
      </c>
    </row>
    <row r="281" spans="1:46" x14ac:dyDescent="0.25">
      <c r="A281" t="s">
        <v>1755</v>
      </c>
      <c r="B281" s="19">
        <v>46144</v>
      </c>
      <c r="C281" t="s">
        <v>936</v>
      </c>
      <c r="D281" t="s">
        <v>6330</v>
      </c>
      <c r="E281" t="s">
        <v>1755</v>
      </c>
      <c r="F281" t="s">
        <v>844</v>
      </c>
      <c r="G281" t="s">
        <v>1755</v>
      </c>
      <c r="I281" t="str">
        <f>CONCATENATE(Inbound___Outbound_Shifting[[#This Row],[Batch '#]],"-",Inbound___Outbound_Shifting[[#This Row],[Exp '# or Key]])</f>
        <v>--</v>
      </c>
      <c r="J281" t="s">
        <v>1755</v>
      </c>
      <c r="K281">
        <v>1</v>
      </c>
      <c r="L281" t="s">
        <v>1755</v>
      </c>
      <c r="M281" t="s">
        <v>1755</v>
      </c>
      <c r="N281" t="s">
        <v>1755</v>
      </c>
      <c r="O281" t="s">
        <v>1755</v>
      </c>
      <c r="P281" t="s">
        <v>1755</v>
      </c>
      <c r="Q281" t="s">
        <v>1755</v>
      </c>
      <c r="R281" t="s">
        <v>1755</v>
      </c>
      <c r="S281" t="s">
        <v>1755</v>
      </c>
      <c r="T281" t="s">
        <v>1755</v>
      </c>
      <c r="U281" t="s">
        <v>1755</v>
      </c>
      <c r="V281" t="s">
        <v>1755</v>
      </c>
      <c r="W281">
        <v>80</v>
      </c>
      <c r="X281" t="s">
        <v>1755</v>
      </c>
      <c r="Y281">
        <v>46058</v>
      </c>
      <c r="Z281">
        <v>46132</v>
      </c>
      <c r="AA281" t="s">
        <v>1755</v>
      </c>
      <c r="AB281">
        <v>-86</v>
      </c>
      <c r="AC281" t="s">
        <v>1755</v>
      </c>
      <c r="AE281">
        <v>0</v>
      </c>
      <c r="AF281" t="s">
        <v>1755</v>
      </c>
      <c r="AI281" t="s">
        <v>1755</v>
      </c>
      <c r="AJ281" t="s">
        <v>1755</v>
      </c>
      <c r="AK281" t="s">
        <v>1755</v>
      </c>
      <c r="AL281" t="s">
        <v>1755</v>
      </c>
      <c r="AM281" t="s">
        <v>1755</v>
      </c>
      <c r="AO281">
        <v>0</v>
      </c>
    </row>
    <row r="282" spans="1:46" x14ac:dyDescent="0.25">
      <c r="A282" t="s">
        <v>1755</v>
      </c>
      <c r="B282" s="19">
        <v>46144</v>
      </c>
      <c r="C282" t="s">
        <v>843</v>
      </c>
      <c r="D282" t="s">
        <v>6330</v>
      </c>
      <c r="E282" t="s">
        <v>1755</v>
      </c>
      <c r="F282" t="s">
        <v>844</v>
      </c>
      <c r="G282" t="s">
        <v>1755</v>
      </c>
      <c r="I282" t="str">
        <f>CONCATENATE(Inbound___Outbound_Shifting[[#This Row],[Batch '#]],"-",Inbound___Outbound_Shifting[[#This Row],[Exp '# or Key]])</f>
        <v>--</v>
      </c>
      <c r="J282" t="s">
        <v>1755</v>
      </c>
      <c r="K282">
        <v>3</v>
      </c>
      <c r="L282" t="s">
        <v>1755</v>
      </c>
      <c r="M282" t="s">
        <v>1755</v>
      </c>
      <c r="N282" t="s">
        <v>1755</v>
      </c>
      <c r="O282" t="s">
        <v>1755</v>
      </c>
      <c r="P282" t="s">
        <v>1755</v>
      </c>
      <c r="Q282" t="s">
        <v>1755</v>
      </c>
      <c r="R282" t="s">
        <v>1755</v>
      </c>
      <c r="S282" t="s">
        <v>1755</v>
      </c>
      <c r="T282" t="s">
        <v>1755</v>
      </c>
      <c r="U282" t="s">
        <v>1755</v>
      </c>
      <c r="V282" t="s">
        <v>1755</v>
      </c>
      <c r="W282">
        <v>1035</v>
      </c>
      <c r="X282" t="s">
        <v>1755</v>
      </c>
      <c r="Y282">
        <v>46058</v>
      </c>
      <c r="Z282">
        <v>46136</v>
      </c>
      <c r="AA282" t="s">
        <v>1755</v>
      </c>
      <c r="AB282">
        <v>-86</v>
      </c>
      <c r="AC282" t="s">
        <v>1755</v>
      </c>
      <c r="AE282">
        <v>0</v>
      </c>
      <c r="AF282" t="s">
        <v>1755</v>
      </c>
      <c r="AI282" t="s">
        <v>1755</v>
      </c>
      <c r="AJ282" t="s">
        <v>1755</v>
      </c>
      <c r="AK282" t="s">
        <v>1755</v>
      </c>
      <c r="AL282" t="s">
        <v>1755</v>
      </c>
      <c r="AM282" t="s">
        <v>1755</v>
      </c>
      <c r="AO282">
        <v>0</v>
      </c>
    </row>
    <row r="283" spans="1:46" x14ac:dyDescent="0.25">
      <c r="A283" t="s">
        <v>6300</v>
      </c>
      <c r="B283" s="19">
        <v>46146</v>
      </c>
      <c r="C283" t="s">
        <v>6778</v>
      </c>
      <c r="D283" t="s">
        <v>6302</v>
      </c>
      <c r="E283" t="s">
        <v>6086</v>
      </c>
      <c r="F283" t="s">
        <v>1371</v>
      </c>
      <c r="G283" t="s">
        <v>1755</v>
      </c>
      <c r="I283" t="str">
        <f>CONCATENATE(Inbound___Outbound_Shifting[[#This Row],[Batch '#]],"-",Inbound___Outbound_Shifting[[#This Row],[Exp '# or Key]])</f>
        <v>--</v>
      </c>
      <c r="J283" t="s">
        <v>6532</v>
      </c>
      <c r="K283" t="s">
        <v>6395</v>
      </c>
      <c r="L283" t="s">
        <v>1755</v>
      </c>
      <c r="M283" t="s">
        <v>1755</v>
      </c>
      <c r="N283" t="s">
        <v>1755</v>
      </c>
      <c r="O283" t="s">
        <v>6631</v>
      </c>
      <c r="P283" t="s">
        <v>6779</v>
      </c>
      <c r="Q283" t="s">
        <v>6780</v>
      </c>
      <c r="R283" t="s">
        <v>6560</v>
      </c>
      <c r="S283">
        <v>1</v>
      </c>
      <c r="T283" t="s">
        <v>6781</v>
      </c>
      <c r="U283">
        <v>1</v>
      </c>
      <c r="V283" t="s">
        <v>1755</v>
      </c>
      <c r="W283">
        <v>24000</v>
      </c>
      <c r="X283">
        <v>26150</v>
      </c>
      <c r="Y283">
        <v>46149</v>
      </c>
      <c r="Z283" t="s">
        <v>1755</v>
      </c>
      <c r="AA283" t="s">
        <v>1755</v>
      </c>
      <c r="AB283">
        <v>3</v>
      </c>
      <c r="AC283">
        <v>498000</v>
      </c>
      <c r="AD283">
        <v>392250</v>
      </c>
      <c r="AE283">
        <v>-105750</v>
      </c>
      <c r="AF283" t="s">
        <v>1755</v>
      </c>
      <c r="AG283">
        <v>19.043977055449332</v>
      </c>
      <c r="AH283">
        <v>408.53158326497129</v>
      </c>
      <c r="AI283" t="s">
        <v>6308</v>
      </c>
      <c r="AJ283" t="s">
        <v>47</v>
      </c>
      <c r="AK283" t="s">
        <v>107</v>
      </c>
      <c r="AL283" t="s">
        <v>107</v>
      </c>
      <c r="AM283" t="s">
        <v>107</v>
      </c>
      <c r="AO283">
        <v>105750</v>
      </c>
      <c r="AP283">
        <v>-0.26959847036328871</v>
      </c>
      <c r="AQ283">
        <v>19.043977055449332</v>
      </c>
      <c r="AR283" t="s">
        <v>47</v>
      </c>
      <c r="AT283" t="s">
        <v>47</v>
      </c>
    </row>
    <row r="284" spans="1:46" x14ac:dyDescent="0.25">
      <c r="A284" t="s">
        <v>1755</v>
      </c>
      <c r="B284" s="19">
        <v>46146</v>
      </c>
      <c r="C284" t="s">
        <v>6782</v>
      </c>
      <c r="D284" t="s">
        <v>6302</v>
      </c>
      <c r="E284" t="s">
        <v>6086</v>
      </c>
      <c r="F284" t="s">
        <v>1371</v>
      </c>
      <c r="G284" t="s">
        <v>1755</v>
      </c>
      <c r="I284" t="str">
        <f>CONCATENATE(Inbound___Outbound_Shifting[[#This Row],[Batch '#]],"-",Inbound___Outbound_Shifting[[#This Row],[Exp '# or Key]])</f>
        <v>--</v>
      </c>
      <c r="J284" t="s">
        <v>6783</v>
      </c>
      <c r="K284" t="s">
        <v>6395</v>
      </c>
      <c r="L284" t="s">
        <v>1755</v>
      </c>
      <c r="M284" t="s">
        <v>1755</v>
      </c>
      <c r="N284" t="s">
        <v>1755</v>
      </c>
      <c r="O284" t="s">
        <v>1755</v>
      </c>
      <c r="P284" t="s">
        <v>1755</v>
      </c>
      <c r="Q284" t="s">
        <v>1755</v>
      </c>
      <c r="R284" t="s">
        <v>6560</v>
      </c>
      <c r="S284" t="s">
        <v>1755</v>
      </c>
      <c r="T284" t="s">
        <v>6784</v>
      </c>
      <c r="U284">
        <v>1</v>
      </c>
      <c r="V284" t="s">
        <v>1755</v>
      </c>
      <c r="W284">
        <v>22915</v>
      </c>
      <c r="X284">
        <v>25065</v>
      </c>
      <c r="Y284">
        <v>46149</v>
      </c>
      <c r="Z284" t="s">
        <v>1755</v>
      </c>
      <c r="AA284" t="s">
        <v>1755</v>
      </c>
      <c r="AB284">
        <v>3</v>
      </c>
      <c r="AC284" t="s">
        <v>1755</v>
      </c>
      <c r="AD284">
        <v>375975</v>
      </c>
      <c r="AE284">
        <v>0</v>
      </c>
      <c r="AF284" t="s">
        <v>1755</v>
      </c>
      <c r="AI284" t="s">
        <v>1755</v>
      </c>
      <c r="AJ284" t="s">
        <v>1755</v>
      </c>
      <c r="AK284" t="s">
        <v>1755</v>
      </c>
      <c r="AL284" t="s">
        <v>1755</v>
      </c>
      <c r="AM284" t="s">
        <v>1755</v>
      </c>
      <c r="AO284">
        <v>-375975</v>
      </c>
      <c r="AP284">
        <v>1</v>
      </c>
      <c r="AQ284">
        <v>0</v>
      </c>
    </row>
    <row r="285" spans="1:46" x14ac:dyDescent="0.25">
      <c r="A285" t="s">
        <v>6329</v>
      </c>
      <c r="B285" s="19">
        <v>46147</v>
      </c>
      <c r="C285" t="s">
        <v>1523</v>
      </c>
      <c r="D285" t="s">
        <v>1600</v>
      </c>
      <c r="E285" t="s">
        <v>366</v>
      </c>
      <c r="F285" t="s">
        <v>1333</v>
      </c>
      <c r="G285" t="s">
        <v>1755</v>
      </c>
      <c r="I285" t="str">
        <f>CONCATENATE(Inbound___Outbound_Shifting[[#This Row],[Batch '#]],"-",Inbound___Outbound_Shifting[[#This Row],[Exp '# or Key]])</f>
        <v>--</v>
      </c>
      <c r="J285" t="s">
        <v>1755</v>
      </c>
      <c r="K285">
        <v>4</v>
      </c>
      <c r="L285" t="s">
        <v>366</v>
      </c>
      <c r="M285" t="s">
        <v>6785</v>
      </c>
      <c r="N285" t="s">
        <v>1755</v>
      </c>
      <c r="O285" t="s">
        <v>455</v>
      </c>
      <c r="P285" t="s">
        <v>6786</v>
      </c>
      <c r="Q285" t="s">
        <v>1524</v>
      </c>
      <c r="R285" t="s">
        <v>6402</v>
      </c>
      <c r="S285" t="s">
        <v>1755</v>
      </c>
      <c r="T285" t="s">
        <v>1755</v>
      </c>
      <c r="U285" t="s">
        <v>1755</v>
      </c>
      <c r="V285" t="s">
        <v>1755</v>
      </c>
      <c r="W285">
        <v>7248</v>
      </c>
      <c r="X285">
        <v>8000</v>
      </c>
      <c r="Y285">
        <v>46147</v>
      </c>
      <c r="Z285">
        <v>46146</v>
      </c>
      <c r="AA285" t="s">
        <v>1755</v>
      </c>
      <c r="AB285">
        <v>0</v>
      </c>
      <c r="AC285">
        <v>105000</v>
      </c>
      <c r="AD285">
        <v>60000</v>
      </c>
      <c r="AE285">
        <v>-45000</v>
      </c>
      <c r="AF285" t="s">
        <v>1755</v>
      </c>
      <c r="AG285">
        <v>13.125</v>
      </c>
      <c r="AI285" t="s">
        <v>6308</v>
      </c>
      <c r="AJ285" t="s">
        <v>47</v>
      </c>
      <c r="AK285" t="s">
        <v>107</v>
      </c>
      <c r="AL285" t="s">
        <v>107</v>
      </c>
      <c r="AM285" t="s">
        <v>107</v>
      </c>
      <c r="AO285">
        <v>45000</v>
      </c>
      <c r="AP285">
        <v>-0.75</v>
      </c>
      <c r="AQ285">
        <v>13.125</v>
      </c>
      <c r="AR285" t="s">
        <v>47</v>
      </c>
      <c r="AT285" t="s">
        <v>47</v>
      </c>
    </row>
    <row r="286" spans="1:46" x14ac:dyDescent="0.25">
      <c r="A286" t="s">
        <v>6329</v>
      </c>
      <c r="B286" s="19">
        <v>46147</v>
      </c>
      <c r="C286" t="s">
        <v>1538</v>
      </c>
      <c r="D286" t="s">
        <v>1596</v>
      </c>
      <c r="E286" t="s">
        <v>366</v>
      </c>
      <c r="F286" t="s">
        <v>1539</v>
      </c>
      <c r="G286" t="s">
        <v>1755</v>
      </c>
      <c r="I286" t="str">
        <f>CONCATENATE(Inbound___Outbound_Shifting[[#This Row],[Batch '#]],"-",Inbound___Outbound_Shifting[[#This Row],[Exp '# or Key]])</f>
        <v>--</v>
      </c>
      <c r="J286" t="s">
        <v>1755</v>
      </c>
      <c r="K286">
        <v>22</v>
      </c>
      <c r="L286" t="s">
        <v>366</v>
      </c>
      <c r="M286" t="s">
        <v>6787</v>
      </c>
      <c r="N286" t="s">
        <v>1755</v>
      </c>
      <c r="O286" t="s">
        <v>767</v>
      </c>
      <c r="P286" t="s">
        <v>6788</v>
      </c>
      <c r="Q286" t="s">
        <v>1540</v>
      </c>
      <c r="R286" t="s">
        <v>6307</v>
      </c>
      <c r="S286" t="s">
        <v>1755</v>
      </c>
      <c r="T286" t="s">
        <v>1755</v>
      </c>
      <c r="U286" t="s">
        <v>1755</v>
      </c>
      <c r="V286" t="s">
        <v>1755</v>
      </c>
      <c r="W286">
        <v>3344</v>
      </c>
      <c r="X286">
        <v>4200</v>
      </c>
      <c r="Y286">
        <v>46147</v>
      </c>
      <c r="Z286">
        <v>46146</v>
      </c>
      <c r="AA286" t="s">
        <v>1755</v>
      </c>
      <c r="AB286">
        <v>0</v>
      </c>
      <c r="AC286">
        <v>56000</v>
      </c>
      <c r="AD286">
        <v>31500</v>
      </c>
      <c r="AE286">
        <v>-24500</v>
      </c>
      <c r="AF286" t="s">
        <v>1755</v>
      </c>
      <c r="AG286">
        <v>13.333333333333334</v>
      </c>
      <c r="AI286" t="s">
        <v>6369</v>
      </c>
      <c r="AJ286" t="s">
        <v>47</v>
      </c>
      <c r="AK286" t="s">
        <v>1755</v>
      </c>
      <c r="AL286" t="s">
        <v>1755</v>
      </c>
      <c r="AM286" t="s">
        <v>1755</v>
      </c>
      <c r="AO286">
        <v>24500</v>
      </c>
      <c r="AP286">
        <v>-0.77777777777777779</v>
      </c>
      <c r="AQ286">
        <v>13.333333333333334</v>
      </c>
      <c r="AR286" t="s">
        <v>47</v>
      </c>
      <c r="AT286" t="s">
        <v>47</v>
      </c>
    </row>
    <row r="287" spans="1:46" x14ac:dyDescent="0.25">
      <c r="A287" t="s">
        <v>1755</v>
      </c>
      <c r="B287" s="19">
        <v>46147</v>
      </c>
      <c r="C287" t="s">
        <v>1545</v>
      </c>
      <c r="D287" t="s">
        <v>1596</v>
      </c>
      <c r="E287" t="s">
        <v>366</v>
      </c>
      <c r="F287" t="s">
        <v>1539</v>
      </c>
      <c r="G287" t="s">
        <v>1755</v>
      </c>
      <c r="I287" t="str">
        <f>CONCATENATE(Inbound___Outbound_Shifting[[#This Row],[Batch '#]],"-",Inbound___Outbound_Shifting[[#This Row],[Exp '# or Key]])</f>
        <v>--</v>
      </c>
      <c r="J287" t="s">
        <v>1755</v>
      </c>
      <c r="K287">
        <v>8</v>
      </c>
      <c r="L287" t="s">
        <v>366</v>
      </c>
      <c r="M287" t="s">
        <v>1755</v>
      </c>
      <c r="N287" t="s">
        <v>1755</v>
      </c>
      <c r="O287" t="s">
        <v>1755</v>
      </c>
      <c r="P287" t="s">
        <v>1755</v>
      </c>
      <c r="Q287" t="s">
        <v>1755</v>
      </c>
      <c r="R287" t="s">
        <v>1755</v>
      </c>
      <c r="S287" t="s">
        <v>1755</v>
      </c>
      <c r="T287" t="s">
        <v>1755</v>
      </c>
      <c r="U287" t="s">
        <v>1755</v>
      </c>
      <c r="V287" t="s">
        <v>1755</v>
      </c>
      <c r="W287">
        <v>779</v>
      </c>
      <c r="X287" t="s">
        <v>1755</v>
      </c>
      <c r="Y287">
        <v>46147</v>
      </c>
      <c r="Z287">
        <v>46146</v>
      </c>
      <c r="AA287" t="s">
        <v>1755</v>
      </c>
      <c r="AB287">
        <v>0</v>
      </c>
      <c r="AC287" t="s">
        <v>1755</v>
      </c>
      <c r="AE287">
        <v>0</v>
      </c>
      <c r="AF287" t="s">
        <v>1755</v>
      </c>
      <c r="AI287" t="s">
        <v>1755</v>
      </c>
      <c r="AJ287" t="s">
        <v>1755</v>
      </c>
      <c r="AK287" t="s">
        <v>1755</v>
      </c>
      <c r="AL287" t="s">
        <v>1755</v>
      </c>
      <c r="AM287" t="s">
        <v>1755</v>
      </c>
      <c r="AO287">
        <v>0</v>
      </c>
    </row>
    <row r="288" spans="1:46" x14ac:dyDescent="0.25">
      <c r="A288" t="s">
        <v>6329</v>
      </c>
      <c r="B288" s="19">
        <v>46147</v>
      </c>
      <c r="C288" t="s">
        <v>1411</v>
      </c>
      <c r="D288" t="s">
        <v>6330</v>
      </c>
      <c r="E288" t="s">
        <v>366</v>
      </c>
      <c r="F288" t="s">
        <v>6789</v>
      </c>
      <c r="G288" t="s">
        <v>1755</v>
      </c>
      <c r="I288" t="str">
        <f>CONCATENATE(Inbound___Outbound_Shifting[[#This Row],[Batch '#]],"-",Inbound___Outbound_Shifting[[#This Row],[Exp '# or Key]])</f>
        <v>--</v>
      </c>
      <c r="J288" t="s">
        <v>1755</v>
      </c>
      <c r="K288">
        <v>1</v>
      </c>
      <c r="L288" t="s">
        <v>366</v>
      </c>
      <c r="M288" t="s">
        <v>6790</v>
      </c>
      <c r="N288" t="s">
        <v>1755</v>
      </c>
      <c r="O288" t="s">
        <v>1412</v>
      </c>
      <c r="P288" t="s">
        <v>6791</v>
      </c>
      <c r="Q288" t="s">
        <v>1413</v>
      </c>
      <c r="R288" t="s">
        <v>6333</v>
      </c>
      <c r="S288" t="s">
        <v>1755</v>
      </c>
      <c r="T288" t="s">
        <v>1755</v>
      </c>
      <c r="U288" t="s">
        <v>1755</v>
      </c>
      <c r="V288" t="s">
        <v>1755</v>
      </c>
      <c r="W288">
        <v>350</v>
      </c>
      <c r="X288">
        <v>350</v>
      </c>
      <c r="Y288">
        <v>46147</v>
      </c>
      <c r="Z288">
        <v>46148</v>
      </c>
      <c r="AA288" t="s">
        <v>1755</v>
      </c>
      <c r="AB288">
        <v>0</v>
      </c>
      <c r="AC288">
        <v>42000</v>
      </c>
      <c r="AD288">
        <v>2625</v>
      </c>
      <c r="AE288">
        <v>-39375</v>
      </c>
      <c r="AF288" t="s">
        <v>1755</v>
      </c>
      <c r="AG288">
        <v>120</v>
      </c>
      <c r="AI288" t="s">
        <v>6334</v>
      </c>
      <c r="AJ288" t="s">
        <v>47</v>
      </c>
      <c r="AK288" t="s">
        <v>1755</v>
      </c>
      <c r="AL288" t="s">
        <v>1755</v>
      </c>
      <c r="AM288" t="s">
        <v>1755</v>
      </c>
      <c r="AO288">
        <v>39375</v>
      </c>
      <c r="AP288">
        <v>-15</v>
      </c>
      <c r="AQ288">
        <v>120</v>
      </c>
      <c r="AR288" t="s">
        <v>47</v>
      </c>
      <c r="AT288" t="s">
        <v>47</v>
      </c>
    </row>
    <row r="289" spans="1:46" x14ac:dyDescent="0.25">
      <c r="A289" t="s">
        <v>6300</v>
      </c>
      <c r="B289" s="19">
        <v>46148</v>
      </c>
      <c r="C289" t="s">
        <v>6792</v>
      </c>
      <c r="D289" t="s">
        <v>6302</v>
      </c>
      <c r="E289" t="s">
        <v>1268</v>
      </c>
      <c r="F289" t="s">
        <v>117</v>
      </c>
      <c r="G289" t="s">
        <v>1755</v>
      </c>
      <c r="I289" t="str">
        <f>CONCATENATE(Inbound___Outbound_Shifting[[#This Row],[Batch '#]],"-",Inbound___Outbound_Shifting[[#This Row],[Exp '# or Key]])</f>
        <v>--</v>
      </c>
      <c r="J289" t="s">
        <v>6793</v>
      </c>
      <c r="K289" t="s">
        <v>6434</v>
      </c>
      <c r="L289" t="s">
        <v>1755</v>
      </c>
      <c r="M289" t="s">
        <v>1755</v>
      </c>
      <c r="N289" t="s">
        <v>1755</v>
      </c>
      <c r="O289" t="s">
        <v>430</v>
      </c>
      <c r="P289" t="s">
        <v>6794</v>
      </c>
      <c r="Q289" t="s">
        <v>6795</v>
      </c>
      <c r="R289" t="s">
        <v>6307</v>
      </c>
      <c r="S289">
        <v>1</v>
      </c>
      <c r="T289" t="s">
        <v>1755</v>
      </c>
      <c r="U289" t="s">
        <v>1755</v>
      </c>
      <c r="V289" t="s">
        <v>1755</v>
      </c>
      <c r="W289">
        <v>1300</v>
      </c>
      <c r="X289">
        <v>18940</v>
      </c>
      <c r="Y289">
        <v>46182</v>
      </c>
      <c r="Z289" t="s">
        <v>1755</v>
      </c>
      <c r="AA289" t="s">
        <v>1755</v>
      </c>
      <c r="AB289">
        <v>34</v>
      </c>
      <c r="AC289">
        <v>480000</v>
      </c>
      <c r="AD289">
        <v>284100</v>
      </c>
      <c r="AE289">
        <v>-195900</v>
      </c>
      <c r="AF289" t="s">
        <v>1755</v>
      </c>
      <c r="AG289">
        <v>25.343189017951424</v>
      </c>
      <c r="AH289">
        <v>393.76538146021329</v>
      </c>
      <c r="AI289" t="s">
        <v>6308</v>
      </c>
      <c r="AJ289" t="s">
        <v>47</v>
      </c>
      <c r="AK289" t="s">
        <v>107</v>
      </c>
      <c r="AL289" t="s">
        <v>107</v>
      </c>
      <c r="AM289" t="s">
        <v>107</v>
      </c>
      <c r="AO289">
        <v>195900</v>
      </c>
      <c r="AP289">
        <v>-0.68954593453009505</v>
      </c>
      <c r="AQ289">
        <v>25.343189017951424</v>
      </c>
      <c r="AR289" t="s">
        <v>47</v>
      </c>
      <c r="AT289" t="s">
        <v>47</v>
      </c>
    </row>
    <row r="290" spans="1:46" x14ac:dyDescent="0.25">
      <c r="A290" t="s">
        <v>1755</v>
      </c>
      <c r="B290" s="19">
        <v>46148</v>
      </c>
      <c r="C290" t="s">
        <v>1755</v>
      </c>
      <c r="D290" t="s">
        <v>6796</v>
      </c>
      <c r="E290" t="s">
        <v>1259</v>
      </c>
      <c r="F290" t="s">
        <v>117</v>
      </c>
      <c r="G290" t="s">
        <v>1755</v>
      </c>
      <c r="I290" t="str">
        <f>CONCATENATE(Inbound___Outbound_Shifting[[#This Row],[Batch '#]],"-",Inbound___Outbound_Shifting[[#This Row],[Exp '# or Key]])</f>
        <v>--</v>
      </c>
      <c r="J290" t="s">
        <v>6797</v>
      </c>
      <c r="K290" t="s">
        <v>6798</v>
      </c>
      <c r="L290" t="s">
        <v>1755</v>
      </c>
      <c r="M290" t="s">
        <v>1755</v>
      </c>
      <c r="N290" t="s">
        <v>1755</v>
      </c>
      <c r="O290" t="s">
        <v>1755</v>
      </c>
      <c r="P290" t="s">
        <v>1755</v>
      </c>
      <c r="Q290" t="s">
        <v>1755</v>
      </c>
      <c r="R290" t="s">
        <v>1755</v>
      </c>
      <c r="S290" t="s">
        <v>1755</v>
      </c>
      <c r="T290" t="s">
        <v>1755</v>
      </c>
      <c r="U290" t="s">
        <v>1755</v>
      </c>
      <c r="V290" t="s">
        <v>1755</v>
      </c>
      <c r="W290">
        <v>17640</v>
      </c>
      <c r="X290" t="s">
        <v>1755</v>
      </c>
      <c r="Y290">
        <v>46182</v>
      </c>
      <c r="Z290" t="s">
        <v>1755</v>
      </c>
      <c r="AA290" t="s">
        <v>1755</v>
      </c>
      <c r="AB290">
        <v>34</v>
      </c>
      <c r="AC290" t="s">
        <v>1755</v>
      </c>
      <c r="AE290">
        <v>0</v>
      </c>
      <c r="AF290" t="s">
        <v>1755</v>
      </c>
      <c r="AI290" t="s">
        <v>1755</v>
      </c>
      <c r="AJ290" t="s">
        <v>1755</v>
      </c>
      <c r="AK290" t="s">
        <v>1755</v>
      </c>
      <c r="AL290" t="s">
        <v>1755</v>
      </c>
      <c r="AM290" t="s">
        <v>1755</v>
      </c>
      <c r="AO290">
        <v>0</v>
      </c>
    </row>
    <row r="291" spans="1:46" x14ac:dyDescent="0.25">
      <c r="A291" t="s">
        <v>6300</v>
      </c>
      <c r="B291" s="19">
        <v>46149</v>
      </c>
      <c r="C291" t="s">
        <v>6799</v>
      </c>
      <c r="D291" t="s">
        <v>6302</v>
      </c>
      <c r="E291" t="s">
        <v>1268</v>
      </c>
      <c r="F291" t="s">
        <v>117</v>
      </c>
      <c r="G291" t="s">
        <v>1755</v>
      </c>
      <c r="I291" t="str">
        <f>CONCATENATE(Inbound___Outbound_Shifting[[#This Row],[Batch '#]],"-",Inbound___Outbound_Shifting[[#This Row],[Exp '# or Key]])</f>
        <v>--</v>
      </c>
      <c r="J291" t="s">
        <v>6800</v>
      </c>
      <c r="K291" t="s">
        <v>6317</v>
      </c>
      <c r="L291" t="s">
        <v>1755</v>
      </c>
      <c r="M291" t="s">
        <v>1755</v>
      </c>
      <c r="N291" t="s">
        <v>1755</v>
      </c>
      <c r="O291" t="s">
        <v>6341</v>
      </c>
      <c r="P291" t="s">
        <v>6801</v>
      </c>
      <c r="Q291" t="s">
        <v>6802</v>
      </c>
      <c r="R291" t="s">
        <v>6307</v>
      </c>
      <c r="S291">
        <v>1</v>
      </c>
      <c r="T291" t="s">
        <v>1755</v>
      </c>
      <c r="U291" t="s">
        <v>1755</v>
      </c>
      <c r="V291" t="s">
        <v>1755</v>
      </c>
      <c r="W291">
        <v>1300</v>
      </c>
      <c r="X291">
        <v>27333</v>
      </c>
      <c r="Y291">
        <v>46152</v>
      </c>
      <c r="Z291" t="s">
        <v>1755</v>
      </c>
      <c r="AA291" t="s">
        <v>1755</v>
      </c>
      <c r="AB291">
        <v>3</v>
      </c>
      <c r="AC291">
        <v>380000</v>
      </c>
      <c r="AD291">
        <v>409995</v>
      </c>
      <c r="AE291">
        <v>29995</v>
      </c>
      <c r="AF291" t="s">
        <v>1755</v>
      </c>
      <c r="AG291">
        <v>13.902608568397175</v>
      </c>
      <c r="AH291">
        <v>311.7309269893355</v>
      </c>
      <c r="AI291" t="s">
        <v>6308</v>
      </c>
      <c r="AJ291" t="s">
        <v>47</v>
      </c>
      <c r="AK291" t="s">
        <v>107</v>
      </c>
      <c r="AL291" t="s">
        <v>107</v>
      </c>
      <c r="AM291" t="s">
        <v>107</v>
      </c>
      <c r="AO291">
        <v>-29995</v>
      </c>
      <c r="AP291">
        <v>7.3159428773521634E-2</v>
      </c>
      <c r="AQ291">
        <v>13.902608568397175</v>
      </c>
      <c r="AR291" t="s">
        <v>47</v>
      </c>
      <c r="AT291" t="s">
        <v>47</v>
      </c>
    </row>
    <row r="292" spans="1:46" x14ac:dyDescent="0.25">
      <c r="A292" t="s">
        <v>1755</v>
      </c>
      <c r="B292" s="19">
        <v>46149</v>
      </c>
      <c r="C292" t="s">
        <v>6803</v>
      </c>
      <c r="D292" t="s">
        <v>6302</v>
      </c>
      <c r="E292" t="s">
        <v>1268</v>
      </c>
      <c r="F292" t="s">
        <v>117</v>
      </c>
      <c r="G292" t="s">
        <v>1755</v>
      </c>
      <c r="I292" t="str">
        <f>CONCATENATE(Inbound___Outbound_Shifting[[#This Row],[Batch '#]],"-",Inbound___Outbound_Shifting[[#This Row],[Exp '# or Key]])</f>
        <v>--</v>
      </c>
      <c r="J292" t="s">
        <v>6804</v>
      </c>
      <c r="K292" t="s">
        <v>6805</v>
      </c>
      <c r="L292" t="s">
        <v>1755</v>
      </c>
      <c r="M292" t="s">
        <v>1755</v>
      </c>
      <c r="N292" t="s">
        <v>1755</v>
      </c>
      <c r="O292" t="s">
        <v>1755</v>
      </c>
      <c r="P292" t="s">
        <v>1755</v>
      </c>
      <c r="Q292" t="s">
        <v>1755</v>
      </c>
      <c r="R292" t="s">
        <v>1755</v>
      </c>
      <c r="S292" t="s">
        <v>1755</v>
      </c>
      <c r="T292" t="s">
        <v>1755</v>
      </c>
      <c r="U292" t="s">
        <v>1755</v>
      </c>
      <c r="V292" t="s">
        <v>1755</v>
      </c>
      <c r="W292">
        <v>123</v>
      </c>
      <c r="X292" t="s">
        <v>1755</v>
      </c>
      <c r="Y292">
        <v>46152</v>
      </c>
      <c r="Z292" t="s">
        <v>1755</v>
      </c>
      <c r="AA292" t="s">
        <v>1755</v>
      </c>
      <c r="AB292">
        <v>3</v>
      </c>
      <c r="AC292" t="s">
        <v>1755</v>
      </c>
      <c r="AE292">
        <v>0</v>
      </c>
      <c r="AF292" t="s">
        <v>1755</v>
      </c>
      <c r="AI292" t="s">
        <v>1755</v>
      </c>
      <c r="AJ292" t="s">
        <v>1755</v>
      </c>
      <c r="AK292" t="s">
        <v>1755</v>
      </c>
      <c r="AL292" t="s">
        <v>1755</v>
      </c>
      <c r="AM292" t="s">
        <v>1755</v>
      </c>
      <c r="AO292">
        <v>0</v>
      </c>
    </row>
    <row r="293" spans="1:46" x14ac:dyDescent="0.25">
      <c r="A293" t="s">
        <v>1755</v>
      </c>
      <c r="B293" s="19">
        <v>46149</v>
      </c>
      <c r="C293" t="s">
        <v>6806</v>
      </c>
      <c r="D293" t="s">
        <v>6302</v>
      </c>
      <c r="E293" t="s">
        <v>1268</v>
      </c>
      <c r="F293" t="s">
        <v>117</v>
      </c>
      <c r="G293" t="s">
        <v>1755</v>
      </c>
      <c r="I293" t="str">
        <f>CONCATENATE(Inbound___Outbound_Shifting[[#This Row],[Batch '#]],"-",Inbound___Outbound_Shifting[[#This Row],[Exp '# or Key]])</f>
        <v>--</v>
      </c>
      <c r="J293" t="s">
        <v>6807</v>
      </c>
      <c r="K293" t="s">
        <v>6808</v>
      </c>
      <c r="L293" t="s">
        <v>1755</v>
      </c>
      <c r="M293" t="s">
        <v>1755</v>
      </c>
      <c r="N293" t="s">
        <v>1755</v>
      </c>
      <c r="O293" t="s">
        <v>1755</v>
      </c>
      <c r="P293" t="s">
        <v>1755</v>
      </c>
      <c r="Q293" t="s">
        <v>1755</v>
      </c>
      <c r="R293" t="s">
        <v>1755</v>
      </c>
      <c r="S293" t="s">
        <v>1755</v>
      </c>
      <c r="T293" t="s">
        <v>1755</v>
      </c>
      <c r="U293" t="s">
        <v>1755</v>
      </c>
      <c r="V293" t="s">
        <v>1755</v>
      </c>
      <c r="W293">
        <v>50</v>
      </c>
      <c r="X293" t="s">
        <v>1755</v>
      </c>
      <c r="Y293">
        <v>46152</v>
      </c>
      <c r="Z293" t="s">
        <v>1755</v>
      </c>
      <c r="AA293" t="s">
        <v>1755</v>
      </c>
      <c r="AB293">
        <v>3</v>
      </c>
      <c r="AC293" t="s">
        <v>1755</v>
      </c>
      <c r="AE293">
        <v>0</v>
      </c>
      <c r="AF293" t="s">
        <v>1755</v>
      </c>
      <c r="AI293" t="s">
        <v>1755</v>
      </c>
      <c r="AJ293" t="s">
        <v>1755</v>
      </c>
      <c r="AK293" t="s">
        <v>1755</v>
      </c>
      <c r="AL293" t="s">
        <v>1755</v>
      </c>
      <c r="AM293" t="s">
        <v>1755</v>
      </c>
      <c r="AO293">
        <v>0</v>
      </c>
    </row>
    <row r="294" spans="1:46" x14ac:dyDescent="0.25">
      <c r="A294" t="s">
        <v>1755</v>
      </c>
      <c r="B294" s="19">
        <v>46149</v>
      </c>
      <c r="C294" t="s">
        <v>6809</v>
      </c>
      <c r="D294" t="s">
        <v>6302</v>
      </c>
      <c r="E294" t="s">
        <v>1268</v>
      </c>
      <c r="F294" t="s">
        <v>117</v>
      </c>
      <c r="G294" t="s">
        <v>1755</v>
      </c>
      <c r="I294" t="str">
        <f>CONCATENATE(Inbound___Outbound_Shifting[[#This Row],[Batch '#]],"-",Inbound___Outbound_Shifting[[#This Row],[Exp '# or Key]])</f>
        <v>--</v>
      </c>
      <c r="J294" t="s">
        <v>6382</v>
      </c>
      <c r="K294" t="s">
        <v>6649</v>
      </c>
      <c r="L294" t="s">
        <v>1755</v>
      </c>
      <c r="M294" t="s">
        <v>1755</v>
      </c>
      <c r="N294" t="s">
        <v>1755</v>
      </c>
      <c r="O294" t="s">
        <v>1755</v>
      </c>
      <c r="P294" t="s">
        <v>1755</v>
      </c>
      <c r="Q294" t="s">
        <v>1755</v>
      </c>
      <c r="R294" t="s">
        <v>1755</v>
      </c>
      <c r="S294" t="s">
        <v>1755</v>
      </c>
      <c r="T294" t="s">
        <v>1755</v>
      </c>
      <c r="U294" t="s">
        <v>1755</v>
      </c>
      <c r="V294" t="s">
        <v>1755</v>
      </c>
      <c r="W294">
        <v>21510</v>
      </c>
      <c r="X294" t="s">
        <v>1755</v>
      </c>
      <c r="Y294">
        <v>46152</v>
      </c>
      <c r="Z294" t="s">
        <v>1755</v>
      </c>
      <c r="AA294" t="s">
        <v>1755</v>
      </c>
      <c r="AB294">
        <v>3</v>
      </c>
      <c r="AC294" t="s">
        <v>1755</v>
      </c>
      <c r="AE294">
        <v>0</v>
      </c>
      <c r="AF294" t="s">
        <v>1755</v>
      </c>
      <c r="AI294" t="s">
        <v>1755</v>
      </c>
      <c r="AJ294" t="s">
        <v>1755</v>
      </c>
      <c r="AK294" t="s">
        <v>1755</v>
      </c>
      <c r="AL294" t="s">
        <v>1755</v>
      </c>
      <c r="AM294" t="s">
        <v>1755</v>
      </c>
      <c r="AO294">
        <v>0</v>
      </c>
    </row>
    <row r="295" spans="1:46" x14ac:dyDescent="0.25">
      <c r="A295" t="s">
        <v>1755</v>
      </c>
      <c r="B295" s="19">
        <v>46149</v>
      </c>
      <c r="C295" t="s">
        <v>6810</v>
      </c>
      <c r="D295" t="s">
        <v>6302</v>
      </c>
      <c r="E295" t="s">
        <v>1268</v>
      </c>
      <c r="F295" t="s">
        <v>117</v>
      </c>
      <c r="G295" t="s">
        <v>1755</v>
      </c>
      <c r="I295" t="str">
        <f>CONCATENATE(Inbound___Outbound_Shifting[[#This Row],[Batch '#]],"-",Inbound___Outbound_Shifting[[#This Row],[Exp '# or Key]])</f>
        <v>--</v>
      </c>
      <c r="J295" t="s">
        <v>6382</v>
      </c>
      <c r="K295" t="s">
        <v>2337</v>
      </c>
      <c r="L295" t="s">
        <v>1755</v>
      </c>
      <c r="M295" t="s">
        <v>1755</v>
      </c>
      <c r="N295" t="s">
        <v>1755</v>
      </c>
      <c r="O295" t="s">
        <v>1755</v>
      </c>
      <c r="P295" t="s">
        <v>1755</v>
      </c>
      <c r="Q295" t="s">
        <v>1755</v>
      </c>
      <c r="R295" t="s">
        <v>1755</v>
      </c>
      <c r="S295" t="s">
        <v>1755</v>
      </c>
      <c r="T295" t="s">
        <v>1755</v>
      </c>
      <c r="U295" t="s">
        <v>1755</v>
      </c>
      <c r="V295" t="s">
        <v>1755</v>
      </c>
      <c r="W295">
        <v>4400</v>
      </c>
      <c r="X295" t="s">
        <v>1755</v>
      </c>
      <c r="Y295">
        <v>46152</v>
      </c>
      <c r="Z295" t="s">
        <v>1755</v>
      </c>
      <c r="AA295" t="s">
        <v>1755</v>
      </c>
      <c r="AB295">
        <v>3</v>
      </c>
      <c r="AC295" t="s">
        <v>1755</v>
      </c>
      <c r="AE295">
        <v>0</v>
      </c>
      <c r="AF295" t="s">
        <v>1755</v>
      </c>
      <c r="AI295" t="s">
        <v>1755</v>
      </c>
      <c r="AJ295" t="s">
        <v>1755</v>
      </c>
      <c r="AK295" t="s">
        <v>1755</v>
      </c>
      <c r="AL295" t="s">
        <v>1755</v>
      </c>
      <c r="AM295" t="s">
        <v>1755</v>
      </c>
      <c r="AO295">
        <v>0</v>
      </c>
    </row>
    <row r="296" spans="1:46" x14ac:dyDescent="0.25">
      <c r="A296" t="s">
        <v>6300</v>
      </c>
      <c r="B296" s="19">
        <v>46149</v>
      </c>
      <c r="C296" t="s">
        <v>6811</v>
      </c>
      <c r="D296" t="s">
        <v>6302</v>
      </c>
      <c r="E296" t="s">
        <v>6086</v>
      </c>
      <c r="F296" t="s">
        <v>1371</v>
      </c>
      <c r="G296" t="s">
        <v>1755</v>
      </c>
      <c r="I296" t="str">
        <f>CONCATENATE(Inbound___Outbound_Shifting[[#This Row],[Batch '#]],"-",Inbound___Outbound_Shifting[[#This Row],[Exp '# or Key]])</f>
        <v>--</v>
      </c>
      <c r="J296" t="s">
        <v>6404</v>
      </c>
      <c r="K296" t="s">
        <v>6395</v>
      </c>
      <c r="L296" t="s">
        <v>1755</v>
      </c>
      <c r="M296" t="s">
        <v>1755</v>
      </c>
      <c r="N296" t="s">
        <v>1755</v>
      </c>
      <c r="O296" t="s">
        <v>6341</v>
      </c>
      <c r="P296" t="s">
        <v>6812</v>
      </c>
      <c r="Q296" t="s">
        <v>6813</v>
      </c>
      <c r="R296" t="s">
        <v>6560</v>
      </c>
      <c r="S296">
        <v>1</v>
      </c>
      <c r="T296" t="s">
        <v>6814</v>
      </c>
      <c r="U296">
        <v>1</v>
      </c>
      <c r="V296" t="s">
        <v>1755</v>
      </c>
      <c r="W296">
        <v>27060</v>
      </c>
      <c r="X296">
        <v>29350</v>
      </c>
      <c r="Y296">
        <v>46152</v>
      </c>
      <c r="Z296" t="s">
        <v>1755</v>
      </c>
      <c r="AA296" t="s">
        <v>1755</v>
      </c>
      <c r="AB296">
        <v>3</v>
      </c>
      <c r="AC296">
        <v>318000</v>
      </c>
      <c r="AD296">
        <v>440250</v>
      </c>
      <c r="AE296">
        <v>122250</v>
      </c>
      <c r="AF296" t="s">
        <v>1755</v>
      </c>
      <c r="AG296">
        <v>10.834752981260648</v>
      </c>
      <c r="AH296">
        <v>260.86956521739131</v>
      </c>
      <c r="AI296" t="s">
        <v>6308</v>
      </c>
      <c r="AJ296" t="s">
        <v>47</v>
      </c>
      <c r="AK296" t="s">
        <v>107</v>
      </c>
      <c r="AL296" t="s">
        <v>107</v>
      </c>
      <c r="AM296" t="s">
        <v>107</v>
      </c>
      <c r="AO296">
        <v>-122250</v>
      </c>
      <c r="AP296">
        <v>0.2776831345826235</v>
      </c>
      <c r="AQ296">
        <v>10.834752981260648</v>
      </c>
      <c r="AR296" t="s">
        <v>47</v>
      </c>
      <c r="AT296" t="s">
        <v>47</v>
      </c>
    </row>
    <row r="297" spans="1:46" x14ac:dyDescent="0.25">
      <c r="A297" t="s">
        <v>6300</v>
      </c>
      <c r="B297" s="19">
        <v>46149</v>
      </c>
      <c r="C297" t="s">
        <v>1755</v>
      </c>
      <c r="D297" t="s">
        <v>6302</v>
      </c>
      <c r="E297" t="s">
        <v>1755</v>
      </c>
      <c r="F297" t="s">
        <v>1755</v>
      </c>
      <c r="G297" t="s">
        <v>1755</v>
      </c>
      <c r="I297" t="str">
        <f>CONCATENATE(Inbound___Outbound_Shifting[[#This Row],[Batch '#]],"-",Inbound___Outbound_Shifting[[#This Row],[Exp '# or Key]])</f>
        <v>--</v>
      </c>
      <c r="J297" t="s">
        <v>1755</v>
      </c>
      <c r="K297" t="s">
        <v>1755</v>
      </c>
      <c r="L297" t="s">
        <v>1755</v>
      </c>
      <c r="M297" t="s">
        <v>1755</v>
      </c>
      <c r="N297" t="s">
        <v>1755</v>
      </c>
      <c r="O297" t="s">
        <v>6341</v>
      </c>
      <c r="P297" t="s">
        <v>6815</v>
      </c>
      <c r="Q297" t="s">
        <v>6816</v>
      </c>
      <c r="R297" t="s">
        <v>6560</v>
      </c>
      <c r="S297">
        <v>1</v>
      </c>
      <c r="T297" t="s">
        <v>6817</v>
      </c>
      <c r="U297">
        <v>1</v>
      </c>
      <c r="V297" t="s">
        <v>1755</v>
      </c>
      <c r="W297">
        <v>26420</v>
      </c>
      <c r="X297">
        <v>28480</v>
      </c>
      <c r="Y297">
        <v>46152</v>
      </c>
      <c r="Z297" t="s">
        <v>1755</v>
      </c>
      <c r="AA297" t="s">
        <v>1755</v>
      </c>
      <c r="AB297">
        <v>3</v>
      </c>
      <c r="AC297">
        <v>318000</v>
      </c>
      <c r="AD297">
        <v>427200</v>
      </c>
      <c r="AE297">
        <v>109200</v>
      </c>
      <c r="AF297" t="s">
        <v>1755</v>
      </c>
      <c r="AG297">
        <v>11.165730337078651</v>
      </c>
      <c r="AH297">
        <v>260.86956521739131</v>
      </c>
      <c r="AI297" t="s">
        <v>6308</v>
      </c>
      <c r="AJ297" t="s">
        <v>47</v>
      </c>
      <c r="AK297" t="s">
        <v>107</v>
      </c>
      <c r="AL297" t="s">
        <v>107</v>
      </c>
      <c r="AM297" t="s">
        <v>107</v>
      </c>
      <c r="AO297">
        <v>-109200</v>
      </c>
      <c r="AP297">
        <v>0.2556179775280899</v>
      </c>
      <c r="AQ297">
        <v>11.165730337078651</v>
      </c>
      <c r="AR297" t="s">
        <v>47</v>
      </c>
      <c r="AT297" t="s">
        <v>47</v>
      </c>
    </row>
    <row r="298" spans="1:46" x14ac:dyDescent="0.25">
      <c r="A298" t="s">
        <v>6300</v>
      </c>
      <c r="B298" s="19">
        <v>46149</v>
      </c>
      <c r="C298" t="s">
        <v>6818</v>
      </c>
      <c r="D298" t="s">
        <v>6302</v>
      </c>
      <c r="E298" t="s">
        <v>6086</v>
      </c>
      <c r="F298" t="s">
        <v>1371</v>
      </c>
      <c r="G298" t="s">
        <v>1755</v>
      </c>
      <c r="I298" t="str">
        <f>CONCATENATE(Inbound___Outbound_Shifting[[#This Row],[Batch '#]],"-",Inbound___Outbound_Shifting[[#This Row],[Exp '# or Key]])</f>
        <v>--</v>
      </c>
      <c r="J298" t="s">
        <v>6819</v>
      </c>
      <c r="K298" t="s">
        <v>6395</v>
      </c>
      <c r="L298" t="s">
        <v>1755</v>
      </c>
      <c r="M298" t="s">
        <v>1755</v>
      </c>
      <c r="N298" t="s">
        <v>1755</v>
      </c>
      <c r="O298" t="s">
        <v>430</v>
      </c>
      <c r="P298" t="s">
        <v>6820</v>
      </c>
      <c r="Q298" t="s">
        <v>6821</v>
      </c>
      <c r="R298" t="s">
        <v>6535</v>
      </c>
      <c r="S298">
        <v>1</v>
      </c>
      <c r="T298" t="s">
        <v>6822</v>
      </c>
      <c r="U298">
        <v>1</v>
      </c>
      <c r="V298" t="s">
        <v>1755</v>
      </c>
      <c r="W298">
        <v>22945</v>
      </c>
      <c r="X298">
        <v>45636</v>
      </c>
      <c r="Y298">
        <v>46152</v>
      </c>
      <c r="Z298" t="s">
        <v>1755</v>
      </c>
      <c r="AA298" t="s">
        <v>1755</v>
      </c>
      <c r="AB298">
        <v>3</v>
      </c>
      <c r="AC298">
        <v>480000</v>
      </c>
      <c r="AD298">
        <v>684540</v>
      </c>
      <c r="AE298">
        <v>204540</v>
      </c>
      <c r="AF298" t="s">
        <v>1755</v>
      </c>
      <c r="AG298">
        <v>10.51801209571391</v>
      </c>
      <c r="AH298">
        <v>393.76538146021329</v>
      </c>
      <c r="AI298" t="s">
        <v>6308</v>
      </c>
      <c r="AJ298" t="s">
        <v>47</v>
      </c>
      <c r="AK298" t="s">
        <v>1755</v>
      </c>
      <c r="AL298" t="s">
        <v>1755</v>
      </c>
      <c r="AM298" t="s">
        <v>1755</v>
      </c>
      <c r="AO298">
        <v>-204540</v>
      </c>
      <c r="AP298">
        <v>0.29879919361907264</v>
      </c>
      <c r="AQ298">
        <v>10.51801209571391</v>
      </c>
      <c r="AR298" t="s">
        <v>47</v>
      </c>
      <c r="AT298" t="s">
        <v>47</v>
      </c>
    </row>
    <row r="299" spans="1:46" x14ac:dyDescent="0.25">
      <c r="A299" t="s">
        <v>1755</v>
      </c>
      <c r="B299" s="19">
        <v>46149</v>
      </c>
      <c r="C299" t="s">
        <v>1755</v>
      </c>
      <c r="D299" t="s">
        <v>6302</v>
      </c>
      <c r="E299" t="s">
        <v>1755</v>
      </c>
      <c r="F299" t="s">
        <v>1755</v>
      </c>
      <c r="G299" t="s">
        <v>1755</v>
      </c>
      <c r="I299" t="str">
        <f>CONCATENATE(Inbound___Outbound_Shifting[[#This Row],[Batch '#]],"-",Inbound___Outbound_Shifting[[#This Row],[Exp '# or Key]])</f>
        <v>--</v>
      </c>
      <c r="J299" t="s">
        <v>1755</v>
      </c>
      <c r="K299" t="s">
        <v>1755</v>
      </c>
      <c r="L299" t="s">
        <v>1755</v>
      </c>
      <c r="M299" t="s">
        <v>1755</v>
      </c>
      <c r="N299" t="s">
        <v>1755</v>
      </c>
      <c r="O299" t="s">
        <v>1755</v>
      </c>
      <c r="P299" t="s">
        <v>1755</v>
      </c>
      <c r="Q299" t="s">
        <v>1755</v>
      </c>
      <c r="R299" t="s">
        <v>1755</v>
      </c>
      <c r="S299" t="s">
        <v>1755</v>
      </c>
      <c r="T299" t="s">
        <v>6823</v>
      </c>
      <c r="U299">
        <v>1</v>
      </c>
      <c r="V299" t="s">
        <v>1755</v>
      </c>
      <c r="W299">
        <v>22691</v>
      </c>
      <c r="X299" t="s">
        <v>1755</v>
      </c>
      <c r="Y299">
        <v>46152</v>
      </c>
      <c r="Z299" t="s">
        <v>1755</v>
      </c>
      <c r="AA299" t="s">
        <v>1755</v>
      </c>
      <c r="AB299">
        <v>3</v>
      </c>
      <c r="AC299" t="s">
        <v>1755</v>
      </c>
      <c r="AE299">
        <v>0</v>
      </c>
      <c r="AF299" t="s">
        <v>1755</v>
      </c>
      <c r="AI299" t="s">
        <v>1755</v>
      </c>
      <c r="AJ299" t="s">
        <v>1755</v>
      </c>
      <c r="AK299" t="s">
        <v>1755</v>
      </c>
      <c r="AL299" t="s">
        <v>1755</v>
      </c>
      <c r="AM299" t="s">
        <v>1755</v>
      </c>
      <c r="AO299">
        <v>0</v>
      </c>
    </row>
    <row r="300" spans="1:46" x14ac:dyDescent="0.25">
      <c r="A300" t="s">
        <v>6329</v>
      </c>
      <c r="B300" s="19">
        <v>46149</v>
      </c>
      <c r="C300" t="s">
        <v>874</v>
      </c>
      <c r="D300" t="s">
        <v>6330</v>
      </c>
      <c r="E300" t="s">
        <v>117</v>
      </c>
      <c r="F300" t="s">
        <v>6824</v>
      </c>
      <c r="G300" t="s">
        <v>1755</v>
      </c>
      <c r="I300" t="str">
        <f>CONCATENATE(Inbound___Outbound_Shifting[[#This Row],[Batch '#]],"-",Inbound___Outbound_Shifting[[#This Row],[Exp '# or Key]])</f>
        <v>--</v>
      </c>
      <c r="J300" t="s">
        <v>1755</v>
      </c>
      <c r="K300">
        <v>1</v>
      </c>
      <c r="L300" t="s">
        <v>117</v>
      </c>
      <c r="M300" t="s">
        <v>1268</v>
      </c>
      <c r="N300" t="s">
        <v>1755</v>
      </c>
      <c r="O300" t="s">
        <v>430</v>
      </c>
      <c r="P300" t="s">
        <v>6825</v>
      </c>
      <c r="Q300" t="s">
        <v>882</v>
      </c>
      <c r="R300" t="s">
        <v>6307</v>
      </c>
      <c r="S300" t="s">
        <v>1755</v>
      </c>
      <c r="T300" t="s">
        <v>1755</v>
      </c>
      <c r="U300" t="s">
        <v>1755</v>
      </c>
      <c r="V300" t="s">
        <v>1755</v>
      </c>
      <c r="W300">
        <v>280</v>
      </c>
      <c r="X300">
        <v>5600</v>
      </c>
      <c r="Y300">
        <v>46152</v>
      </c>
      <c r="Z300">
        <v>46126</v>
      </c>
      <c r="AA300" t="s">
        <v>1755</v>
      </c>
      <c r="AB300">
        <v>3</v>
      </c>
      <c r="AC300">
        <v>130000</v>
      </c>
      <c r="AD300">
        <v>42000</v>
      </c>
      <c r="AE300">
        <v>-88000</v>
      </c>
      <c r="AF300" t="s">
        <v>1755</v>
      </c>
      <c r="AG300">
        <v>23.214285714285715</v>
      </c>
      <c r="AI300" t="s">
        <v>6308</v>
      </c>
      <c r="AJ300" t="s">
        <v>47</v>
      </c>
      <c r="AK300" t="s">
        <v>6826</v>
      </c>
      <c r="AL300" t="s">
        <v>107</v>
      </c>
      <c r="AM300" t="s">
        <v>107</v>
      </c>
      <c r="AO300">
        <v>88000</v>
      </c>
      <c r="AP300">
        <v>-2.0952380952380953</v>
      </c>
      <c r="AQ300">
        <v>23.214285714285715</v>
      </c>
      <c r="AR300" t="s">
        <v>47</v>
      </c>
      <c r="AT300" t="s">
        <v>47</v>
      </c>
    </row>
    <row r="301" spans="1:46" x14ac:dyDescent="0.25">
      <c r="A301" t="s">
        <v>1755</v>
      </c>
      <c r="B301" s="19">
        <v>46149</v>
      </c>
      <c r="C301" t="s">
        <v>984</v>
      </c>
      <c r="D301" t="s">
        <v>6330</v>
      </c>
      <c r="E301" t="s">
        <v>117</v>
      </c>
      <c r="F301" t="s">
        <v>6827</v>
      </c>
      <c r="G301" t="s">
        <v>1755</v>
      </c>
      <c r="I301" t="str">
        <f>CONCATENATE(Inbound___Outbound_Shifting[[#This Row],[Batch '#]],"-",Inbound___Outbound_Shifting[[#This Row],[Exp '# or Key]])</f>
        <v>--</v>
      </c>
      <c r="J301" t="s">
        <v>1755</v>
      </c>
      <c r="K301">
        <v>1</v>
      </c>
      <c r="L301" t="s">
        <v>117</v>
      </c>
      <c r="M301" t="s">
        <v>1268</v>
      </c>
      <c r="N301" t="s">
        <v>1755</v>
      </c>
      <c r="O301" t="s">
        <v>1755</v>
      </c>
      <c r="P301" t="s">
        <v>1755</v>
      </c>
      <c r="Q301" t="s">
        <v>1755</v>
      </c>
      <c r="R301" t="s">
        <v>1755</v>
      </c>
      <c r="S301" t="s">
        <v>1755</v>
      </c>
      <c r="T301" t="s">
        <v>1755</v>
      </c>
      <c r="U301" t="s">
        <v>1755</v>
      </c>
      <c r="V301" t="s">
        <v>1755</v>
      </c>
      <c r="W301">
        <v>465</v>
      </c>
      <c r="X301" t="s">
        <v>1755</v>
      </c>
      <c r="Y301">
        <v>46152</v>
      </c>
      <c r="Z301">
        <v>46087</v>
      </c>
      <c r="AA301" t="s">
        <v>1755</v>
      </c>
      <c r="AB301">
        <v>3</v>
      </c>
      <c r="AC301" t="s">
        <v>1755</v>
      </c>
      <c r="AE301">
        <v>0</v>
      </c>
      <c r="AF301" t="s">
        <v>1755</v>
      </c>
      <c r="AI301" t="s">
        <v>1755</v>
      </c>
      <c r="AJ301" t="s">
        <v>1755</v>
      </c>
      <c r="AK301" t="s">
        <v>1755</v>
      </c>
      <c r="AL301" t="s">
        <v>1755</v>
      </c>
      <c r="AM301" t="s">
        <v>1755</v>
      </c>
      <c r="AO301">
        <v>0</v>
      </c>
    </row>
    <row r="302" spans="1:46" x14ac:dyDescent="0.25">
      <c r="A302" t="s">
        <v>1755</v>
      </c>
      <c r="B302" s="19">
        <v>46149</v>
      </c>
      <c r="C302" t="s">
        <v>992</v>
      </c>
      <c r="D302" t="s">
        <v>6330</v>
      </c>
      <c r="E302" t="s">
        <v>117</v>
      </c>
      <c r="F302" t="s">
        <v>6827</v>
      </c>
      <c r="G302" t="s">
        <v>1755</v>
      </c>
      <c r="I302" t="str">
        <f>CONCATENATE(Inbound___Outbound_Shifting[[#This Row],[Batch '#]],"-",Inbound___Outbound_Shifting[[#This Row],[Exp '# or Key]])</f>
        <v>--</v>
      </c>
      <c r="J302" t="s">
        <v>1755</v>
      </c>
      <c r="K302">
        <v>1</v>
      </c>
      <c r="L302" t="s">
        <v>117</v>
      </c>
      <c r="M302" t="s">
        <v>1268</v>
      </c>
      <c r="N302" t="s">
        <v>1755</v>
      </c>
      <c r="O302" t="s">
        <v>1755</v>
      </c>
      <c r="P302" t="s">
        <v>1755</v>
      </c>
      <c r="Q302" t="s">
        <v>1755</v>
      </c>
      <c r="R302" t="s">
        <v>1755</v>
      </c>
      <c r="S302" t="s">
        <v>1755</v>
      </c>
      <c r="T302" t="s">
        <v>1755</v>
      </c>
      <c r="U302" t="s">
        <v>1755</v>
      </c>
      <c r="V302" t="s">
        <v>1755</v>
      </c>
      <c r="W302">
        <v>885</v>
      </c>
      <c r="X302" t="s">
        <v>1755</v>
      </c>
      <c r="Y302">
        <v>46152</v>
      </c>
      <c r="Z302">
        <v>46132</v>
      </c>
      <c r="AA302" t="s">
        <v>1755</v>
      </c>
      <c r="AB302">
        <v>3</v>
      </c>
      <c r="AC302" t="s">
        <v>1755</v>
      </c>
      <c r="AE302">
        <v>0</v>
      </c>
      <c r="AF302" t="s">
        <v>1755</v>
      </c>
      <c r="AI302" t="s">
        <v>1755</v>
      </c>
      <c r="AJ302" t="s">
        <v>1755</v>
      </c>
      <c r="AK302" t="s">
        <v>1755</v>
      </c>
      <c r="AL302" t="s">
        <v>1755</v>
      </c>
      <c r="AM302" t="s">
        <v>1755</v>
      </c>
      <c r="AO302">
        <v>0</v>
      </c>
    </row>
    <row r="303" spans="1:46" x14ac:dyDescent="0.25">
      <c r="A303" t="s">
        <v>1755</v>
      </c>
      <c r="B303" s="19">
        <v>46149</v>
      </c>
      <c r="C303" t="s">
        <v>999</v>
      </c>
      <c r="D303" t="s">
        <v>6330</v>
      </c>
      <c r="E303" t="s">
        <v>117</v>
      </c>
      <c r="F303" t="s">
        <v>6827</v>
      </c>
      <c r="G303" t="s">
        <v>1755</v>
      </c>
      <c r="I303" t="str">
        <f>CONCATENATE(Inbound___Outbound_Shifting[[#This Row],[Batch '#]],"-",Inbound___Outbound_Shifting[[#This Row],[Exp '# or Key]])</f>
        <v>--</v>
      </c>
      <c r="J303" t="s">
        <v>1755</v>
      </c>
      <c r="K303">
        <v>1</v>
      </c>
      <c r="L303" t="s">
        <v>117</v>
      </c>
      <c r="M303" t="s">
        <v>1268</v>
      </c>
      <c r="N303" t="s">
        <v>1755</v>
      </c>
      <c r="O303" t="s">
        <v>1755</v>
      </c>
      <c r="P303" t="s">
        <v>1755</v>
      </c>
      <c r="Q303" t="s">
        <v>1755</v>
      </c>
      <c r="R303" t="s">
        <v>1755</v>
      </c>
      <c r="S303" t="s">
        <v>1755</v>
      </c>
      <c r="T303" t="s">
        <v>1755</v>
      </c>
      <c r="U303" t="s">
        <v>1755</v>
      </c>
      <c r="V303" t="s">
        <v>1755</v>
      </c>
      <c r="W303">
        <v>370</v>
      </c>
      <c r="X303" t="s">
        <v>1755</v>
      </c>
      <c r="Y303">
        <v>46152</v>
      </c>
      <c r="Z303">
        <v>46133</v>
      </c>
      <c r="AA303" t="s">
        <v>1755</v>
      </c>
      <c r="AB303">
        <v>3</v>
      </c>
      <c r="AC303" t="s">
        <v>1755</v>
      </c>
      <c r="AE303">
        <v>0</v>
      </c>
      <c r="AF303" t="s">
        <v>1755</v>
      </c>
      <c r="AI303" t="s">
        <v>1755</v>
      </c>
      <c r="AJ303" t="s">
        <v>1755</v>
      </c>
      <c r="AK303" t="s">
        <v>1755</v>
      </c>
      <c r="AL303" t="s">
        <v>1755</v>
      </c>
      <c r="AM303" t="s">
        <v>1755</v>
      </c>
      <c r="AO303">
        <v>0</v>
      </c>
    </row>
    <row r="304" spans="1:46" x14ac:dyDescent="0.25">
      <c r="A304" t="s">
        <v>1755</v>
      </c>
      <c r="B304" s="19">
        <v>46149</v>
      </c>
      <c r="C304" t="s">
        <v>1239</v>
      </c>
      <c r="D304" t="s">
        <v>1141</v>
      </c>
      <c r="E304" t="s">
        <v>117</v>
      </c>
      <c r="F304" t="s">
        <v>6828</v>
      </c>
      <c r="G304" t="s">
        <v>1755</v>
      </c>
      <c r="I304" t="str">
        <f>CONCATENATE(Inbound___Outbound_Shifting[[#This Row],[Batch '#]],"-",Inbound___Outbound_Shifting[[#This Row],[Exp '# or Key]])</f>
        <v>--</v>
      </c>
      <c r="J304" t="s">
        <v>1755</v>
      </c>
      <c r="K304">
        <v>1</v>
      </c>
      <c r="L304" t="s">
        <v>117</v>
      </c>
      <c r="M304" t="s">
        <v>1268</v>
      </c>
      <c r="N304" t="s">
        <v>1755</v>
      </c>
      <c r="O304" t="s">
        <v>1755</v>
      </c>
      <c r="P304" t="s">
        <v>1755</v>
      </c>
      <c r="Q304" t="s">
        <v>1755</v>
      </c>
      <c r="R304" t="s">
        <v>1755</v>
      </c>
      <c r="S304" t="s">
        <v>1755</v>
      </c>
      <c r="T304" t="s">
        <v>1755</v>
      </c>
      <c r="U304" t="s">
        <v>1755</v>
      </c>
      <c r="V304" t="s">
        <v>1755</v>
      </c>
      <c r="W304">
        <v>2000</v>
      </c>
      <c r="X304" t="s">
        <v>1755</v>
      </c>
      <c r="Y304">
        <v>46152</v>
      </c>
      <c r="Z304">
        <v>46135</v>
      </c>
      <c r="AA304" t="s">
        <v>1755</v>
      </c>
      <c r="AB304">
        <v>3</v>
      </c>
      <c r="AC304" t="s">
        <v>1755</v>
      </c>
      <c r="AE304">
        <v>0</v>
      </c>
      <c r="AF304" t="s">
        <v>1755</v>
      </c>
      <c r="AI304" t="s">
        <v>1755</v>
      </c>
      <c r="AJ304" t="s">
        <v>1755</v>
      </c>
      <c r="AK304" t="s">
        <v>1755</v>
      </c>
      <c r="AL304" t="s">
        <v>1755</v>
      </c>
      <c r="AM304" t="s">
        <v>1755</v>
      </c>
      <c r="AO304">
        <v>0</v>
      </c>
    </row>
    <row r="305" spans="1:46" x14ac:dyDescent="0.25">
      <c r="A305" t="s">
        <v>1755</v>
      </c>
      <c r="B305" s="19">
        <v>46149</v>
      </c>
      <c r="C305" t="s">
        <v>1244</v>
      </c>
      <c r="D305" t="s">
        <v>1141</v>
      </c>
      <c r="E305" t="s">
        <v>117</v>
      </c>
      <c r="F305" t="s">
        <v>6828</v>
      </c>
      <c r="G305" t="s">
        <v>761</v>
      </c>
      <c r="I305" t="str">
        <f>CONCATENATE(Inbound___Outbound_Shifting[[#This Row],[Batch '#]],"-",Inbound___Outbound_Shifting[[#This Row],[Exp '# or Key]])</f>
        <v>1st-</v>
      </c>
      <c r="J305" t="s">
        <v>1755</v>
      </c>
      <c r="K305">
        <v>1</v>
      </c>
      <c r="L305" t="s">
        <v>117</v>
      </c>
      <c r="M305" t="s">
        <v>1268</v>
      </c>
      <c r="N305" t="s">
        <v>1755</v>
      </c>
      <c r="O305" t="s">
        <v>1755</v>
      </c>
      <c r="P305" t="s">
        <v>1755</v>
      </c>
      <c r="Q305" t="s">
        <v>1755</v>
      </c>
      <c r="R305" t="s">
        <v>1755</v>
      </c>
      <c r="S305" t="s">
        <v>1755</v>
      </c>
      <c r="T305" t="s">
        <v>1755</v>
      </c>
      <c r="U305" t="s">
        <v>1755</v>
      </c>
      <c r="V305" t="s">
        <v>1755</v>
      </c>
      <c r="W305">
        <v>800</v>
      </c>
      <c r="X305" t="s">
        <v>1755</v>
      </c>
      <c r="Y305">
        <v>46152</v>
      </c>
      <c r="Z305">
        <v>46135</v>
      </c>
      <c r="AA305" t="s">
        <v>1755</v>
      </c>
      <c r="AB305">
        <v>3</v>
      </c>
      <c r="AC305" t="s">
        <v>1755</v>
      </c>
      <c r="AE305">
        <v>0</v>
      </c>
      <c r="AF305" t="s">
        <v>1755</v>
      </c>
      <c r="AI305" t="s">
        <v>1755</v>
      </c>
      <c r="AJ305" t="s">
        <v>1755</v>
      </c>
      <c r="AK305" t="s">
        <v>1755</v>
      </c>
      <c r="AL305" t="s">
        <v>1755</v>
      </c>
      <c r="AM305" t="s">
        <v>1755</v>
      </c>
      <c r="AO305">
        <v>0</v>
      </c>
    </row>
    <row r="306" spans="1:46" x14ac:dyDescent="0.25">
      <c r="A306" t="s">
        <v>1755</v>
      </c>
      <c r="B306" s="19">
        <v>46149</v>
      </c>
      <c r="C306" t="s">
        <v>1244</v>
      </c>
      <c r="D306" t="s">
        <v>1141</v>
      </c>
      <c r="E306" t="s">
        <v>117</v>
      </c>
      <c r="F306" t="s">
        <v>6828</v>
      </c>
      <c r="G306" t="s">
        <v>422</v>
      </c>
      <c r="I306" t="str">
        <f>CONCATENATE(Inbound___Outbound_Shifting[[#This Row],[Batch '#]],"-",Inbound___Outbound_Shifting[[#This Row],[Exp '# or Key]])</f>
        <v>2nd-</v>
      </c>
      <c r="J306" t="s">
        <v>1755</v>
      </c>
      <c r="K306">
        <v>1</v>
      </c>
      <c r="L306" t="s">
        <v>117</v>
      </c>
      <c r="M306" t="s">
        <v>1268</v>
      </c>
      <c r="N306" t="s">
        <v>1755</v>
      </c>
      <c r="O306" t="s">
        <v>1755</v>
      </c>
      <c r="P306" t="s">
        <v>1755</v>
      </c>
      <c r="Q306" t="s">
        <v>1755</v>
      </c>
      <c r="R306" t="s">
        <v>1755</v>
      </c>
      <c r="S306" t="s">
        <v>1755</v>
      </c>
      <c r="T306" t="s">
        <v>1755</v>
      </c>
      <c r="U306" t="s">
        <v>1755</v>
      </c>
      <c r="V306" t="s">
        <v>1755</v>
      </c>
      <c r="W306">
        <v>800</v>
      </c>
      <c r="X306" t="s">
        <v>1755</v>
      </c>
      <c r="Y306">
        <v>46152</v>
      </c>
      <c r="Z306">
        <v>46147</v>
      </c>
      <c r="AA306" t="s">
        <v>1755</v>
      </c>
      <c r="AB306">
        <v>3</v>
      </c>
      <c r="AC306" t="s">
        <v>1755</v>
      </c>
      <c r="AE306">
        <v>0</v>
      </c>
      <c r="AF306" t="s">
        <v>1755</v>
      </c>
      <c r="AI306" t="s">
        <v>1755</v>
      </c>
      <c r="AJ306" t="s">
        <v>1755</v>
      </c>
      <c r="AK306" t="s">
        <v>1755</v>
      </c>
      <c r="AL306" t="s">
        <v>1755</v>
      </c>
      <c r="AM306" t="s">
        <v>1755</v>
      </c>
      <c r="AO306">
        <v>0</v>
      </c>
    </row>
    <row r="307" spans="1:46" x14ac:dyDescent="0.25">
      <c r="A307" t="s">
        <v>6329</v>
      </c>
      <c r="B307" s="19">
        <v>46149</v>
      </c>
      <c r="C307" t="s">
        <v>421</v>
      </c>
      <c r="D307" t="s">
        <v>6330</v>
      </c>
      <c r="E307" t="s">
        <v>117</v>
      </c>
      <c r="F307" t="s">
        <v>6829</v>
      </c>
      <c r="G307" t="s">
        <v>1755</v>
      </c>
      <c r="I307" t="str">
        <f>CONCATENATE(Inbound___Outbound_Shifting[[#This Row],[Batch '#]],"-",Inbound___Outbound_Shifting[[#This Row],[Exp '# or Key]])</f>
        <v>--</v>
      </c>
      <c r="J307" t="s">
        <v>1755</v>
      </c>
      <c r="K307">
        <v>5</v>
      </c>
      <c r="L307" t="s">
        <v>117</v>
      </c>
      <c r="M307" t="s">
        <v>1268</v>
      </c>
      <c r="N307" t="s">
        <v>1755</v>
      </c>
      <c r="O307" t="s">
        <v>430</v>
      </c>
      <c r="P307" t="s">
        <v>6830</v>
      </c>
      <c r="Q307" t="s">
        <v>431</v>
      </c>
      <c r="R307" t="s">
        <v>6307</v>
      </c>
      <c r="S307" t="s">
        <v>1755</v>
      </c>
      <c r="T307" t="s">
        <v>1755</v>
      </c>
      <c r="U307" t="s">
        <v>1755</v>
      </c>
      <c r="V307" t="s">
        <v>1755</v>
      </c>
      <c r="W307">
        <v>8840</v>
      </c>
      <c r="X307">
        <v>9000</v>
      </c>
      <c r="Y307">
        <v>46152</v>
      </c>
      <c r="Z307">
        <v>46111</v>
      </c>
      <c r="AA307" t="s">
        <v>1755</v>
      </c>
      <c r="AB307">
        <v>3</v>
      </c>
      <c r="AC307">
        <v>130000</v>
      </c>
      <c r="AD307">
        <v>67500</v>
      </c>
      <c r="AE307">
        <v>-62500</v>
      </c>
      <c r="AF307" t="s">
        <v>1755</v>
      </c>
      <c r="AG307">
        <v>14.444444444444445</v>
      </c>
      <c r="AI307" t="s">
        <v>6308</v>
      </c>
      <c r="AJ307" t="s">
        <v>47</v>
      </c>
      <c r="AK307" t="s">
        <v>107</v>
      </c>
      <c r="AL307" t="s">
        <v>107</v>
      </c>
      <c r="AM307" t="s">
        <v>107</v>
      </c>
      <c r="AO307">
        <v>62500</v>
      </c>
      <c r="AP307">
        <v>-0.92592592592592593</v>
      </c>
      <c r="AQ307">
        <v>14.444444444444445</v>
      </c>
      <c r="AR307" t="s">
        <v>47</v>
      </c>
      <c r="AT307" t="s">
        <v>47</v>
      </c>
    </row>
    <row r="308" spans="1:46" x14ac:dyDescent="0.25">
      <c r="A308" t="s">
        <v>6329</v>
      </c>
      <c r="B308" s="19">
        <v>46149</v>
      </c>
      <c r="C308" t="s">
        <v>421</v>
      </c>
      <c r="D308" t="s">
        <v>6330</v>
      </c>
      <c r="E308" t="s">
        <v>117</v>
      </c>
      <c r="F308" t="s">
        <v>6829</v>
      </c>
      <c r="G308" t="s">
        <v>1755</v>
      </c>
      <c r="I308" t="str">
        <f>CONCATENATE(Inbound___Outbound_Shifting[[#This Row],[Batch '#]],"-",Inbound___Outbound_Shifting[[#This Row],[Exp '# or Key]])</f>
        <v>--</v>
      </c>
      <c r="J308" t="s">
        <v>1755</v>
      </c>
      <c r="K308">
        <v>3</v>
      </c>
      <c r="L308" t="s">
        <v>117</v>
      </c>
      <c r="M308" t="s">
        <v>1268</v>
      </c>
      <c r="N308" t="s">
        <v>1755</v>
      </c>
      <c r="O308" t="s">
        <v>278</v>
      </c>
      <c r="P308" t="s">
        <v>6831</v>
      </c>
      <c r="Q308" t="s">
        <v>6832</v>
      </c>
      <c r="R308" t="s">
        <v>6307</v>
      </c>
      <c r="S308" t="s">
        <v>1755</v>
      </c>
      <c r="T308" t="s">
        <v>1755</v>
      </c>
      <c r="U308" t="s">
        <v>1755</v>
      </c>
      <c r="V308" t="s">
        <v>1755</v>
      </c>
      <c r="W308">
        <v>42945</v>
      </c>
      <c r="X308">
        <v>43000</v>
      </c>
      <c r="Y308">
        <v>46152</v>
      </c>
      <c r="Z308">
        <v>46111</v>
      </c>
      <c r="AA308" t="s">
        <v>1755</v>
      </c>
      <c r="AB308">
        <v>3</v>
      </c>
      <c r="AC308">
        <v>270000</v>
      </c>
      <c r="AD308">
        <v>322500</v>
      </c>
      <c r="AE308">
        <v>52500</v>
      </c>
      <c r="AF308" t="s">
        <v>1755</v>
      </c>
      <c r="AG308">
        <v>6.2790697674418601</v>
      </c>
      <c r="AI308" t="s">
        <v>6308</v>
      </c>
      <c r="AJ308" t="s">
        <v>47</v>
      </c>
      <c r="AK308" t="s">
        <v>107</v>
      </c>
      <c r="AL308" t="s">
        <v>107</v>
      </c>
      <c r="AM308" t="s">
        <v>107</v>
      </c>
      <c r="AO308">
        <v>-52500</v>
      </c>
      <c r="AP308">
        <v>0.16279069767441862</v>
      </c>
      <c r="AQ308">
        <v>6.2790697674418601</v>
      </c>
      <c r="AR308" t="s">
        <v>47</v>
      </c>
      <c r="AT308" t="s">
        <v>47</v>
      </c>
    </row>
    <row r="309" spans="1:46" x14ac:dyDescent="0.25">
      <c r="A309" t="s">
        <v>6329</v>
      </c>
      <c r="B309" s="19">
        <v>46149</v>
      </c>
      <c r="C309" t="s">
        <v>421</v>
      </c>
      <c r="D309" t="s">
        <v>6330</v>
      </c>
      <c r="E309" t="s">
        <v>117</v>
      </c>
      <c r="F309" t="s">
        <v>6829</v>
      </c>
      <c r="G309" t="s">
        <v>1755</v>
      </c>
      <c r="I309" t="str">
        <f>CONCATENATE(Inbound___Outbound_Shifting[[#This Row],[Batch '#]],"-",Inbound___Outbound_Shifting[[#This Row],[Exp '# or Key]])</f>
        <v>--</v>
      </c>
      <c r="J309" t="s">
        <v>1755</v>
      </c>
      <c r="K309">
        <v>12</v>
      </c>
      <c r="L309" t="s">
        <v>117</v>
      </c>
      <c r="M309" t="s">
        <v>1268</v>
      </c>
      <c r="N309" t="s">
        <v>1755</v>
      </c>
      <c r="O309" t="s">
        <v>278</v>
      </c>
      <c r="P309" t="s">
        <v>6833</v>
      </c>
      <c r="Q309" t="s">
        <v>6834</v>
      </c>
      <c r="R309" t="s">
        <v>6307</v>
      </c>
      <c r="S309" t="s">
        <v>1755</v>
      </c>
      <c r="T309" t="s">
        <v>1755</v>
      </c>
      <c r="U309" t="s">
        <v>1755</v>
      </c>
      <c r="V309" t="s">
        <v>1755</v>
      </c>
      <c r="W309">
        <v>36600</v>
      </c>
      <c r="X309">
        <v>37580</v>
      </c>
      <c r="Y309">
        <v>46152</v>
      </c>
      <c r="Z309">
        <v>46111</v>
      </c>
      <c r="AA309" t="s">
        <v>1755</v>
      </c>
      <c r="AB309">
        <v>3</v>
      </c>
      <c r="AC309">
        <v>250000</v>
      </c>
      <c r="AD309">
        <v>281850</v>
      </c>
      <c r="AE309">
        <v>31850</v>
      </c>
      <c r="AF309" t="s">
        <v>1755</v>
      </c>
      <c r="AG309">
        <v>6.6524747205960617</v>
      </c>
      <c r="AI309" t="s">
        <v>6308</v>
      </c>
      <c r="AJ309" t="s">
        <v>47</v>
      </c>
      <c r="AK309" t="s">
        <v>107</v>
      </c>
      <c r="AL309" t="s">
        <v>107</v>
      </c>
      <c r="AM309" t="s">
        <v>107</v>
      </c>
      <c r="AO309">
        <v>-31850</v>
      </c>
      <c r="AP309">
        <v>0.11300337058719177</v>
      </c>
      <c r="AQ309">
        <v>6.6524747205960617</v>
      </c>
      <c r="AR309" t="s">
        <v>47</v>
      </c>
      <c r="AT309" t="s">
        <v>47</v>
      </c>
    </row>
    <row r="310" spans="1:46" x14ac:dyDescent="0.25">
      <c r="A310" t="s">
        <v>6329</v>
      </c>
      <c r="B310" s="19">
        <v>46150</v>
      </c>
      <c r="C310" t="s">
        <v>421</v>
      </c>
      <c r="D310" t="s">
        <v>6330</v>
      </c>
      <c r="E310" t="s">
        <v>117</v>
      </c>
      <c r="F310" t="s">
        <v>6829</v>
      </c>
      <c r="G310" t="s">
        <v>1755</v>
      </c>
      <c r="I310" t="str">
        <f>CONCATENATE(Inbound___Outbound_Shifting[[#This Row],[Batch '#]],"-",Inbound___Outbound_Shifting[[#This Row],[Exp '# or Key]])</f>
        <v>--</v>
      </c>
      <c r="J310" t="s">
        <v>1755</v>
      </c>
      <c r="L310" t="s">
        <v>117</v>
      </c>
      <c r="M310" t="s">
        <v>1268</v>
      </c>
      <c r="N310" t="s">
        <v>1755</v>
      </c>
      <c r="O310" t="s">
        <v>430</v>
      </c>
      <c r="P310" t="s">
        <v>6835</v>
      </c>
      <c r="Q310" t="s">
        <v>6836</v>
      </c>
      <c r="R310" t="s">
        <v>6307</v>
      </c>
      <c r="S310" t="s">
        <v>1755</v>
      </c>
      <c r="T310" t="s">
        <v>1755</v>
      </c>
      <c r="U310" t="s">
        <v>1755</v>
      </c>
      <c r="V310" t="s">
        <v>1755</v>
      </c>
      <c r="W310">
        <v>21170</v>
      </c>
      <c r="X310">
        <v>21170</v>
      </c>
      <c r="Y310">
        <v>46153</v>
      </c>
      <c r="Z310">
        <v>46111</v>
      </c>
      <c r="AA310" t="s">
        <v>1755</v>
      </c>
      <c r="AB310">
        <v>3</v>
      </c>
      <c r="AC310">
        <v>163700</v>
      </c>
      <c r="AD310">
        <v>158775</v>
      </c>
      <c r="AE310">
        <v>-4925</v>
      </c>
      <c r="AF310" t="s">
        <v>1755</v>
      </c>
      <c r="AG310">
        <v>7.7326405290505429</v>
      </c>
      <c r="AI310" t="s">
        <v>6308</v>
      </c>
      <c r="AJ310" t="s">
        <v>47</v>
      </c>
      <c r="AK310" t="s">
        <v>107</v>
      </c>
      <c r="AL310" t="s">
        <v>107</v>
      </c>
      <c r="AM310" t="s">
        <v>107</v>
      </c>
      <c r="AO310">
        <v>4925</v>
      </c>
      <c r="AP310">
        <v>-3.1018737206739096E-2</v>
      </c>
      <c r="AQ310">
        <v>7.7326405290505429</v>
      </c>
      <c r="AR310" t="s">
        <v>47</v>
      </c>
      <c r="AT310" t="s">
        <v>47</v>
      </c>
    </row>
    <row r="311" spans="1:46" x14ac:dyDescent="0.25">
      <c r="A311" t="s">
        <v>6329</v>
      </c>
      <c r="B311" s="19">
        <v>46153</v>
      </c>
      <c r="C311" t="s">
        <v>1559</v>
      </c>
      <c r="D311" t="s">
        <v>1602</v>
      </c>
      <c r="E311" t="s">
        <v>366</v>
      </c>
      <c r="F311" t="s">
        <v>1560</v>
      </c>
      <c r="G311" t="s">
        <v>1755</v>
      </c>
      <c r="I311" t="str">
        <f>CONCATENATE(Inbound___Outbound_Shifting[[#This Row],[Batch '#]],"-",Inbound___Outbound_Shifting[[#This Row],[Exp '# or Key]])</f>
        <v>--</v>
      </c>
      <c r="J311" t="s">
        <v>1755</v>
      </c>
      <c r="K311">
        <v>2</v>
      </c>
      <c r="L311" t="s">
        <v>366</v>
      </c>
      <c r="M311" t="s">
        <v>6837</v>
      </c>
      <c r="N311" t="s">
        <v>1755</v>
      </c>
      <c r="O311" t="s">
        <v>1480</v>
      </c>
      <c r="P311" t="s">
        <v>1755</v>
      </c>
      <c r="Q311" t="s">
        <v>1561</v>
      </c>
      <c r="R311" t="s">
        <v>1755</v>
      </c>
      <c r="S311" t="s">
        <v>1755</v>
      </c>
      <c r="T311" t="s">
        <v>1755</v>
      </c>
      <c r="U311" t="s">
        <v>1755</v>
      </c>
      <c r="V311" t="s">
        <v>1755</v>
      </c>
      <c r="W311">
        <v>750</v>
      </c>
      <c r="X311">
        <v>800</v>
      </c>
      <c r="Y311">
        <v>46154</v>
      </c>
      <c r="Z311">
        <v>46149</v>
      </c>
      <c r="AA311" t="s">
        <v>1755</v>
      </c>
      <c r="AB311">
        <v>1</v>
      </c>
      <c r="AC311">
        <v>15000</v>
      </c>
      <c r="AD311">
        <v>6000</v>
      </c>
      <c r="AE311">
        <v>-9000</v>
      </c>
      <c r="AF311" t="s">
        <v>1755</v>
      </c>
      <c r="AG311">
        <v>18.75</v>
      </c>
      <c r="AI311" t="s">
        <v>6308</v>
      </c>
      <c r="AJ311" t="s">
        <v>47</v>
      </c>
      <c r="AK311" t="s">
        <v>1755</v>
      </c>
      <c r="AL311" t="s">
        <v>1755</v>
      </c>
      <c r="AM311" t="s">
        <v>1755</v>
      </c>
      <c r="AO311">
        <v>9000</v>
      </c>
      <c r="AP311">
        <v>-1.5</v>
      </c>
      <c r="AQ311">
        <v>18.75</v>
      </c>
      <c r="AR311" t="s">
        <v>47</v>
      </c>
      <c r="AT311" t="s">
        <v>47</v>
      </c>
    </row>
    <row r="312" spans="1:46" x14ac:dyDescent="0.25">
      <c r="A312" t="s">
        <v>6329</v>
      </c>
      <c r="B312" s="19">
        <v>46153</v>
      </c>
      <c r="C312" t="s">
        <v>987</v>
      </c>
      <c r="D312" t="s">
        <v>6330</v>
      </c>
      <c r="E312" t="s">
        <v>366</v>
      </c>
      <c r="F312" t="s">
        <v>6838</v>
      </c>
      <c r="G312" t="s">
        <v>1755</v>
      </c>
      <c r="I312" t="str">
        <f>CONCATENATE(Inbound___Outbound_Shifting[[#This Row],[Batch '#]],"-",Inbound___Outbound_Shifting[[#This Row],[Exp '# or Key]])</f>
        <v>--</v>
      </c>
      <c r="J312" t="s">
        <v>1755</v>
      </c>
      <c r="K312">
        <v>4</v>
      </c>
      <c r="L312" t="s">
        <v>366</v>
      </c>
      <c r="M312" t="s">
        <v>1268</v>
      </c>
      <c r="N312" t="s">
        <v>1755</v>
      </c>
      <c r="O312" t="s">
        <v>537</v>
      </c>
      <c r="P312" t="s">
        <v>6839</v>
      </c>
      <c r="Q312" t="s">
        <v>991</v>
      </c>
      <c r="R312" t="s">
        <v>6307</v>
      </c>
      <c r="S312" t="s">
        <v>1755</v>
      </c>
      <c r="T312" t="s">
        <v>1755</v>
      </c>
      <c r="U312" t="s">
        <v>1755</v>
      </c>
      <c r="V312" t="s">
        <v>1755</v>
      </c>
      <c r="W312">
        <v>9160</v>
      </c>
      <c r="X312">
        <v>13300</v>
      </c>
      <c r="Y312">
        <v>46156</v>
      </c>
      <c r="Z312">
        <v>46148</v>
      </c>
      <c r="AA312" t="s">
        <v>1755</v>
      </c>
      <c r="AB312">
        <v>3</v>
      </c>
      <c r="AC312">
        <v>170000</v>
      </c>
      <c r="AD312">
        <v>99750</v>
      </c>
      <c r="AE312">
        <v>-70250</v>
      </c>
      <c r="AF312" t="s">
        <v>1755</v>
      </c>
      <c r="AG312">
        <v>12.781954887218046</v>
      </c>
      <c r="AI312" t="s">
        <v>6308</v>
      </c>
      <c r="AJ312" t="s">
        <v>47</v>
      </c>
      <c r="AK312" t="s">
        <v>107</v>
      </c>
      <c r="AL312" t="s">
        <v>107</v>
      </c>
      <c r="AM312" t="s">
        <v>107</v>
      </c>
      <c r="AO312">
        <v>70250</v>
      </c>
      <c r="AP312">
        <v>-0.7042606516290727</v>
      </c>
      <c r="AQ312">
        <v>12.781954887218046</v>
      </c>
      <c r="AR312" t="s">
        <v>47</v>
      </c>
      <c r="AT312" t="s">
        <v>47</v>
      </c>
    </row>
    <row r="313" spans="1:46" x14ac:dyDescent="0.25">
      <c r="A313" t="s">
        <v>1755</v>
      </c>
      <c r="B313" s="19">
        <v>46153</v>
      </c>
      <c r="C313" t="s">
        <v>1522</v>
      </c>
      <c r="D313" t="s">
        <v>1600</v>
      </c>
      <c r="E313" t="s">
        <v>1371</v>
      </c>
      <c r="F313" t="s">
        <v>1259</v>
      </c>
      <c r="G313" t="s">
        <v>1755</v>
      </c>
      <c r="I313" t="str">
        <f>CONCATENATE(Inbound___Outbound_Shifting[[#This Row],[Batch '#]],"-",Inbound___Outbound_Shifting[[#This Row],[Exp '# or Key]])</f>
        <v>--</v>
      </c>
      <c r="J313" t="s">
        <v>1755</v>
      </c>
      <c r="K313">
        <v>2</v>
      </c>
      <c r="L313" t="s">
        <v>1371</v>
      </c>
      <c r="M313" t="s">
        <v>1755</v>
      </c>
      <c r="N313" t="s">
        <v>1755</v>
      </c>
      <c r="O313" t="s">
        <v>1755</v>
      </c>
      <c r="P313" t="s">
        <v>1755</v>
      </c>
      <c r="Q313" t="s">
        <v>1755</v>
      </c>
      <c r="R313" t="s">
        <v>1755</v>
      </c>
      <c r="S313" t="s">
        <v>1755</v>
      </c>
      <c r="T313" t="s">
        <v>1755</v>
      </c>
      <c r="U313" t="s">
        <v>1755</v>
      </c>
      <c r="V313" t="s">
        <v>1755</v>
      </c>
      <c r="W313">
        <v>4140</v>
      </c>
      <c r="X313" t="s">
        <v>1755</v>
      </c>
      <c r="Y313">
        <v>46156</v>
      </c>
      <c r="Z313">
        <v>46134</v>
      </c>
      <c r="AA313" t="s">
        <v>1755</v>
      </c>
      <c r="AB313">
        <v>3</v>
      </c>
      <c r="AE313">
        <v>0</v>
      </c>
      <c r="AF313" t="s">
        <v>1755</v>
      </c>
      <c r="AI313" t="s">
        <v>1755</v>
      </c>
      <c r="AJ313" t="s">
        <v>1755</v>
      </c>
      <c r="AK313" t="s">
        <v>1755</v>
      </c>
      <c r="AL313" t="s">
        <v>1755</v>
      </c>
      <c r="AM313" t="s">
        <v>1755</v>
      </c>
      <c r="AO313">
        <v>0</v>
      </c>
    </row>
    <row r="314" spans="1:46" x14ac:dyDescent="0.25">
      <c r="A314" t="s">
        <v>6329</v>
      </c>
      <c r="B314" s="19">
        <v>46154</v>
      </c>
      <c r="C314" t="s">
        <v>1552</v>
      </c>
      <c r="D314" t="s">
        <v>1596</v>
      </c>
      <c r="E314" t="s">
        <v>117</v>
      </c>
      <c r="F314" t="s">
        <v>1315</v>
      </c>
      <c r="G314" t="s">
        <v>1755</v>
      </c>
      <c r="I314" t="str">
        <f>CONCATENATE(Inbound___Outbound_Shifting[[#This Row],[Batch '#]],"-",Inbound___Outbound_Shifting[[#This Row],[Exp '# or Key]])</f>
        <v>--</v>
      </c>
      <c r="J314" t="s">
        <v>1755</v>
      </c>
      <c r="K314">
        <v>1</v>
      </c>
      <c r="L314" t="s">
        <v>117</v>
      </c>
      <c r="M314" t="s">
        <v>6731</v>
      </c>
      <c r="N314" t="s">
        <v>1755</v>
      </c>
      <c r="O314" t="s">
        <v>767</v>
      </c>
      <c r="P314" t="s">
        <v>6840</v>
      </c>
      <c r="Q314" t="s">
        <v>1553</v>
      </c>
      <c r="R314" t="s">
        <v>6307</v>
      </c>
      <c r="S314" t="s">
        <v>1755</v>
      </c>
      <c r="T314" t="s">
        <v>1755</v>
      </c>
      <c r="U314" t="s">
        <v>1755</v>
      </c>
      <c r="V314" t="s">
        <v>1755</v>
      </c>
      <c r="W314">
        <v>11590</v>
      </c>
      <c r="X314">
        <v>21500</v>
      </c>
      <c r="Y314">
        <v>46154</v>
      </c>
      <c r="Z314">
        <v>46154</v>
      </c>
      <c r="AA314" t="s">
        <v>1755</v>
      </c>
      <c r="AB314">
        <v>0</v>
      </c>
      <c r="AC314">
        <v>120000</v>
      </c>
      <c r="AD314">
        <v>161250</v>
      </c>
      <c r="AE314">
        <v>41250</v>
      </c>
      <c r="AF314" t="s">
        <v>1755</v>
      </c>
      <c r="AG314">
        <v>5.5813953488372094</v>
      </c>
      <c r="AI314" t="s">
        <v>6334</v>
      </c>
      <c r="AJ314" t="s">
        <v>47</v>
      </c>
      <c r="AK314" t="s">
        <v>1755</v>
      </c>
      <c r="AL314" t="s">
        <v>1755</v>
      </c>
      <c r="AM314" t="s">
        <v>1755</v>
      </c>
      <c r="AO314">
        <v>-41250</v>
      </c>
      <c r="AP314">
        <v>0.2558139534883721</v>
      </c>
      <c r="AQ314">
        <v>5.5813953488372094</v>
      </c>
      <c r="AR314" t="s">
        <v>47</v>
      </c>
      <c r="AT314" t="s">
        <v>47</v>
      </c>
    </row>
    <row r="315" spans="1:46" x14ac:dyDescent="0.25">
      <c r="A315" t="s">
        <v>1755</v>
      </c>
      <c r="B315" s="19">
        <v>46154</v>
      </c>
      <c r="C315" t="s">
        <v>1314</v>
      </c>
      <c r="D315" t="s">
        <v>1596</v>
      </c>
      <c r="E315" t="s">
        <v>117</v>
      </c>
      <c r="F315" t="s">
        <v>1315</v>
      </c>
      <c r="G315" t="s">
        <v>1755</v>
      </c>
      <c r="I315" t="str">
        <f>CONCATENATE(Inbound___Outbound_Shifting[[#This Row],[Batch '#]],"-",Inbound___Outbound_Shifting[[#This Row],[Exp '# or Key]])</f>
        <v>--</v>
      </c>
      <c r="J315" t="s">
        <v>1755</v>
      </c>
      <c r="K315">
        <v>1</v>
      </c>
      <c r="L315" t="s">
        <v>117</v>
      </c>
      <c r="M315" t="s">
        <v>1755</v>
      </c>
      <c r="N315" t="s">
        <v>1755</v>
      </c>
      <c r="O315" t="s">
        <v>1755</v>
      </c>
      <c r="R315" t="s">
        <v>1755</v>
      </c>
      <c r="S315" t="s">
        <v>1755</v>
      </c>
      <c r="T315" t="s">
        <v>1755</v>
      </c>
      <c r="U315" t="s">
        <v>1755</v>
      </c>
      <c r="V315" t="s">
        <v>1755</v>
      </c>
      <c r="W315">
        <v>9910</v>
      </c>
      <c r="X315" t="s">
        <v>1755</v>
      </c>
      <c r="Y315">
        <v>46154</v>
      </c>
      <c r="Z315">
        <v>46154</v>
      </c>
      <c r="AA315" t="s">
        <v>1755</v>
      </c>
      <c r="AB315">
        <v>0</v>
      </c>
      <c r="AC315" t="s">
        <v>1755</v>
      </c>
      <c r="AE315">
        <v>0</v>
      </c>
      <c r="AF315" t="s">
        <v>1755</v>
      </c>
      <c r="AI315" t="s">
        <v>1755</v>
      </c>
      <c r="AJ315" t="s">
        <v>1755</v>
      </c>
      <c r="AO315">
        <v>0</v>
      </c>
    </row>
    <row r="316" spans="1:46" x14ac:dyDescent="0.25">
      <c r="A316" t="s">
        <v>6329</v>
      </c>
      <c r="B316" s="19">
        <v>46154</v>
      </c>
      <c r="C316" t="s">
        <v>1485</v>
      </c>
      <c r="D316" t="s">
        <v>1600</v>
      </c>
      <c r="E316" t="s">
        <v>366</v>
      </c>
      <c r="F316" t="s">
        <v>31</v>
      </c>
      <c r="G316" t="s">
        <v>1755</v>
      </c>
      <c r="I316" t="str">
        <f>CONCATENATE(Inbound___Outbound_Shifting[[#This Row],[Batch '#]],"-",Inbound___Outbound_Shifting[[#This Row],[Exp '# or Key]])</f>
        <v>--</v>
      </c>
      <c r="J316" t="s">
        <v>1755</v>
      </c>
      <c r="K316">
        <v>1</v>
      </c>
      <c r="L316" t="s">
        <v>366</v>
      </c>
      <c r="M316" t="s">
        <v>6489</v>
      </c>
      <c r="N316" t="s">
        <v>1755</v>
      </c>
      <c r="O316" t="s">
        <v>455</v>
      </c>
      <c r="P316" t="s">
        <v>6841</v>
      </c>
      <c r="Q316" t="s">
        <v>1486</v>
      </c>
      <c r="R316" t="s">
        <v>6441</v>
      </c>
      <c r="S316" t="s">
        <v>1755</v>
      </c>
      <c r="T316" t="s">
        <v>1755</v>
      </c>
      <c r="U316" t="s">
        <v>1755</v>
      </c>
      <c r="V316" t="s">
        <v>1755</v>
      </c>
      <c r="W316">
        <v>600</v>
      </c>
      <c r="X316">
        <v>6000</v>
      </c>
      <c r="Y316">
        <v>46155</v>
      </c>
      <c r="Z316">
        <v>46134</v>
      </c>
      <c r="AA316" t="s">
        <v>1755</v>
      </c>
      <c r="AB316">
        <v>1</v>
      </c>
      <c r="AC316">
        <v>105000</v>
      </c>
      <c r="AD316">
        <v>45000</v>
      </c>
      <c r="AE316">
        <v>-60000</v>
      </c>
      <c r="AF316" t="s">
        <v>1755</v>
      </c>
      <c r="AG316">
        <v>17.5</v>
      </c>
      <c r="AI316" t="s">
        <v>6308</v>
      </c>
      <c r="AJ316" t="s">
        <v>47</v>
      </c>
      <c r="AK316" t="s">
        <v>107</v>
      </c>
      <c r="AL316" t="s">
        <v>107</v>
      </c>
      <c r="AM316" t="s">
        <v>107</v>
      </c>
      <c r="AO316">
        <v>60000</v>
      </c>
      <c r="AP316">
        <v>-1.3333333333333333</v>
      </c>
      <c r="AQ316">
        <v>17.5</v>
      </c>
      <c r="AR316" t="s">
        <v>47</v>
      </c>
      <c r="AT316" t="s">
        <v>47</v>
      </c>
    </row>
    <row r="317" spans="1:46" x14ac:dyDescent="0.25">
      <c r="A317" t="s">
        <v>1755</v>
      </c>
      <c r="B317" s="19">
        <v>46154</v>
      </c>
      <c r="C317" t="s">
        <v>1520</v>
      </c>
      <c r="D317" t="s">
        <v>1600</v>
      </c>
      <c r="E317" t="s">
        <v>366</v>
      </c>
      <c r="F317" t="s">
        <v>31</v>
      </c>
      <c r="G317" t="s">
        <v>1755</v>
      </c>
      <c r="I317" t="str">
        <f>CONCATENATE(Inbound___Outbound_Shifting[[#This Row],[Batch '#]],"-",Inbound___Outbound_Shifting[[#This Row],[Exp '# or Key]])</f>
        <v>--</v>
      </c>
      <c r="J317" t="s">
        <v>1755</v>
      </c>
      <c r="K317">
        <v>2</v>
      </c>
      <c r="L317" t="s">
        <v>366</v>
      </c>
      <c r="M317" t="s">
        <v>1755</v>
      </c>
      <c r="N317" t="s">
        <v>1755</v>
      </c>
      <c r="O317" t="s">
        <v>1755</v>
      </c>
      <c r="P317" t="s">
        <v>1755</v>
      </c>
      <c r="Q317" t="s">
        <v>1755</v>
      </c>
      <c r="R317" t="s">
        <v>1755</v>
      </c>
      <c r="S317" t="s">
        <v>1755</v>
      </c>
      <c r="T317" t="s">
        <v>1755</v>
      </c>
      <c r="U317" t="s">
        <v>1755</v>
      </c>
      <c r="V317" t="s">
        <v>1755</v>
      </c>
      <c r="W317">
        <v>4985</v>
      </c>
      <c r="X317" t="s">
        <v>1755</v>
      </c>
      <c r="Y317">
        <v>46155</v>
      </c>
      <c r="Z317">
        <v>46134</v>
      </c>
      <c r="AA317" t="s">
        <v>1755</v>
      </c>
      <c r="AB317">
        <v>1</v>
      </c>
      <c r="AC317" t="s">
        <v>1755</v>
      </c>
      <c r="AE317">
        <v>0</v>
      </c>
      <c r="AF317" t="s">
        <v>1755</v>
      </c>
      <c r="AI317" t="s">
        <v>1755</v>
      </c>
      <c r="AJ317" t="s">
        <v>1755</v>
      </c>
      <c r="AK317" t="s">
        <v>1755</v>
      </c>
      <c r="AL317" t="s">
        <v>1755</v>
      </c>
      <c r="AM317" t="s">
        <v>1755</v>
      </c>
      <c r="AO317">
        <v>0</v>
      </c>
    </row>
    <row r="318" spans="1:46" x14ac:dyDescent="0.25">
      <c r="A318" t="s">
        <v>6329</v>
      </c>
      <c r="B318" s="19">
        <v>46155</v>
      </c>
      <c r="C318" t="s">
        <v>1506</v>
      </c>
      <c r="D318" t="s">
        <v>1600</v>
      </c>
      <c r="E318" t="s">
        <v>117</v>
      </c>
      <c r="F318" t="s">
        <v>1498</v>
      </c>
      <c r="G318" t="s">
        <v>1755</v>
      </c>
      <c r="I318" t="str">
        <f>CONCATENATE(Inbound___Outbound_Shifting[[#This Row],[Batch '#]],"-",Inbound___Outbound_Shifting[[#This Row],[Exp '# or Key]])</f>
        <v>--</v>
      </c>
      <c r="J318" t="s">
        <v>1755</v>
      </c>
      <c r="K318">
        <v>1</v>
      </c>
      <c r="L318" t="s">
        <v>117</v>
      </c>
      <c r="M318" t="s">
        <v>6443</v>
      </c>
      <c r="N318" t="s">
        <v>1755</v>
      </c>
      <c r="O318" t="s">
        <v>455</v>
      </c>
      <c r="P318" t="s">
        <v>6842</v>
      </c>
      <c r="Q318" t="s">
        <v>1507</v>
      </c>
      <c r="R318" t="s">
        <v>6625</v>
      </c>
      <c r="S318" t="s">
        <v>1755</v>
      </c>
      <c r="T318" t="s">
        <v>1755</v>
      </c>
      <c r="U318" t="s">
        <v>1755</v>
      </c>
      <c r="V318" t="s">
        <v>1755</v>
      </c>
      <c r="W318">
        <v>1385</v>
      </c>
      <c r="X318">
        <v>1400</v>
      </c>
      <c r="Y318">
        <v>46155</v>
      </c>
      <c r="Z318">
        <v>46154</v>
      </c>
      <c r="AA318" t="s">
        <v>1755</v>
      </c>
      <c r="AB318">
        <v>0</v>
      </c>
      <c r="AC318">
        <v>50000</v>
      </c>
      <c r="AD318">
        <v>10500</v>
      </c>
      <c r="AE318">
        <v>-39500</v>
      </c>
      <c r="AF318" t="s">
        <v>1755</v>
      </c>
      <c r="AG318">
        <v>35.714285714285715</v>
      </c>
      <c r="AI318" t="s">
        <v>6308</v>
      </c>
      <c r="AJ318" t="s">
        <v>47</v>
      </c>
      <c r="AK318" t="s">
        <v>107</v>
      </c>
      <c r="AL318" t="s">
        <v>107</v>
      </c>
      <c r="AM318" t="s">
        <v>107</v>
      </c>
      <c r="AO318">
        <v>39500</v>
      </c>
      <c r="AP318">
        <v>-3.7619047619047619</v>
      </c>
      <c r="AQ318">
        <v>35.714285714285715</v>
      </c>
      <c r="AR318" t="s">
        <v>47</v>
      </c>
      <c r="AT318" t="s">
        <v>47</v>
      </c>
    </row>
    <row r="319" spans="1:46" x14ac:dyDescent="0.25">
      <c r="A319" t="s">
        <v>6300</v>
      </c>
      <c r="B319" s="19">
        <v>46156</v>
      </c>
      <c r="C319" t="s">
        <v>6843</v>
      </c>
      <c r="D319" t="s">
        <v>6302</v>
      </c>
      <c r="E319" t="s">
        <v>6061</v>
      </c>
      <c r="F319" t="s">
        <v>1371</v>
      </c>
      <c r="G319" t="s">
        <v>1755</v>
      </c>
      <c r="I319" t="str">
        <f>CONCATENATE(Inbound___Outbound_Shifting[[#This Row],[Batch '#]],"-",Inbound___Outbound_Shifting[[#This Row],[Exp '# or Key]])</f>
        <v>--</v>
      </c>
      <c r="J319" t="s">
        <v>6844</v>
      </c>
      <c r="K319" t="s">
        <v>6395</v>
      </c>
      <c r="L319" t="s">
        <v>1755</v>
      </c>
      <c r="M319" t="s">
        <v>1755</v>
      </c>
      <c r="N319" t="s">
        <v>1755</v>
      </c>
      <c r="O319" t="s">
        <v>6341</v>
      </c>
      <c r="P319" t="s">
        <v>6845</v>
      </c>
      <c r="Q319" t="s">
        <v>6846</v>
      </c>
      <c r="R319" t="s">
        <v>6535</v>
      </c>
      <c r="S319">
        <v>1</v>
      </c>
      <c r="T319" t="s">
        <v>6847</v>
      </c>
      <c r="U319" t="s">
        <v>1755</v>
      </c>
      <c r="V319">
        <v>1</v>
      </c>
      <c r="W319">
        <v>8280</v>
      </c>
      <c r="X319">
        <v>12780</v>
      </c>
      <c r="Y319">
        <v>46159</v>
      </c>
      <c r="Z319" t="s">
        <v>1755</v>
      </c>
      <c r="AA319" t="s">
        <v>1755</v>
      </c>
      <c r="AB319">
        <v>3</v>
      </c>
      <c r="AC319">
        <v>260000</v>
      </c>
      <c r="AD319">
        <v>191700</v>
      </c>
      <c r="AE319">
        <v>-68300</v>
      </c>
      <c r="AF319" t="s">
        <v>1755</v>
      </c>
      <c r="AG319">
        <v>20.344287949921753</v>
      </c>
      <c r="AH319">
        <v>213.28958162428219</v>
      </c>
      <c r="AI319" t="s">
        <v>6308</v>
      </c>
      <c r="AJ319" t="s">
        <v>47</v>
      </c>
      <c r="AK319" t="s">
        <v>107</v>
      </c>
      <c r="AL319" t="s">
        <v>107</v>
      </c>
      <c r="AM319" t="s">
        <v>107</v>
      </c>
      <c r="AO319">
        <v>68300</v>
      </c>
      <c r="AP319">
        <v>-0.35628586332811685</v>
      </c>
      <c r="AQ319">
        <v>20.344287949921753</v>
      </c>
      <c r="AR319" t="s">
        <v>47</v>
      </c>
      <c r="AT319" t="s">
        <v>47</v>
      </c>
    </row>
    <row r="320" spans="1:46" x14ac:dyDescent="0.25">
      <c r="A320" t="s">
        <v>6300</v>
      </c>
      <c r="B320" s="19">
        <v>46156</v>
      </c>
      <c r="C320" t="s">
        <v>6760</v>
      </c>
      <c r="D320" t="s">
        <v>6302</v>
      </c>
      <c r="E320" t="s">
        <v>6086</v>
      </c>
      <c r="F320" t="s">
        <v>1371</v>
      </c>
      <c r="G320" t="s">
        <v>1755</v>
      </c>
      <c r="I320" t="str">
        <f>CONCATENATE(Inbound___Outbound_Shifting[[#This Row],[Batch '#]],"-",Inbound___Outbound_Shifting[[#This Row],[Exp '# or Key]])</f>
        <v>--</v>
      </c>
      <c r="J320" t="s">
        <v>6761</v>
      </c>
      <c r="K320" t="s">
        <v>6395</v>
      </c>
      <c r="L320" t="s">
        <v>1755</v>
      </c>
      <c r="M320" t="s">
        <v>1755</v>
      </c>
      <c r="N320" t="s">
        <v>1755</v>
      </c>
      <c r="O320" t="s">
        <v>6848</v>
      </c>
      <c r="P320" t="s">
        <v>6849</v>
      </c>
      <c r="Q320" t="s">
        <v>6850</v>
      </c>
      <c r="R320" t="s">
        <v>6535</v>
      </c>
      <c r="S320">
        <v>1</v>
      </c>
      <c r="T320" t="s">
        <v>6851</v>
      </c>
      <c r="U320" t="s">
        <v>1755</v>
      </c>
      <c r="V320">
        <v>1</v>
      </c>
      <c r="W320">
        <v>13440</v>
      </c>
      <c r="X320">
        <v>35740</v>
      </c>
      <c r="Y320">
        <v>46159</v>
      </c>
      <c r="Z320" t="s">
        <v>1755</v>
      </c>
      <c r="AA320" t="s">
        <v>1755</v>
      </c>
      <c r="AB320">
        <v>3</v>
      </c>
      <c r="AC320">
        <v>430000</v>
      </c>
      <c r="AD320">
        <v>536100</v>
      </c>
      <c r="AE320">
        <v>106100</v>
      </c>
      <c r="AF320" t="s">
        <v>1755</v>
      </c>
      <c r="AG320">
        <v>12.031337437045327</v>
      </c>
      <c r="AH320">
        <v>352.7481542247744</v>
      </c>
      <c r="AI320" t="s">
        <v>6308</v>
      </c>
      <c r="AJ320" t="s">
        <v>47</v>
      </c>
      <c r="AK320" t="s">
        <v>107</v>
      </c>
      <c r="AL320" t="s">
        <v>107</v>
      </c>
      <c r="AM320" t="s">
        <v>107</v>
      </c>
      <c r="AO320">
        <v>-106100</v>
      </c>
      <c r="AP320">
        <v>0.1979108375303115</v>
      </c>
      <c r="AQ320">
        <v>12.031337437045327</v>
      </c>
      <c r="AR320" t="s">
        <v>47</v>
      </c>
      <c r="AT320" t="s">
        <v>47</v>
      </c>
    </row>
    <row r="321" spans="1:46" x14ac:dyDescent="0.25">
      <c r="A321" t="s">
        <v>1755</v>
      </c>
      <c r="B321" s="19">
        <v>46156</v>
      </c>
      <c r="C321" t="s">
        <v>1755</v>
      </c>
      <c r="D321" t="s">
        <v>6302</v>
      </c>
      <c r="E321" t="s">
        <v>1755</v>
      </c>
      <c r="F321" t="s">
        <v>1755</v>
      </c>
      <c r="G321" t="s">
        <v>1755</v>
      </c>
      <c r="I321" t="str">
        <f>CONCATENATE(Inbound___Outbound_Shifting[[#This Row],[Batch '#]],"-",Inbound___Outbound_Shifting[[#This Row],[Exp '# or Key]])</f>
        <v>--</v>
      </c>
      <c r="J321" t="s">
        <v>1755</v>
      </c>
      <c r="K321" t="s">
        <v>1755</v>
      </c>
      <c r="L321" t="s">
        <v>1755</v>
      </c>
      <c r="M321" t="s">
        <v>1755</v>
      </c>
      <c r="N321" t="s">
        <v>1755</v>
      </c>
      <c r="O321" t="s">
        <v>1755</v>
      </c>
      <c r="P321" t="s">
        <v>1755</v>
      </c>
      <c r="Q321" t="s">
        <v>1755</v>
      </c>
      <c r="R321" t="s">
        <v>1755</v>
      </c>
      <c r="S321" t="s">
        <v>1755</v>
      </c>
      <c r="T321" t="s">
        <v>6852</v>
      </c>
      <c r="U321" t="s">
        <v>1755</v>
      </c>
      <c r="V321" t="s">
        <v>1755</v>
      </c>
      <c r="W321">
        <v>17300</v>
      </c>
      <c r="X321" t="s">
        <v>1755</v>
      </c>
      <c r="Y321">
        <v>46159</v>
      </c>
      <c r="Z321" t="s">
        <v>1755</v>
      </c>
      <c r="AA321" t="s">
        <v>1755</v>
      </c>
      <c r="AB321">
        <v>3</v>
      </c>
      <c r="AC321" t="s">
        <v>1755</v>
      </c>
      <c r="AE321">
        <v>0</v>
      </c>
      <c r="AF321" t="s">
        <v>1755</v>
      </c>
      <c r="AI321" t="s">
        <v>1755</v>
      </c>
      <c r="AJ321" t="s">
        <v>1755</v>
      </c>
      <c r="AK321" t="s">
        <v>1755</v>
      </c>
      <c r="AL321" t="s">
        <v>1755</v>
      </c>
      <c r="AM321" t="s">
        <v>1755</v>
      </c>
      <c r="AO321">
        <v>0</v>
      </c>
    </row>
    <row r="322" spans="1:46" x14ac:dyDescent="0.25">
      <c r="A322" t="s">
        <v>6329</v>
      </c>
      <c r="B322" s="19">
        <v>46156</v>
      </c>
      <c r="C322" t="s">
        <v>1316</v>
      </c>
      <c r="D322" t="s">
        <v>1596</v>
      </c>
      <c r="E322" t="s">
        <v>117</v>
      </c>
      <c r="F322" t="s">
        <v>1317</v>
      </c>
      <c r="G322" t="s">
        <v>1755</v>
      </c>
      <c r="I322" t="str">
        <f>CONCATENATE(Inbound___Outbound_Shifting[[#This Row],[Batch '#]],"-",Inbound___Outbound_Shifting[[#This Row],[Exp '# or Key]])</f>
        <v>--</v>
      </c>
      <c r="J322" t="s">
        <v>1755</v>
      </c>
      <c r="K322">
        <v>200</v>
      </c>
      <c r="L322" t="s">
        <v>117</v>
      </c>
      <c r="M322" t="s">
        <v>6853</v>
      </c>
      <c r="N322" t="s">
        <v>1755</v>
      </c>
      <c r="O322" t="s">
        <v>767</v>
      </c>
      <c r="S322" t="s">
        <v>1755</v>
      </c>
      <c r="T322" t="s">
        <v>1755</v>
      </c>
      <c r="U322" t="s">
        <v>1755</v>
      </c>
      <c r="V322" t="s">
        <v>1755</v>
      </c>
      <c r="W322">
        <v>30000</v>
      </c>
      <c r="X322">
        <v>30000</v>
      </c>
      <c r="Y322">
        <v>46157</v>
      </c>
      <c r="Z322">
        <v>46154</v>
      </c>
      <c r="AA322" t="s">
        <v>1755</v>
      </c>
      <c r="AB322">
        <v>1</v>
      </c>
      <c r="AD322">
        <v>225000</v>
      </c>
      <c r="AE322">
        <v>225000</v>
      </c>
      <c r="AF322" t="s">
        <v>1755</v>
      </c>
      <c r="AG322">
        <v>0</v>
      </c>
      <c r="AI322" t="s">
        <v>6369</v>
      </c>
      <c r="AJ322" t="s">
        <v>47</v>
      </c>
      <c r="AK322" t="s">
        <v>1755</v>
      </c>
      <c r="AL322" t="s">
        <v>1755</v>
      </c>
      <c r="AM322" t="s">
        <v>1755</v>
      </c>
      <c r="AO322">
        <v>-225000</v>
      </c>
      <c r="AP322">
        <v>1</v>
      </c>
      <c r="AQ322">
        <v>0</v>
      </c>
      <c r="AR322" t="s">
        <v>47</v>
      </c>
      <c r="AT322" t="s">
        <v>47</v>
      </c>
    </row>
    <row r="323" spans="1:46" x14ac:dyDescent="0.25">
      <c r="A323" t="s">
        <v>6329</v>
      </c>
      <c r="B323" s="19">
        <v>46157</v>
      </c>
      <c r="C323" t="s">
        <v>726</v>
      </c>
      <c r="D323" t="s">
        <v>6330</v>
      </c>
      <c r="E323" t="s">
        <v>366</v>
      </c>
      <c r="F323" t="s">
        <v>6854</v>
      </c>
      <c r="G323" t="s">
        <v>422</v>
      </c>
      <c r="I323" t="str">
        <f>CONCATENATE(Inbound___Outbound_Shifting[[#This Row],[Batch '#]],"-",Inbound___Outbound_Shifting[[#This Row],[Exp '# or Key]])</f>
        <v>2nd-</v>
      </c>
      <c r="J323" t="s">
        <v>1755</v>
      </c>
      <c r="K323">
        <v>2</v>
      </c>
      <c r="L323" t="s">
        <v>366</v>
      </c>
      <c r="M323" t="s">
        <v>1268</v>
      </c>
      <c r="N323" t="s">
        <v>1755</v>
      </c>
      <c r="O323" t="s">
        <v>537</v>
      </c>
      <c r="P323" t="s">
        <v>6855</v>
      </c>
      <c r="Q323" t="s">
        <v>6856</v>
      </c>
      <c r="R323" t="s">
        <v>6307</v>
      </c>
      <c r="S323" t="s">
        <v>1755</v>
      </c>
      <c r="T323" t="s">
        <v>1755</v>
      </c>
      <c r="U323" t="s">
        <v>1755</v>
      </c>
      <c r="V323" t="s">
        <v>1755</v>
      </c>
      <c r="W323">
        <v>21000</v>
      </c>
      <c r="X323">
        <v>32000</v>
      </c>
      <c r="Y323">
        <v>46160</v>
      </c>
      <c r="Z323">
        <v>46149</v>
      </c>
      <c r="AA323" t="s">
        <v>1755</v>
      </c>
      <c r="AB323">
        <v>3</v>
      </c>
      <c r="AC323">
        <v>285000</v>
      </c>
      <c r="AD323">
        <v>240000</v>
      </c>
      <c r="AE323">
        <v>-45000</v>
      </c>
      <c r="AF323" t="s">
        <v>1755</v>
      </c>
      <c r="AG323">
        <v>8.90625</v>
      </c>
      <c r="AI323" t="s">
        <v>6308</v>
      </c>
      <c r="AJ323" t="s">
        <v>47</v>
      </c>
      <c r="AK323" t="s">
        <v>107</v>
      </c>
      <c r="AL323" t="s">
        <v>107</v>
      </c>
      <c r="AM323" t="s">
        <v>107</v>
      </c>
      <c r="AO323">
        <v>45000</v>
      </c>
      <c r="AP323">
        <v>-0.1875</v>
      </c>
      <c r="AQ323">
        <v>8.90625</v>
      </c>
      <c r="AR323" t="s">
        <v>47</v>
      </c>
      <c r="AT323" t="s">
        <v>47</v>
      </c>
    </row>
    <row r="324" spans="1:46" x14ac:dyDescent="0.25">
      <c r="A324" t="s">
        <v>1755</v>
      </c>
      <c r="B324" s="19">
        <v>46157</v>
      </c>
      <c r="C324" t="s">
        <v>1755</v>
      </c>
      <c r="D324" t="s">
        <v>6330</v>
      </c>
      <c r="E324" t="s">
        <v>117</v>
      </c>
      <c r="F324" t="s">
        <v>1755</v>
      </c>
      <c r="G324" t="s">
        <v>1755</v>
      </c>
      <c r="I324" t="str">
        <f>CONCATENATE(Inbound___Outbound_Shifting[[#This Row],[Batch '#]],"-",Inbound___Outbound_Shifting[[#This Row],[Exp '# or Key]])</f>
        <v>--</v>
      </c>
      <c r="J324" t="s">
        <v>1755</v>
      </c>
      <c r="K324">
        <v>1</v>
      </c>
      <c r="L324" t="s">
        <v>117</v>
      </c>
      <c r="M324" t="s">
        <v>1268</v>
      </c>
      <c r="N324" t="s">
        <v>1755</v>
      </c>
      <c r="O324" t="s">
        <v>1755</v>
      </c>
      <c r="P324" t="s">
        <v>1755</v>
      </c>
      <c r="Q324" t="s">
        <v>1755</v>
      </c>
      <c r="R324" t="s">
        <v>1755</v>
      </c>
      <c r="S324" t="s">
        <v>1755</v>
      </c>
      <c r="T324" t="s">
        <v>1755</v>
      </c>
      <c r="U324" t="s">
        <v>1755</v>
      </c>
      <c r="V324" t="s">
        <v>1755</v>
      </c>
      <c r="W324">
        <v>10000</v>
      </c>
      <c r="X324" t="s">
        <v>1755</v>
      </c>
      <c r="Y324">
        <v>46160</v>
      </c>
      <c r="Z324">
        <v>46149</v>
      </c>
      <c r="AA324" t="s">
        <v>1755</v>
      </c>
      <c r="AB324">
        <v>3</v>
      </c>
      <c r="AE324">
        <v>0</v>
      </c>
      <c r="AF324" t="s">
        <v>1755</v>
      </c>
      <c r="AI324" t="s">
        <v>1755</v>
      </c>
      <c r="AJ324" t="s">
        <v>1755</v>
      </c>
      <c r="AK324" t="s">
        <v>1755</v>
      </c>
      <c r="AL324" t="s">
        <v>1755</v>
      </c>
      <c r="AM324" t="s">
        <v>1755</v>
      </c>
      <c r="AO324">
        <v>0</v>
      </c>
    </row>
    <row r="325" spans="1:46" x14ac:dyDescent="0.25">
      <c r="A325" t="s">
        <v>6329</v>
      </c>
      <c r="B325" s="19">
        <v>46157</v>
      </c>
      <c r="C325" t="s">
        <v>634</v>
      </c>
      <c r="D325" t="s">
        <v>6330</v>
      </c>
      <c r="E325" t="s">
        <v>117</v>
      </c>
      <c r="F325" t="s">
        <v>6857</v>
      </c>
      <c r="G325" t="s">
        <v>1755</v>
      </c>
      <c r="I325" t="str">
        <f>CONCATENATE(Inbound___Outbound_Shifting[[#This Row],[Batch '#]],"-",Inbound___Outbound_Shifting[[#This Row],[Exp '# or Key]])</f>
        <v>--</v>
      </c>
      <c r="J325" t="s">
        <v>1755</v>
      </c>
      <c r="K325">
        <v>6</v>
      </c>
      <c r="L325" t="s">
        <v>117</v>
      </c>
      <c r="M325" t="s">
        <v>1268</v>
      </c>
      <c r="N325" t="s">
        <v>1755</v>
      </c>
      <c r="O325" t="s">
        <v>278</v>
      </c>
      <c r="P325" t="s">
        <v>6858</v>
      </c>
      <c r="Q325" t="s">
        <v>639</v>
      </c>
      <c r="R325" t="s">
        <v>6307</v>
      </c>
      <c r="S325" t="s">
        <v>1755</v>
      </c>
      <c r="T325" t="s">
        <v>1755</v>
      </c>
      <c r="U325" t="s">
        <v>1755</v>
      </c>
      <c r="V325" t="s">
        <v>1755</v>
      </c>
      <c r="W325">
        <v>10835</v>
      </c>
      <c r="X325">
        <v>13335</v>
      </c>
      <c r="Y325">
        <v>46160</v>
      </c>
      <c r="Z325">
        <v>46136</v>
      </c>
      <c r="AA325" t="s">
        <v>1755</v>
      </c>
      <c r="AB325">
        <v>3</v>
      </c>
      <c r="AC325">
        <v>170000</v>
      </c>
      <c r="AD325">
        <v>100012.5</v>
      </c>
      <c r="AE325">
        <v>-69987.5</v>
      </c>
      <c r="AF325" t="s">
        <v>1755</v>
      </c>
      <c r="AG325">
        <v>12.748406449193851</v>
      </c>
      <c r="AI325" t="s">
        <v>6308</v>
      </c>
      <c r="AJ325" t="s">
        <v>47</v>
      </c>
      <c r="AK325" t="s">
        <v>107</v>
      </c>
      <c r="AL325" t="s">
        <v>107</v>
      </c>
      <c r="AM325" t="s">
        <v>107</v>
      </c>
      <c r="AO325">
        <v>69987.5</v>
      </c>
      <c r="AP325">
        <v>-0.69978752655918008</v>
      </c>
      <c r="AQ325">
        <v>12.748406449193851</v>
      </c>
      <c r="AR325" t="s">
        <v>47</v>
      </c>
      <c r="AT325" t="s">
        <v>47</v>
      </c>
    </row>
    <row r="326" spans="1:46" x14ac:dyDescent="0.25">
      <c r="A326" t="s">
        <v>1755</v>
      </c>
      <c r="B326" s="19">
        <v>46157</v>
      </c>
      <c r="C326" t="s">
        <v>776</v>
      </c>
      <c r="D326" t="s">
        <v>6330</v>
      </c>
      <c r="E326" t="s">
        <v>117</v>
      </c>
      <c r="F326" t="s">
        <v>6859</v>
      </c>
      <c r="G326" t="s">
        <v>1755</v>
      </c>
      <c r="I326" t="str">
        <f>CONCATENATE(Inbound___Outbound_Shifting[[#This Row],[Batch '#]],"-",Inbound___Outbound_Shifting[[#This Row],[Exp '# or Key]])</f>
        <v>--</v>
      </c>
      <c r="J326" t="s">
        <v>1755</v>
      </c>
      <c r="K326">
        <v>1</v>
      </c>
      <c r="L326" t="s">
        <v>117</v>
      </c>
      <c r="M326" t="s">
        <v>1268</v>
      </c>
      <c r="N326" t="s">
        <v>1755</v>
      </c>
      <c r="O326" t="s">
        <v>1755</v>
      </c>
      <c r="P326" t="s">
        <v>1755</v>
      </c>
      <c r="Q326" t="s">
        <v>1755</v>
      </c>
      <c r="R326" t="s">
        <v>1755</v>
      </c>
      <c r="S326" t="s">
        <v>1755</v>
      </c>
      <c r="T326" t="s">
        <v>1755</v>
      </c>
      <c r="U326" t="s">
        <v>1755</v>
      </c>
      <c r="V326" t="s">
        <v>1755</v>
      </c>
      <c r="W326">
        <v>2500</v>
      </c>
      <c r="X326" t="s">
        <v>1755</v>
      </c>
      <c r="Y326">
        <v>46160</v>
      </c>
      <c r="Z326">
        <v>46087</v>
      </c>
      <c r="AA326" t="s">
        <v>1755</v>
      </c>
      <c r="AB326">
        <v>3</v>
      </c>
      <c r="AC326" t="s">
        <v>1755</v>
      </c>
      <c r="AE326">
        <v>0</v>
      </c>
      <c r="AF326" t="s">
        <v>1755</v>
      </c>
      <c r="AI326" t="s">
        <v>1755</v>
      </c>
      <c r="AJ326" t="s">
        <v>1755</v>
      </c>
      <c r="AK326" t="s">
        <v>1755</v>
      </c>
      <c r="AL326" t="s">
        <v>1755</v>
      </c>
      <c r="AM326" t="s">
        <v>1755</v>
      </c>
      <c r="AO326">
        <v>0</v>
      </c>
    </row>
    <row r="327" spans="1:46" x14ac:dyDescent="0.25">
      <c r="A327" t="s">
        <v>6300</v>
      </c>
      <c r="B327" s="19">
        <v>46158</v>
      </c>
      <c r="C327" t="s">
        <v>6860</v>
      </c>
      <c r="D327" t="s">
        <v>6302</v>
      </c>
      <c r="E327" t="s">
        <v>1268</v>
      </c>
      <c r="F327" t="s">
        <v>117</v>
      </c>
      <c r="G327" t="s">
        <v>1755</v>
      </c>
      <c r="I327" t="str">
        <f>CONCATENATE(Inbound___Outbound_Shifting[[#This Row],[Batch '#]],"-",Inbound___Outbound_Shifting[[#This Row],[Exp '# or Key]])</f>
        <v>--</v>
      </c>
      <c r="J327" t="s">
        <v>6861</v>
      </c>
      <c r="K327" t="s">
        <v>6862</v>
      </c>
      <c r="L327" t="s">
        <v>1755</v>
      </c>
      <c r="M327" t="s">
        <v>1755</v>
      </c>
      <c r="N327" t="s">
        <v>1755</v>
      </c>
      <c r="O327" t="s">
        <v>6341</v>
      </c>
      <c r="P327" t="s">
        <v>6863</v>
      </c>
      <c r="Q327" t="s">
        <v>6864</v>
      </c>
      <c r="R327" t="s">
        <v>6307</v>
      </c>
      <c r="S327">
        <v>1</v>
      </c>
      <c r="T327" t="s">
        <v>1755</v>
      </c>
      <c r="U327" t="s">
        <v>1755</v>
      </c>
      <c r="V327" t="s">
        <v>1755</v>
      </c>
      <c r="W327">
        <v>450</v>
      </c>
      <c r="X327">
        <v>13450</v>
      </c>
      <c r="Y327">
        <v>46161</v>
      </c>
      <c r="Z327" t="s">
        <v>1755</v>
      </c>
      <c r="AA327" t="s">
        <v>1755</v>
      </c>
      <c r="AB327">
        <v>3</v>
      </c>
      <c r="AC327">
        <v>250000</v>
      </c>
      <c r="AD327">
        <v>201750</v>
      </c>
      <c r="AE327">
        <v>-48250</v>
      </c>
      <c r="AF327" t="s">
        <v>1755</v>
      </c>
      <c r="AG327">
        <v>18.587360594795538</v>
      </c>
      <c r="AH327">
        <v>205.08613617719442</v>
      </c>
      <c r="AI327" t="s">
        <v>6308</v>
      </c>
      <c r="AJ327" t="s">
        <v>47</v>
      </c>
      <c r="AK327" t="s">
        <v>1755</v>
      </c>
      <c r="AL327" t="s">
        <v>1755</v>
      </c>
      <c r="AM327" t="s">
        <v>1755</v>
      </c>
      <c r="AO327">
        <v>48250</v>
      </c>
      <c r="AP327">
        <v>-0.23915737298636927</v>
      </c>
      <c r="AQ327">
        <v>18.587360594795538</v>
      </c>
      <c r="AR327" t="s">
        <v>47</v>
      </c>
      <c r="AT327" t="s">
        <v>47</v>
      </c>
    </row>
    <row r="328" spans="1:46" x14ac:dyDescent="0.25">
      <c r="A328" t="s">
        <v>1755</v>
      </c>
      <c r="B328" s="19">
        <v>46158</v>
      </c>
      <c r="C328" t="s">
        <v>6865</v>
      </c>
      <c r="D328" t="s">
        <v>6302</v>
      </c>
      <c r="E328" t="s">
        <v>1268</v>
      </c>
      <c r="F328" t="s">
        <v>1371</v>
      </c>
      <c r="G328" t="s">
        <v>1755</v>
      </c>
      <c r="I328" t="str">
        <f>CONCATENATE(Inbound___Outbound_Shifting[[#This Row],[Batch '#]],"-",Inbound___Outbound_Shifting[[#This Row],[Exp '# or Key]])</f>
        <v>--</v>
      </c>
      <c r="J328" t="s">
        <v>6866</v>
      </c>
      <c r="K328" t="s">
        <v>6867</v>
      </c>
      <c r="L328" t="s">
        <v>1755</v>
      </c>
      <c r="M328" t="s">
        <v>1755</v>
      </c>
      <c r="N328" t="s">
        <v>1755</v>
      </c>
      <c r="O328" t="s">
        <v>1755</v>
      </c>
      <c r="P328" t="s">
        <v>1755</v>
      </c>
      <c r="Q328" t="s">
        <v>1755</v>
      </c>
      <c r="R328" t="s">
        <v>1755</v>
      </c>
      <c r="S328" t="s">
        <v>1755</v>
      </c>
      <c r="T328" t="s">
        <v>1755</v>
      </c>
      <c r="U328" t="s">
        <v>1755</v>
      </c>
      <c r="V328" t="s">
        <v>1755</v>
      </c>
      <c r="W328">
        <v>3000</v>
      </c>
      <c r="X328" t="s">
        <v>1755</v>
      </c>
      <c r="Y328">
        <v>46161</v>
      </c>
      <c r="Z328" t="s">
        <v>1755</v>
      </c>
      <c r="AA328" t="s">
        <v>1755</v>
      </c>
      <c r="AB328">
        <v>3</v>
      </c>
      <c r="AC328" t="s">
        <v>1755</v>
      </c>
      <c r="AE328">
        <v>0</v>
      </c>
      <c r="AF328" t="s">
        <v>1755</v>
      </c>
      <c r="AI328" t="s">
        <v>1755</v>
      </c>
      <c r="AJ328" t="s">
        <v>1755</v>
      </c>
      <c r="AK328" t="s">
        <v>1755</v>
      </c>
      <c r="AL328" t="s">
        <v>1755</v>
      </c>
      <c r="AM328" t="s">
        <v>1755</v>
      </c>
      <c r="AO328">
        <v>0</v>
      </c>
    </row>
    <row r="329" spans="1:46" x14ac:dyDescent="0.25">
      <c r="A329" t="s">
        <v>1755</v>
      </c>
      <c r="B329" s="19">
        <v>46158</v>
      </c>
      <c r="C329" t="s">
        <v>6868</v>
      </c>
      <c r="D329" t="s">
        <v>6302</v>
      </c>
      <c r="E329" t="s">
        <v>1268</v>
      </c>
      <c r="F329" t="s">
        <v>1371</v>
      </c>
      <c r="G329" t="s">
        <v>1755</v>
      </c>
      <c r="I329" t="str">
        <f>CONCATENATE(Inbound___Outbound_Shifting[[#This Row],[Batch '#]],"-",Inbound___Outbound_Shifting[[#This Row],[Exp '# or Key]])</f>
        <v>--</v>
      </c>
      <c r="J329" t="s">
        <v>6869</v>
      </c>
      <c r="K329" t="s">
        <v>6518</v>
      </c>
      <c r="L329" t="s">
        <v>1755</v>
      </c>
      <c r="M329" t="s">
        <v>1755</v>
      </c>
      <c r="N329" t="s">
        <v>1755</v>
      </c>
      <c r="O329" t="s">
        <v>1755</v>
      </c>
      <c r="P329" t="s">
        <v>1755</v>
      </c>
      <c r="Q329" t="s">
        <v>1755</v>
      </c>
      <c r="R329" t="s">
        <v>1755</v>
      </c>
      <c r="S329" t="s">
        <v>1755</v>
      </c>
      <c r="T329" t="s">
        <v>1755</v>
      </c>
      <c r="U329" t="s">
        <v>1755</v>
      </c>
      <c r="V329" t="s">
        <v>1755</v>
      </c>
      <c r="W329">
        <v>10000</v>
      </c>
      <c r="X329" t="s">
        <v>1755</v>
      </c>
      <c r="Y329">
        <v>46161</v>
      </c>
      <c r="Z329" t="s">
        <v>1755</v>
      </c>
      <c r="AA329" t="s">
        <v>1755</v>
      </c>
      <c r="AB329">
        <v>3</v>
      </c>
      <c r="AC329" t="s">
        <v>1755</v>
      </c>
      <c r="AE329">
        <v>0</v>
      </c>
      <c r="AF329" t="s">
        <v>1755</v>
      </c>
      <c r="AI329" t="s">
        <v>1755</v>
      </c>
      <c r="AJ329" t="s">
        <v>1755</v>
      </c>
      <c r="AK329" t="s">
        <v>1755</v>
      </c>
      <c r="AL329" t="s">
        <v>1755</v>
      </c>
      <c r="AM329" t="s">
        <v>1755</v>
      </c>
      <c r="AO329">
        <v>0</v>
      </c>
    </row>
    <row r="330" spans="1:46" x14ac:dyDescent="0.25">
      <c r="A330" t="s">
        <v>6329</v>
      </c>
      <c r="B330" s="19">
        <v>46161</v>
      </c>
      <c r="C330" t="s">
        <v>1531</v>
      </c>
      <c r="D330" t="s">
        <v>6330</v>
      </c>
      <c r="E330" t="s">
        <v>117</v>
      </c>
      <c r="F330" t="s">
        <v>1532</v>
      </c>
      <c r="I330" t="str">
        <f>CONCATENATE(Inbound___Outbound_Shifting[[#This Row],[Batch '#]],"-",Inbound___Outbound_Shifting[[#This Row],[Exp '# or Key]])</f>
        <v>-</v>
      </c>
      <c r="J330" t="s">
        <v>1755</v>
      </c>
      <c r="K330">
        <v>3</v>
      </c>
      <c r="L330" t="s">
        <v>117</v>
      </c>
      <c r="M330" t="s">
        <v>1268</v>
      </c>
      <c r="N330" t="s">
        <v>1755</v>
      </c>
      <c r="O330" t="s">
        <v>278</v>
      </c>
      <c r="P330" t="s">
        <v>6870</v>
      </c>
      <c r="Q330" t="s">
        <v>1533</v>
      </c>
      <c r="R330" t="s">
        <v>6307</v>
      </c>
      <c r="S330" t="s">
        <v>1755</v>
      </c>
      <c r="T330" t="s">
        <v>1755</v>
      </c>
      <c r="U330" t="s">
        <v>1755</v>
      </c>
      <c r="V330" t="s">
        <v>1755</v>
      </c>
      <c r="W330">
        <v>33335</v>
      </c>
      <c r="X330">
        <v>36890</v>
      </c>
      <c r="Y330">
        <v>46164</v>
      </c>
      <c r="Z330">
        <v>46157</v>
      </c>
      <c r="AA330" t="s">
        <v>1755</v>
      </c>
      <c r="AB330">
        <v>3</v>
      </c>
      <c r="AC330">
        <v>235000</v>
      </c>
      <c r="AD330">
        <v>276675</v>
      </c>
      <c r="AE330">
        <v>41675</v>
      </c>
      <c r="AF330" t="s">
        <v>1755</v>
      </c>
      <c r="AG330">
        <v>6.3702900515044725</v>
      </c>
      <c r="AI330" t="s">
        <v>6308</v>
      </c>
      <c r="AJ330" t="s">
        <v>47</v>
      </c>
      <c r="AK330" t="s">
        <v>107</v>
      </c>
      <c r="AL330" t="s">
        <v>107</v>
      </c>
      <c r="AM330" t="s">
        <v>107</v>
      </c>
      <c r="AO330">
        <v>-41675</v>
      </c>
      <c r="AP330">
        <v>0.15062799313273698</v>
      </c>
      <c r="AQ330">
        <v>6.3702900515044725</v>
      </c>
      <c r="AR330" t="s">
        <v>47</v>
      </c>
      <c r="AT330" t="s">
        <v>47</v>
      </c>
    </row>
    <row r="331" spans="1:46" x14ac:dyDescent="0.25">
      <c r="A331" t="s">
        <v>1755</v>
      </c>
      <c r="B331" s="19">
        <v>46161</v>
      </c>
      <c r="C331" t="s">
        <v>1536</v>
      </c>
      <c r="D331" t="s">
        <v>6330</v>
      </c>
      <c r="E331" t="s">
        <v>117</v>
      </c>
      <c r="F331" t="s">
        <v>6871</v>
      </c>
      <c r="I331" t="str">
        <f>CONCATENATE(Inbound___Outbound_Shifting[[#This Row],[Batch '#]],"-",Inbound___Outbound_Shifting[[#This Row],[Exp '# or Key]])</f>
        <v>-</v>
      </c>
      <c r="J331" t="s">
        <v>1755</v>
      </c>
      <c r="K331">
        <v>1</v>
      </c>
      <c r="L331" t="s">
        <v>117</v>
      </c>
      <c r="M331" t="s">
        <v>1268</v>
      </c>
      <c r="N331" t="s">
        <v>1755</v>
      </c>
      <c r="O331" t="s">
        <v>1755</v>
      </c>
      <c r="P331" t="s">
        <v>1755</v>
      </c>
      <c r="Q331" t="s">
        <v>1755</v>
      </c>
      <c r="R331" t="s">
        <v>1755</v>
      </c>
      <c r="S331" t="s">
        <v>1755</v>
      </c>
      <c r="T331" t="s">
        <v>1755</v>
      </c>
      <c r="U331" t="s">
        <v>1755</v>
      </c>
      <c r="V331" t="s">
        <v>1755</v>
      </c>
      <c r="W331">
        <v>3555</v>
      </c>
      <c r="X331" t="s">
        <v>1755</v>
      </c>
      <c r="Y331">
        <v>46164</v>
      </c>
      <c r="Z331">
        <v>46172</v>
      </c>
      <c r="AA331" t="s">
        <v>1755</v>
      </c>
      <c r="AB331">
        <v>3</v>
      </c>
      <c r="AC331" t="s">
        <v>1755</v>
      </c>
      <c r="AE331">
        <v>0</v>
      </c>
      <c r="AF331" t="s">
        <v>1755</v>
      </c>
      <c r="AI331" t="s">
        <v>1755</v>
      </c>
      <c r="AJ331" t="s">
        <v>1755</v>
      </c>
      <c r="AK331" t="s">
        <v>1755</v>
      </c>
      <c r="AL331" t="s">
        <v>1755</v>
      </c>
      <c r="AM331" t="s">
        <v>1755</v>
      </c>
      <c r="AO331">
        <v>0</v>
      </c>
    </row>
    <row r="332" spans="1:46" x14ac:dyDescent="0.25">
      <c r="A332" t="s">
        <v>6329</v>
      </c>
      <c r="B332" s="19">
        <v>46161</v>
      </c>
      <c r="C332" t="s">
        <v>1531</v>
      </c>
      <c r="D332" t="s">
        <v>6330</v>
      </c>
      <c r="E332" t="s">
        <v>117</v>
      </c>
      <c r="F332" t="s">
        <v>1532</v>
      </c>
      <c r="I332" t="str">
        <f>CONCATENATE(Inbound___Outbound_Shifting[[#This Row],[Batch '#]],"-",Inbound___Outbound_Shifting[[#This Row],[Exp '# or Key]])</f>
        <v>-</v>
      </c>
      <c r="J332" t="s">
        <v>1755</v>
      </c>
      <c r="K332">
        <v>3</v>
      </c>
      <c r="L332" t="s">
        <v>117</v>
      </c>
      <c r="M332" t="s">
        <v>1268</v>
      </c>
      <c r="N332" t="s">
        <v>1755</v>
      </c>
      <c r="O332" t="s">
        <v>278</v>
      </c>
      <c r="P332" t="s">
        <v>6872</v>
      </c>
      <c r="Q332" t="s">
        <v>6873</v>
      </c>
      <c r="R332" t="s">
        <v>6307</v>
      </c>
      <c r="S332" t="s">
        <v>1755</v>
      </c>
      <c r="T332" t="s">
        <v>1755</v>
      </c>
      <c r="U332" t="s">
        <v>1755</v>
      </c>
      <c r="V332" t="s">
        <v>1755</v>
      </c>
      <c r="W332">
        <v>28846</v>
      </c>
      <c r="X332">
        <v>29570</v>
      </c>
      <c r="Y332">
        <v>46164</v>
      </c>
      <c r="Z332">
        <v>46157</v>
      </c>
      <c r="AA332" t="s">
        <v>1755</v>
      </c>
      <c r="AB332">
        <v>3</v>
      </c>
      <c r="AC332">
        <v>235000</v>
      </c>
      <c r="AD332">
        <v>221775</v>
      </c>
      <c r="AE332">
        <v>-13225</v>
      </c>
      <c r="AF332" t="s">
        <v>1755</v>
      </c>
      <c r="AG332">
        <v>7.947243828204261</v>
      </c>
      <c r="AI332" t="s">
        <v>6308</v>
      </c>
      <c r="AJ332" t="s">
        <v>47</v>
      </c>
      <c r="AK332" t="s">
        <v>107</v>
      </c>
      <c r="AL332" t="s">
        <v>107</v>
      </c>
      <c r="AM332" t="s">
        <v>107</v>
      </c>
      <c r="AO332">
        <v>13225</v>
      </c>
      <c r="AP332">
        <v>-5.963251042723481E-2</v>
      </c>
      <c r="AQ332">
        <v>7.947243828204261</v>
      </c>
      <c r="AR332" t="s">
        <v>47</v>
      </c>
      <c r="AT332" t="s">
        <v>47</v>
      </c>
    </row>
    <row r="333" spans="1:46" x14ac:dyDescent="0.25">
      <c r="A333" t="s">
        <v>6329</v>
      </c>
      <c r="B333" s="19">
        <v>46161</v>
      </c>
      <c r="C333" t="s">
        <v>1531</v>
      </c>
      <c r="D333" t="s">
        <v>6330</v>
      </c>
      <c r="E333" t="s">
        <v>117</v>
      </c>
      <c r="F333" t="s">
        <v>1532</v>
      </c>
      <c r="I333" t="str">
        <f>CONCATENATE(Inbound___Outbound_Shifting[[#This Row],[Batch '#]],"-",Inbound___Outbound_Shifting[[#This Row],[Exp '# or Key]])</f>
        <v>-</v>
      </c>
      <c r="J333" t="s">
        <v>1755</v>
      </c>
      <c r="K333">
        <v>3</v>
      </c>
      <c r="L333" t="s">
        <v>117</v>
      </c>
      <c r="M333" t="s">
        <v>1268</v>
      </c>
      <c r="N333" t="s">
        <v>1755</v>
      </c>
      <c r="O333" t="s">
        <v>278</v>
      </c>
      <c r="P333" t="s">
        <v>6874</v>
      </c>
      <c r="Q333" t="s">
        <v>6875</v>
      </c>
      <c r="R333" t="s">
        <v>6307</v>
      </c>
      <c r="S333" t="s">
        <v>1755</v>
      </c>
      <c r="T333" t="s">
        <v>1755</v>
      </c>
      <c r="U333" t="s">
        <v>1755</v>
      </c>
      <c r="V333" t="s">
        <v>1755</v>
      </c>
      <c r="W333">
        <v>28860</v>
      </c>
      <c r="X333">
        <v>30135</v>
      </c>
      <c r="Y333">
        <v>46164</v>
      </c>
      <c r="Z333">
        <v>46157</v>
      </c>
      <c r="AA333" t="s">
        <v>1755</v>
      </c>
      <c r="AB333">
        <v>3</v>
      </c>
      <c r="AC333">
        <v>235000</v>
      </c>
      <c r="AD333">
        <v>226012.5</v>
      </c>
      <c r="AE333">
        <v>-8987.5</v>
      </c>
      <c r="AF333" t="s">
        <v>1755</v>
      </c>
      <c r="AG333">
        <v>7.7982412477185994</v>
      </c>
      <c r="AI333" t="s">
        <v>6308</v>
      </c>
      <c r="AJ333" t="s">
        <v>47</v>
      </c>
      <c r="AK333" t="s">
        <v>107</v>
      </c>
      <c r="AL333" t="s">
        <v>107</v>
      </c>
      <c r="AM333" t="s">
        <v>107</v>
      </c>
      <c r="AO333">
        <v>8987.5</v>
      </c>
      <c r="AP333">
        <v>-3.9765499695813285E-2</v>
      </c>
      <c r="AQ333">
        <v>7.7982412477185994</v>
      </c>
      <c r="AR333" t="s">
        <v>47</v>
      </c>
      <c r="AT333" t="s">
        <v>47</v>
      </c>
    </row>
    <row r="334" spans="1:46" x14ac:dyDescent="0.25">
      <c r="A334" t="s">
        <v>6329</v>
      </c>
      <c r="B334" s="19">
        <v>46161</v>
      </c>
      <c r="C334" t="s">
        <v>1556</v>
      </c>
      <c r="D334" t="s">
        <v>1596</v>
      </c>
      <c r="E334" t="s">
        <v>117</v>
      </c>
      <c r="F334" t="s">
        <v>1557</v>
      </c>
      <c r="I334" t="str">
        <f>CONCATENATE(Inbound___Outbound_Shifting[[#This Row],[Batch '#]],"-",Inbound___Outbound_Shifting[[#This Row],[Exp '# or Key]])</f>
        <v>-</v>
      </c>
      <c r="J334" t="s">
        <v>1755</v>
      </c>
      <c r="K334">
        <v>2</v>
      </c>
      <c r="L334" t="s">
        <v>117</v>
      </c>
      <c r="M334" t="s">
        <v>6876</v>
      </c>
      <c r="N334" t="s">
        <v>1755</v>
      </c>
      <c r="O334" t="s">
        <v>767</v>
      </c>
      <c r="P334" t="s">
        <v>6877</v>
      </c>
      <c r="Q334" t="s">
        <v>1558</v>
      </c>
      <c r="R334" t="s">
        <v>6307</v>
      </c>
      <c r="S334" t="s">
        <v>1755</v>
      </c>
      <c r="T334" t="s">
        <v>1755</v>
      </c>
      <c r="U334" t="s">
        <v>1755</v>
      </c>
      <c r="V334" t="s">
        <v>1755</v>
      </c>
      <c r="W334">
        <v>37000</v>
      </c>
      <c r="X334">
        <v>37915</v>
      </c>
      <c r="Y334">
        <v>46162</v>
      </c>
      <c r="Z334">
        <v>46161</v>
      </c>
      <c r="AA334" t="s">
        <v>1755</v>
      </c>
      <c r="AB334">
        <v>1</v>
      </c>
      <c r="AC334">
        <v>145000</v>
      </c>
      <c r="AD334">
        <v>284362.5</v>
      </c>
      <c r="AE334">
        <v>139362.5</v>
      </c>
      <c r="AF334" t="s">
        <v>1755</v>
      </c>
      <c r="AG334">
        <v>3.8243439272055912</v>
      </c>
      <c r="AI334" t="s">
        <v>6334</v>
      </c>
      <c r="AJ334" t="s">
        <v>47</v>
      </c>
      <c r="AK334" t="s">
        <v>1755</v>
      </c>
      <c r="AL334" t="s">
        <v>1755</v>
      </c>
      <c r="AM334" t="s">
        <v>1755</v>
      </c>
      <c r="AO334">
        <v>-139362.5</v>
      </c>
      <c r="AP334">
        <v>0.49008747637258782</v>
      </c>
      <c r="AQ334">
        <v>3.8243439272055912</v>
      </c>
      <c r="AR334" t="s">
        <v>47</v>
      </c>
      <c r="AT334" t="s">
        <v>47</v>
      </c>
    </row>
    <row r="335" spans="1:46" x14ac:dyDescent="0.25">
      <c r="A335" t="s">
        <v>6329</v>
      </c>
      <c r="B335" s="19">
        <v>46161</v>
      </c>
      <c r="C335" t="s">
        <v>1556</v>
      </c>
      <c r="D335" t="s">
        <v>1596</v>
      </c>
      <c r="E335" t="s">
        <v>117</v>
      </c>
      <c r="F335" t="s">
        <v>1557</v>
      </c>
      <c r="I335" t="str">
        <f>CONCATENATE(Inbound___Outbound_Shifting[[#This Row],[Batch '#]],"-",Inbound___Outbound_Shifting[[#This Row],[Exp '# or Key]])</f>
        <v>-</v>
      </c>
      <c r="J335" t="s">
        <v>1755</v>
      </c>
      <c r="K335">
        <v>2</v>
      </c>
      <c r="L335" t="s">
        <v>117</v>
      </c>
      <c r="M335" t="s">
        <v>6876</v>
      </c>
      <c r="N335" t="s">
        <v>1755</v>
      </c>
      <c r="O335" t="s">
        <v>767</v>
      </c>
      <c r="P335" t="s">
        <v>6878</v>
      </c>
      <c r="Q335" t="s">
        <v>6879</v>
      </c>
      <c r="R335" t="s">
        <v>6307</v>
      </c>
      <c r="S335" t="s">
        <v>1755</v>
      </c>
      <c r="T335" t="s">
        <v>1755</v>
      </c>
      <c r="U335" t="s">
        <v>1755</v>
      </c>
      <c r="V335" t="s">
        <v>1755</v>
      </c>
      <c r="W335">
        <v>37000</v>
      </c>
      <c r="X335">
        <v>37905</v>
      </c>
      <c r="Y335">
        <v>46162</v>
      </c>
      <c r="Z335">
        <v>46161</v>
      </c>
      <c r="AA335" t="s">
        <v>1755</v>
      </c>
      <c r="AB335">
        <v>1</v>
      </c>
      <c r="AC335">
        <v>145000</v>
      </c>
      <c r="AD335">
        <v>284287.5</v>
      </c>
      <c r="AE335">
        <v>139287.5</v>
      </c>
      <c r="AF335" t="s">
        <v>1755</v>
      </c>
      <c r="AG335">
        <v>3.8253528558237702</v>
      </c>
      <c r="AI335" t="s">
        <v>6334</v>
      </c>
      <c r="AJ335" t="s">
        <v>47</v>
      </c>
      <c r="AK335" t="s">
        <v>1755</v>
      </c>
      <c r="AL335" t="s">
        <v>1755</v>
      </c>
      <c r="AM335" t="s">
        <v>1755</v>
      </c>
      <c r="AO335">
        <v>-139287.5</v>
      </c>
      <c r="AP335">
        <v>0.48995295255683069</v>
      </c>
      <c r="AQ335">
        <v>3.8253528558237702</v>
      </c>
      <c r="AR335" t="s">
        <v>47</v>
      </c>
      <c r="AT335" t="s">
        <v>47</v>
      </c>
    </row>
    <row r="336" spans="1:46" x14ac:dyDescent="0.25">
      <c r="A336" t="s">
        <v>6329</v>
      </c>
      <c r="B336" s="19">
        <v>46164</v>
      </c>
      <c r="C336" t="s">
        <v>1525</v>
      </c>
      <c r="D336" t="s">
        <v>1600</v>
      </c>
      <c r="E336" t="s">
        <v>117</v>
      </c>
      <c r="F336" t="s">
        <v>31</v>
      </c>
      <c r="I336" t="str">
        <f>CONCATENATE(Inbound___Outbound_Shifting[[#This Row],[Batch '#]],"-",Inbound___Outbound_Shifting[[#This Row],[Exp '# or Key]])</f>
        <v>-</v>
      </c>
      <c r="J336" t="s">
        <v>1755</v>
      </c>
      <c r="K336">
        <v>1</v>
      </c>
      <c r="L336" t="s">
        <v>117</v>
      </c>
      <c r="M336" t="s">
        <v>6489</v>
      </c>
      <c r="N336" t="s">
        <v>1755</v>
      </c>
      <c r="O336" t="s">
        <v>455</v>
      </c>
      <c r="P336" t="s">
        <v>6880</v>
      </c>
      <c r="Q336" t="s">
        <v>1526</v>
      </c>
      <c r="R336" t="s">
        <v>6465</v>
      </c>
      <c r="S336" t="s">
        <v>1755</v>
      </c>
      <c r="T336" t="s">
        <v>1755</v>
      </c>
      <c r="U336" t="s">
        <v>1755</v>
      </c>
      <c r="V336" t="s">
        <v>1755</v>
      </c>
      <c r="W336">
        <v>4700</v>
      </c>
      <c r="X336">
        <v>8000</v>
      </c>
      <c r="Y336">
        <v>46165</v>
      </c>
      <c r="Z336">
        <v>46162</v>
      </c>
      <c r="AA336" t="s">
        <v>1755</v>
      </c>
      <c r="AB336">
        <v>1</v>
      </c>
      <c r="AC336">
        <v>160000</v>
      </c>
      <c r="AD336">
        <v>60000</v>
      </c>
      <c r="AE336">
        <v>-100000</v>
      </c>
      <c r="AF336" t="s">
        <v>1755</v>
      </c>
      <c r="AG336">
        <v>20</v>
      </c>
      <c r="AI336" t="s">
        <v>6308</v>
      </c>
      <c r="AJ336" t="s">
        <v>47</v>
      </c>
      <c r="AK336" t="s">
        <v>107</v>
      </c>
      <c r="AL336" t="s">
        <v>107</v>
      </c>
      <c r="AM336" t="s">
        <v>107</v>
      </c>
      <c r="AO336">
        <v>100000</v>
      </c>
      <c r="AP336">
        <v>-1.6666666666666667</v>
      </c>
      <c r="AQ336">
        <v>20</v>
      </c>
      <c r="AR336" t="s">
        <v>47</v>
      </c>
      <c r="AT336" t="s">
        <v>47</v>
      </c>
    </row>
    <row r="337" spans="1:46" x14ac:dyDescent="0.25">
      <c r="A337" t="s">
        <v>1755</v>
      </c>
      <c r="B337" s="19">
        <v>46164</v>
      </c>
      <c r="C337" t="s">
        <v>1527</v>
      </c>
      <c r="D337" t="s">
        <v>1600</v>
      </c>
      <c r="E337" t="s">
        <v>117</v>
      </c>
      <c r="F337" t="s">
        <v>31</v>
      </c>
      <c r="I337" t="str">
        <f>CONCATENATE(Inbound___Outbound_Shifting[[#This Row],[Batch '#]],"-",Inbound___Outbound_Shifting[[#This Row],[Exp '# or Key]])</f>
        <v>-</v>
      </c>
      <c r="J337" t="s">
        <v>1755</v>
      </c>
      <c r="K337">
        <v>2</v>
      </c>
      <c r="L337" t="s">
        <v>117</v>
      </c>
      <c r="M337" t="s">
        <v>6489</v>
      </c>
      <c r="N337" t="s">
        <v>1755</v>
      </c>
      <c r="O337" t="s">
        <v>1755</v>
      </c>
      <c r="P337" t="s">
        <v>1755</v>
      </c>
      <c r="Q337" t="s">
        <v>1755</v>
      </c>
      <c r="R337" t="s">
        <v>1755</v>
      </c>
      <c r="S337" t="s">
        <v>1755</v>
      </c>
      <c r="T337" t="s">
        <v>1755</v>
      </c>
      <c r="U337" t="s">
        <v>1755</v>
      </c>
      <c r="V337" t="s">
        <v>1755</v>
      </c>
      <c r="W337">
        <v>1000</v>
      </c>
      <c r="X337" t="s">
        <v>1755</v>
      </c>
      <c r="Y337">
        <v>46165</v>
      </c>
      <c r="Z337">
        <v>46164</v>
      </c>
      <c r="AA337" t="s">
        <v>1755</v>
      </c>
      <c r="AB337">
        <v>1</v>
      </c>
      <c r="AC337" t="s">
        <v>1755</v>
      </c>
      <c r="AE337">
        <v>0</v>
      </c>
      <c r="AF337" t="s">
        <v>1755</v>
      </c>
      <c r="AI337" t="s">
        <v>1755</v>
      </c>
      <c r="AJ337" t="s">
        <v>1755</v>
      </c>
      <c r="AK337" t="s">
        <v>1755</v>
      </c>
      <c r="AL337" t="s">
        <v>1755</v>
      </c>
      <c r="AM337" t="s">
        <v>1755</v>
      </c>
      <c r="AO337">
        <v>0</v>
      </c>
    </row>
    <row r="338" spans="1:46" x14ac:dyDescent="0.25">
      <c r="A338" t="s">
        <v>1755</v>
      </c>
      <c r="B338" s="19">
        <v>46164</v>
      </c>
      <c r="C338" t="s">
        <v>1528</v>
      </c>
      <c r="D338" t="s">
        <v>1600</v>
      </c>
      <c r="E338" t="s">
        <v>117</v>
      </c>
      <c r="F338" t="s">
        <v>31</v>
      </c>
      <c r="I338" t="str">
        <f>CONCATENATE(Inbound___Outbound_Shifting[[#This Row],[Batch '#]],"-",Inbound___Outbound_Shifting[[#This Row],[Exp '# or Key]])</f>
        <v>-</v>
      </c>
      <c r="J338" t="s">
        <v>1755</v>
      </c>
      <c r="K338">
        <v>1</v>
      </c>
      <c r="L338" t="s">
        <v>117</v>
      </c>
      <c r="M338" t="s">
        <v>6489</v>
      </c>
      <c r="N338" t="s">
        <v>1755</v>
      </c>
      <c r="O338" t="s">
        <v>1755</v>
      </c>
      <c r="P338" t="s">
        <v>1755</v>
      </c>
      <c r="Q338" t="s">
        <v>1755</v>
      </c>
      <c r="R338" t="s">
        <v>1755</v>
      </c>
      <c r="S338" t="s">
        <v>1755</v>
      </c>
      <c r="T338" t="s">
        <v>1755</v>
      </c>
      <c r="U338" t="s">
        <v>1755</v>
      </c>
      <c r="V338" t="s">
        <v>1755</v>
      </c>
      <c r="W338">
        <v>2300</v>
      </c>
      <c r="X338" t="s">
        <v>1755</v>
      </c>
      <c r="Y338">
        <v>46165</v>
      </c>
      <c r="Z338">
        <v>46160</v>
      </c>
      <c r="AA338" t="s">
        <v>1755</v>
      </c>
      <c r="AB338">
        <v>1</v>
      </c>
      <c r="AC338" t="s">
        <v>1755</v>
      </c>
      <c r="AE338">
        <v>0</v>
      </c>
      <c r="AF338" t="s">
        <v>1755</v>
      </c>
      <c r="AI338" t="s">
        <v>1755</v>
      </c>
      <c r="AJ338" t="s">
        <v>1755</v>
      </c>
      <c r="AK338" t="s">
        <v>1755</v>
      </c>
      <c r="AL338" t="s">
        <v>1755</v>
      </c>
      <c r="AM338" t="s">
        <v>1755</v>
      </c>
      <c r="AO338">
        <v>0</v>
      </c>
    </row>
    <row r="339" spans="1:46" x14ac:dyDescent="0.25">
      <c r="A339" t="s">
        <v>6300</v>
      </c>
      <c r="B339" s="19">
        <v>46167</v>
      </c>
      <c r="C339" t="s">
        <v>6881</v>
      </c>
      <c r="D339" t="s">
        <v>6302</v>
      </c>
      <c r="E339" t="s">
        <v>1268</v>
      </c>
      <c r="F339" t="s">
        <v>1371</v>
      </c>
      <c r="G339" t="s">
        <v>1755</v>
      </c>
      <c r="I339" t="str">
        <f>CONCATENATE(Inbound___Outbound_Shifting[[#This Row],[Batch '#]],"-",Inbound___Outbound_Shifting[[#This Row],[Exp '# or Key]])</f>
        <v>--</v>
      </c>
      <c r="J339" t="s">
        <v>6629</v>
      </c>
      <c r="K339" t="s">
        <v>6882</v>
      </c>
      <c r="L339" t="s">
        <v>1755</v>
      </c>
      <c r="M339" t="s">
        <v>1755</v>
      </c>
      <c r="N339" t="s">
        <v>1755</v>
      </c>
      <c r="O339" t="s">
        <v>278</v>
      </c>
      <c r="P339" t="s">
        <v>6883</v>
      </c>
      <c r="Q339" t="s">
        <v>6884</v>
      </c>
      <c r="R339" t="s">
        <v>6307</v>
      </c>
      <c r="S339">
        <v>1</v>
      </c>
      <c r="T339" t="s">
        <v>1755</v>
      </c>
      <c r="U339" t="s">
        <v>1755</v>
      </c>
      <c r="V339" t="s">
        <v>1755</v>
      </c>
      <c r="W339">
        <v>21720</v>
      </c>
      <c r="X339">
        <v>34490</v>
      </c>
      <c r="Y339">
        <v>46171</v>
      </c>
      <c r="Z339" t="s">
        <v>1755</v>
      </c>
      <c r="AA339" t="s">
        <v>1755</v>
      </c>
      <c r="AB339">
        <v>4</v>
      </c>
      <c r="AC339">
        <v>500105</v>
      </c>
      <c r="AD339">
        <v>517350</v>
      </c>
      <c r="AE339">
        <v>17245</v>
      </c>
      <c r="AF339" t="s">
        <v>1755</v>
      </c>
      <c r="AG339">
        <v>14.5</v>
      </c>
      <c r="AH339">
        <v>410.25840853158326</v>
      </c>
      <c r="AI339" t="s">
        <v>6308</v>
      </c>
      <c r="AJ339" t="s">
        <v>47</v>
      </c>
      <c r="AK339" t="s">
        <v>107</v>
      </c>
      <c r="AL339" t="s">
        <v>107</v>
      </c>
      <c r="AM339" t="s">
        <v>107</v>
      </c>
      <c r="AO339">
        <v>-17245</v>
      </c>
      <c r="AP339">
        <v>3.3333333333333333E-2</v>
      </c>
      <c r="AQ339">
        <v>14.5</v>
      </c>
      <c r="AR339" t="s">
        <v>47</v>
      </c>
      <c r="AT339" t="s">
        <v>47</v>
      </c>
    </row>
    <row r="340" spans="1:46" x14ac:dyDescent="0.25">
      <c r="A340" t="s">
        <v>1755</v>
      </c>
      <c r="B340" s="19">
        <v>46167</v>
      </c>
      <c r="C340" t="s">
        <v>6885</v>
      </c>
      <c r="D340" t="s">
        <v>6302</v>
      </c>
      <c r="E340" t="s">
        <v>1268</v>
      </c>
      <c r="F340" t="s">
        <v>1371</v>
      </c>
      <c r="G340" t="s">
        <v>1755</v>
      </c>
      <c r="I340" t="str">
        <f>CONCATENATE(Inbound___Outbound_Shifting[[#This Row],[Batch '#]],"-",Inbound___Outbound_Shifting[[#This Row],[Exp '# or Key]])</f>
        <v>--</v>
      </c>
      <c r="J340" t="s">
        <v>6480</v>
      </c>
      <c r="K340" t="s">
        <v>6321</v>
      </c>
      <c r="L340" t="s">
        <v>1755</v>
      </c>
      <c r="M340" t="s">
        <v>1755</v>
      </c>
      <c r="N340" t="s">
        <v>1755</v>
      </c>
      <c r="O340" t="s">
        <v>1755</v>
      </c>
      <c r="P340" t="s">
        <v>1755</v>
      </c>
      <c r="Q340" t="s">
        <v>1755</v>
      </c>
      <c r="R340" t="s">
        <v>1755</v>
      </c>
      <c r="S340" t="s">
        <v>1755</v>
      </c>
      <c r="T340" t="s">
        <v>1755</v>
      </c>
      <c r="U340" t="s">
        <v>1755</v>
      </c>
      <c r="V340" t="s">
        <v>1755</v>
      </c>
      <c r="W340">
        <v>6000</v>
      </c>
      <c r="X340" t="s">
        <v>1755</v>
      </c>
      <c r="Y340">
        <v>46171</v>
      </c>
      <c r="Z340" t="s">
        <v>1755</v>
      </c>
      <c r="AA340" t="s">
        <v>1755</v>
      </c>
      <c r="AB340">
        <v>4</v>
      </c>
      <c r="AC340" t="s">
        <v>1755</v>
      </c>
      <c r="AE340">
        <v>0</v>
      </c>
      <c r="AF340" t="s">
        <v>1755</v>
      </c>
      <c r="AI340" t="s">
        <v>1755</v>
      </c>
      <c r="AJ340" t="s">
        <v>1755</v>
      </c>
      <c r="AK340" t="s">
        <v>1755</v>
      </c>
      <c r="AL340" t="s">
        <v>1755</v>
      </c>
      <c r="AM340" t="s">
        <v>1755</v>
      </c>
      <c r="AO340">
        <v>0</v>
      </c>
    </row>
    <row r="341" spans="1:46" x14ac:dyDescent="0.25">
      <c r="A341" t="s">
        <v>1755</v>
      </c>
      <c r="B341" s="19">
        <v>46167</v>
      </c>
      <c r="C341" t="s">
        <v>6886</v>
      </c>
      <c r="D341" t="s">
        <v>6302</v>
      </c>
      <c r="E341" t="s">
        <v>1268</v>
      </c>
      <c r="F341" t="s">
        <v>1371</v>
      </c>
      <c r="G341" t="s">
        <v>1755</v>
      </c>
      <c r="I341" t="str">
        <f>CONCATENATE(Inbound___Outbound_Shifting[[#This Row],[Batch '#]],"-",Inbound___Outbound_Shifting[[#This Row],[Exp '# or Key]])</f>
        <v>--</v>
      </c>
      <c r="J341" t="s">
        <v>6844</v>
      </c>
      <c r="K341" t="s">
        <v>6887</v>
      </c>
      <c r="L341" t="s">
        <v>1755</v>
      </c>
      <c r="M341" t="s">
        <v>1755</v>
      </c>
      <c r="N341" t="s">
        <v>1755</v>
      </c>
      <c r="O341" t="s">
        <v>1755</v>
      </c>
      <c r="P341" t="s">
        <v>1755</v>
      </c>
      <c r="Q341" t="s">
        <v>1755</v>
      </c>
      <c r="R341" t="s">
        <v>1755</v>
      </c>
      <c r="S341" t="s">
        <v>1755</v>
      </c>
      <c r="T341" t="s">
        <v>1755</v>
      </c>
      <c r="U341" t="s">
        <v>1755</v>
      </c>
      <c r="V341" t="s">
        <v>1755</v>
      </c>
      <c r="W341">
        <v>5200</v>
      </c>
      <c r="X341" t="s">
        <v>1755</v>
      </c>
      <c r="Y341">
        <v>46171</v>
      </c>
      <c r="Z341" t="s">
        <v>1755</v>
      </c>
      <c r="AA341" t="s">
        <v>1755</v>
      </c>
      <c r="AB341">
        <v>4</v>
      </c>
      <c r="AC341" t="s">
        <v>1755</v>
      </c>
      <c r="AE341">
        <v>0</v>
      </c>
      <c r="AF341" t="s">
        <v>1755</v>
      </c>
      <c r="AI341" t="s">
        <v>1755</v>
      </c>
      <c r="AJ341" t="s">
        <v>1755</v>
      </c>
      <c r="AK341" t="s">
        <v>1755</v>
      </c>
      <c r="AL341" t="s">
        <v>1755</v>
      </c>
      <c r="AM341" t="s">
        <v>1755</v>
      </c>
      <c r="AO341">
        <v>0</v>
      </c>
    </row>
    <row r="342" spans="1:46" x14ac:dyDescent="0.25">
      <c r="A342" t="s">
        <v>1755</v>
      </c>
      <c r="B342" s="19">
        <v>46167</v>
      </c>
      <c r="C342" t="s">
        <v>6888</v>
      </c>
      <c r="D342" t="s">
        <v>6302</v>
      </c>
      <c r="E342" t="s">
        <v>1268</v>
      </c>
      <c r="F342" t="s">
        <v>117</v>
      </c>
      <c r="G342" t="s">
        <v>1755</v>
      </c>
      <c r="I342" t="str">
        <f>CONCATENATE(Inbound___Outbound_Shifting[[#This Row],[Batch '#]],"-",Inbound___Outbound_Shifting[[#This Row],[Exp '# or Key]])</f>
        <v>--</v>
      </c>
      <c r="J342" t="s">
        <v>6889</v>
      </c>
      <c r="K342" t="s">
        <v>6890</v>
      </c>
      <c r="L342" t="s">
        <v>1755</v>
      </c>
      <c r="M342" t="s">
        <v>1755</v>
      </c>
      <c r="N342" t="s">
        <v>1755</v>
      </c>
      <c r="O342" t="s">
        <v>1755</v>
      </c>
      <c r="P342" t="s">
        <v>1755</v>
      </c>
      <c r="Q342" t="s">
        <v>1755</v>
      </c>
      <c r="R342" t="s">
        <v>1755</v>
      </c>
      <c r="S342" t="s">
        <v>1755</v>
      </c>
      <c r="T342" t="s">
        <v>1755</v>
      </c>
      <c r="U342" t="s">
        <v>1755</v>
      </c>
      <c r="V342" t="s">
        <v>1755</v>
      </c>
      <c r="W342">
        <v>1570</v>
      </c>
      <c r="X342" t="s">
        <v>1755</v>
      </c>
      <c r="Y342">
        <v>46171</v>
      </c>
      <c r="Z342" t="s">
        <v>1755</v>
      </c>
      <c r="AA342" t="s">
        <v>1755</v>
      </c>
      <c r="AB342">
        <v>4</v>
      </c>
      <c r="AC342" t="s">
        <v>1755</v>
      </c>
      <c r="AE342">
        <v>0</v>
      </c>
      <c r="AF342" t="s">
        <v>1755</v>
      </c>
      <c r="AI342" t="s">
        <v>1755</v>
      </c>
      <c r="AJ342" t="s">
        <v>1755</v>
      </c>
      <c r="AK342" t="s">
        <v>1755</v>
      </c>
      <c r="AL342" t="s">
        <v>1755</v>
      </c>
      <c r="AM342" t="s">
        <v>1755</v>
      </c>
      <c r="AO342">
        <v>0</v>
      </c>
    </row>
    <row r="343" spans="1:46" x14ac:dyDescent="0.25">
      <c r="A343" t="s">
        <v>1755</v>
      </c>
      <c r="B343" s="19">
        <v>46174</v>
      </c>
      <c r="C343" t="s">
        <v>6891</v>
      </c>
      <c r="D343" t="s">
        <v>6302</v>
      </c>
      <c r="E343" t="s">
        <v>1268</v>
      </c>
      <c r="F343" t="s">
        <v>1371</v>
      </c>
      <c r="G343" t="s">
        <v>1755</v>
      </c>
      <c r="I343" t="str">
        <f>CONCATENATE(Inbound___Outbound_Shifting[[#This Row],[Batch '#]],"-",Inbound___Outbound_Shifting[[#This Row],[Exp '# or Key]])</f>
        <v>--</v>
      </c>
      <c r="J343" t="s">
        <v>6892</v>
      </c>
      <c r="K343" t="s">
        <v>6527</v>
      </c>
      <c r="L343" t="s">
        <v>1755</v>
      </c>
      <c r="M343" t="s">
        <v>1755</v>
      </c>
      <c r="N343" t="s">
        <v>1755</v>
      </c>
      <c r="O343" t="s">
        <v>1755</v>
      </c>
      <c r="P343" t="s">
        <v>1755</v>
      </c>
      <c r="Q343" t="s">
        <v>1755</v>
      </c>
      <c r="R343" t="s">
        <v>1755</v>
      </c>
      <c r="S343" t="s">
        <v>1755</v>
      </c>
      <c r="T343" t="s">
        <v>1755</v>
      </c>
      <c r="U343" t="s">
        <v>1755</v>
      </c>
      <c r="V343" t="s">
        <v>1755</v>
      </c>
      <c r="W343">
        <v>5000</v>
      </c>
      <c r="X343" t="s">
        <v>1755</v>
      </c>
      <c r="Y343">
        <v>46177</v>
      </c>
      <c r="Z343" t="s">
        <v>1755</v>
      </c>
      <c r="AA343" t="s">
        <v>1755</v>
      </c>
      <c r="AB343">
        <v>3</v>
      </c>
      <c r="AC343" t="s">
        <v>1755</v>
      </c>
      <c r="AE343">
        <v>0</v>
      </c>
      <c r="AF343" t="s">
        <v>1755</v>
      </c>
      <c r="AI343" t="s">
        <v>1755</v>
      </c>
      <c r="AJ343" t="s">
        <v>1755</v>
      </c>
      <c r="AK343" t="s">
        <v>1755</v>
      </c>
      <c r="AL343" t="s">
        <v>1755</v>
      </c>
      <c r="AM343" t="s">
        <v>1755</v>
      </c>
      <c r="AO343">
        <v>0</v>
      </c>
    </row>
    <row r="344" spans="1:46" x14ac:dyDescent="0.25">
      <c r="A344" t="s">
        <v>6300</v>
      </c>
      <c r="B344" s="19">
        <v>46174</v>
      </c>
      <c r="C344" t="s">
        <v>6893</v>
      </c>
      <c r="D344" t="s">
        <v>6302</v>
      </c>
      <c r="E344" t="s">
        <v>1268</v>
      </c>
      <c r="F344" t="s">
        <v>1371</v>
      </c>
      <c r="G344" t="s">
        <v>1755</v>
      </c>
      <c r="I344" t="str">
        <f>CONCATENATE(Inbound___Outbound_Shifting[[#This Row],[Batch '#]],"-",Inbound___Outbound_Shifting[[#This Row],[Exp '# or Key]])</f>
        <v>--</v>
      </c>
      <c r="J344" t="s">
        <v>6629</v>
      </c>
      <c r="K344" t="s">
        <v>6894</v>
      </c>
      <c r="L344" t="s">
        <v>1755</v>
      </c>
      <c r="M344" t="s">
        <v>1755</v>
      </c>
      <c r="N344" t="s">
        <v>1755</v>
      </c>
      <c r="O344" t="s">
        <v>278</v>
      </c>
      <c r="P344" t="s">
        <v>6678</v>
      </c>
      <c r="Q344" t="s">
        <v>756</v>
      </c>
      <c r="R344" t="s">
        <v>6895</v>
      </c>
      <c r="S344">
        <v>1</v>
      </c>
      <c r="T344" t="s">
        <v>1755</v>
      </c>
      <c r="U344" t="s">
        <v>1755</v>
      </c>
      <c r="V344" t="s">
        <v>1755</v>
      </c>
      <c r="W344">
        <v>36000</v>
      </c>
      <c r="X344">
        <v>36400</v>
      </c>
      <c r="Y344">
        <v>46177</v>
      </c>
      <c r="Z344" t="s">
        <v>1755</v>
      </c>
      <c r="AA344" t="s">
        <v>1755</v>
      </c>
      <c r="AB344">
        <v>3</v>
      </c>
      <c r="AC344">
        <v>424060</v>
      </c>
      <c r="AD344">
        <v>546000</v>
      </c>
      <c r="AE344">
        <v>121940</v>
      </c>
      <c r="AF344" t="s">
        <v>1755</v>
      </c>
      <c r="AG344">
        <v>11.65</v>
      </c>
      <c r="AH344">
        <v>347.87530762920426</v>
      </c>
      <c r="AI344" t="s">
        <v>6308</v>
      </c>
      <c r="AJ344" t="s">
        <v>47</v>
      </c>
      <c r="AK344" t="s">
        <v>107</v>
      </c>
      <c r="AL344" t="s">
        <v>107</v>
      </c>
      <c r="AM344" t="s">
        <v>107</v>
      </c>
      <c r="AO344">
        <v>-121940</v>
      </c>
      <c r="AP344">
        <v>0.22333333333333333</v>
      </c>
      <c r="AQ344">
        <v>11.65</v>
      </c>
      <c r="AR344" t="s">
        <v>47</v>
      </c>
      <c r="AT344" t="s">
        <v>47</v>
      </c>
    </row>
    <row r="345" spans="1:46" x14ac:dyDescent="0.25">
      <c r="A345" t="s">
        <v>6300</v>
      </c>
      <c r="B345" s="19">
        <v>46174</v>
      </c>
      <c r="C345" t="s">
        <v>6751</v>
      </c>
      <c r="D345" t="s">
        <v>6302</v>
      </c>
      <c r="E345" t="s">
        <v>6086</v>
      </c>
      <c r="F345" t="s">
        <v>1371</v>
      </c>
      <c r="G345" t="s">
        <v>1755</v>
      </c>
      <c r="I345" t="str">
        <f>CONCATENATE(Inbound___Outbound_Shifting[[#This Row],[Batch '#]],"-",Inbound___Outbound_Shifting[[#This Row],[Exp '# or Key]])</f>
        <v>--</v>
      </c>
      <c r="J345" t="s">
        <v>6603</v>
      </c>
      <c r="K345" t="s">
        <v>6395</v>
      </c>
      <c r="L345" t="s">
        <v>1755</v>
      </c>
      <c r="M345" t="s">
        <v>1755</v>
      </c>
      <c r="N345" t="s">
        <v>1755</v>
      </c>
      <c r="O345" t="s">
        <v>6631</v>
      </c>
      <c r="P345" t="s">
        <v>6896</v>
      </c>
      <c r="Q345" t="s">
        <v>6897</v>
      </c>
      <c r="R345" t="s">
        <v>6307</v>
      </c>
      <c r="S345">
        <v>1</v>
      </c>
      <c r="T345" t="s">
        <v>6898</v>
      </c>
      <c r="U345">
        <v>1</v>
      </c>
      <c r="V345" t="s">
        <v>1755</v>
      </c>
      <c r="W345">
        <v>25160</v>
      </c>
      <c r="X345">
        <v>54820</v>
      </c>
      <c r="Y345">
        <v>46177</v>
      </c>
      <c r="Z345" t="s">
        <v>1755</v>
      </c>
      <c r="AA345" t="s">
        <v>1755</v>
      </c>
      <c r="AB345">
        <v>3</v>
      </c>
      <c r="AC345">
        <v>705000</v>
      </c>
      <c r="AD345">
        <v>822300</v>
      </c>
      <c r="AE345">
        <v>117300</v>
      </c>
      <c r="AF345" t="s">
        <v>1755</v>
      </c>
      <c r="AG345">
        <v>12.860269974461875</v>
      </c>
      <c r="AH345">
        <v>578.34290401968826</v>
      </c>
      <c r="AI345" t="s">
        <v>6308</v>
      </c>
      <c r="AJ345" t="s">
        <v>47</v>
      </c>
      <c r="AK345" t="s">
        <v>107</v>
      </c>
      <c r="AL345" t="s">
        <v>107</v>
      </c>
      <c r="AM345" t="s">
        <v>107</v>
      </c>
      <c r="AO345">
        <v>-117300</v>
      </c>
      <c r="AP345">
        <v>0.14264866836920831</v>
      </c>
      <c r="AQ345">
        <v>12.860269974461875</v>
      </c>
      <c r="AR345" t="s">
        <v>47</v>
      </c>
      <c r="AT345" t="s">
        <v>47</v>
      </c>
    </row>
    <row r="346" spans="1:46" x14ac:dyDescent="0.25">
      <c r="A346" t="s">
        <v>1755</v>
      </c>
      <c r="B346" s="19">
        <v>46174</v>
      </c>
      <c r="C346" t="s">
        <v>6751</v>
      </c>
      <c r="D346" t="s">
        <v>6302</v>
      </c>
      <c r="E346" t="s">
        <v>6086</v>
      </c>
      <c r="F346" t="s">
        <v>1371</v>
      </c>
      <c r="G346" t="s">
        <v>1755</v>
      </c>
      <c r="I346" t="str">
        <f>CONCATENATE(Inbound___Outbound_Shifting[[#This Row],[Batch '#]],"-",Inbound___Outbound_Shifting[[#This Row],[Exp '# or Key]])</f>
        <v>--</v>
      </c>
      <c r="J346" t="s">
        <v>6603</v>
      </c>
      <c r="K346" t="s">
        <v>6395</v>
      </c>
      <c r="L346" t="s">
        <v>1755</v>
      </c>
      <c r="M346" t="s">
        <v>1755</v>
      </c>
      <c r="N346" t="s">
        <v>1755</v>
      </c>
      <c r="O346" t="s">
        <v>1755</v>
      </c>
      <c r="P346" t="s">
        <v>1755</v>
      </c>
      <c r="Q346" t="s">
        <v>1755</v>
      </c>
      <c r="R346" t="s">
        <v>1755</v>
      </c>
      <c r="S346" t="s">
        <v>1755</v>
      </c>
      <c r="T346" t="s">
        <v>6899</v>
      </c>
      <c r="U346">
        <v>1</v>
      </c>
      <c r="V346" t="s">
        <v>1755</v>
      </c>
      <c r="W346">
        <v>25160</v>
      </c>
      <c r="X346" t="s">
        <v>1755</v>
      </c>
      <c r="Y346">
        <v>46177</v>
      </c>
      <c r="Z346" t="s">
        <v>1755</v>
      </c>
      <c r="AA346" t="s">
        <v>1755</v>
      </c>
      <c r="AB346">
        <v>3</v>
      </c>
      <c r="AC346" t="s">
        <v>1755</v>
      </c>
      <c r="AE346">
        <v>0</v>
      </c>
      <c r="AF346" t="s">
        <v>1755</v>
      </c>
      <c r="AI346" t="s">
        <v>1755</v>
      </c>
      <c r="AJ346" t="s">
        <v>1755</v>
      </c>
      <c r="AK346" t="s">
        <v>1755</v>
      </c>
      <c r="AL346" t="s">
        <v>1755</v>
      </c>
      <c r="AM346" t="s">
        <v>1755</v>
      </c>
      <c r="AO346">
        <v>0</v>
      </c>
    </row>
    <row r="347" spans="1:46" x14ac:dyDescent="0.25">
      <c r="A347" t="s">
        <v>6300</v>
      </c>
      <c r="B347" s="19">
        <v>46174</v>
      </c>
      <c r="C347" t="s">
        <v>6751</v>
      </c>
      <c r="D347" t="s">
        <v>6302</v>
      </c>
      <c r="E347" t="s">
        <v>6086</v>
      </c>
      <c r="F347" t="s">
        <v>1371</v>
      </c>
      <c r="G347" t="s">
        <v>1755</v>
      </c>
      <c r="I347" t="str">
        <f>CONCATENATE(Inbound___Outbound_Shifting[[#This Row],[Batch '#]],"-",Inbound___Outbound_Shifting[[#This Row],[Exp '# or Key]])</f>
        <v>--</v>
      </c>
      <c r="J347" t="s">
        <v>6603</v>
      </c>
      <c r="K347" t="s">
        <v>6395</v>
      </c>
      <c r="L347" t="s">
        <v>1755</v>
      </c>
      <c r="M347" t="s">
        <v>1755</v>
      </c>
      <c r="N347" t="s">
        <v>1755</v>
      </c>
      <c r="O347" t="s">
        <v>6631</v>
      </c>
      <c r="P347" t="s">
        <v>6900</v>
      </c>
      <c r="Q347" t="s">
        <v>6901</v>
      </c>
      <c r="R347" t="s">
        <v>1755</v>
      </c>
      <c r="S347">
        <v>1</v>
      </c>
      <c r="T347" t="s">
        <v>6902</v>
      </c>
      <c r="U347">
        <v>1</v>
      </c>
      <c r="V347" t="s">
        <v>1755</v>
      </c>
      <c r="W347">
        <v>25300</v>
      </c>
      <c r="X347">
        <v>52780</v>
      </c>
      <c r="Y347">
        <v>46177</v>
      </c>
      <c r="Z347" t="s">
        <v>1755</v>
      </c>
      <c r="AA347" t="s">
        <v>1755</v>
      </c>
      <c r="AB347">
        <v>3</v>
      </c>
      <c r="AC347">
        <v>705000</v>
      </c>
      <c r="AD347">
        <v>791700</v>
      </c>
      <c r="AE347">
        <v>86700</v>
      </c>
      <c r="AF347" t="s">
        <v>1755</v>
      </c>
      <c r="AG347">
        <v>13.357332322849564</v>
      </c>
      <c r="AH347">
        <v>578.34290401968826</v>
      </c>
      <c r="AI347" t="s">
        <v>6308</v>
      </c>
      <c r="AJ347" t="s">
        <v>47</v>
      </c>
      <c r="AK347" t="s">
        <v>107</v>
      </c>
      <c r="AL347" t="s">
        <v>107</v>
      </c>
      <c r="AM347" t="s">
        <v>107</v>
      </c>
      <c r="AO347">
        <v>-86700</v>
      </c>
      <c r="AP347">
        <v>0.10951117847669571</v>
      </c>
      <c r="AQ347">
        <v>13.357332322849564</v>
      </c>
      <c r="AR347" t="s">
        <v>47</v>
      </c>
      <c r="AT347" t="s">
        <v>47</v>
      </c>
    </row>
    <row r="348" spans="1:46" x14ac:dyDescent="0.25">
      <c r="A348" t="s">
        <v>1755</v>
      </c>
      <c r="B348" s="19">
        <v>46174</v>
      </c>
      <c r="C348" t="s">
        <v>6751</v>
      </c>
      <c r="D348" t="s">
        <v>6302</v>
      </c>
      <c r="E348" t="s">
        <v>6086</v>
      </c>
      <c r="F348" t="s">
        <v>1371</v>
      </c>
      <c r="G348" t="s">
        <v>1755</v>
      </c>
      <c r="I348" t="str">
        <f>CONCATENATE(Inbound___Outbound_Shifting[[#This Row],[Batch '#]],"-",Inbound___Outbound_Shifting[[#This Row],[Exp '# or Key]])</f>
        <v>--</v>
      </c>
      <c r="J348" t="s">
        <v>6603</v>
      </c>
      <c r="K348" t="s">
        <v>6395</v>
      </c>
      <c r="L348" t="s">
        <v>1755</v>
      </c>
      <c r="M348" t="s">
        <v>1755</v>
      </c>
      <c r="N348" t="s">
        <v>1755</v>
      </c>
      <c r="O348" t="s">
        <v>1755</v>
      </c>
      <c r="P348" t="s">
        <v>1755</v>
      </c>
      <c r="Q348" t="s">
        <v>1755</v>
      </c>
      <c r="R348" t="s">
        <v>1755</v>
      </c>
      <c r="S348" t="s">
        <v>1755</v>
      </c>
      <c r="T348" t="s">
        <v>6903</v>
      </c>
      <c r="U348">
        <v>1</v>
      </c>
      <c r="V348" t="s">
        <v>1755</v>
      </c>
      <c r="W348">
        <v>22980</v>
      </c>
      <c r="X348" t="s">
        <v>1755</v>
      </c>
      <c r="Y348">
        <v>46177</v>
      </c>
      <c r="Z348" t="s">
        <v>1755</v>
      </c>
      <c r="AA348" t="s">
        <v>1755</v>
      </c>
      <c r="AB348">
        <v>3</v>
      </c>
      <c r="AC348" t="s">
        <v>1755</v>
      </c>
      <c r="AE348">
        <v>0</v>
      </c>
      <c r="AF348" t="s">
        <v>1755</v>
      </c>
      <c r="AI348" t="s">
        <v>1755</v>
      </c>
      <c r="AJ348" t="s">
        <v>1755</v>
      </c>
      <c r="AK348" t="s">
        <v>1755</v>
      </c>
      <c r="AL348" t="s">
        <v>1755</v>
      </c>
      <c r="AM348" t="s">
        <v>1755</v>
      </c>
      <c r="AO348">
        <v>0</v>
      </c>
    </row>
    <row r="349" spans="1:46" x14ac:dyDescent="0.25">
      <c r="A349" t="s">
        <v>6329</v>
      </c>
      <c r="B349" s="19">
        <v>46175</v>
      </c>
      <c r="C349" t="s">
        <v>850</v>
      </c>
      <c r="D349" t="s">
        <v>6330</v>
      </c>
      <c r="E349" t="s">
        <v>117</v>
      </c>
      <c r="F349" t="s">
        <v>487</v>
      </c>
      <c r="G349" t="s">
        <v>1755</v>
      </c>
      <c r="I349" t="str">
        <f>CONCATENATE(Inbound___Outbound_Shifting[[#This Row],[Batch '#]],"-",Inbound___Outbound_Shifting[[#This Row],[Exp '# or Key]])</f>
        <v>--</v>
      </c>
      <c r="J349" t="s">
        <v>1755</v>
      </c>
      <c r="K349">
        <v>1</v>
      </c>
      <c r="L349" t="s">
        <v>117</v>
      </c>
      <c r="M349" t="s">
        <v>1268</v>
      </c>
      <c r="N349" t="s">
        <v>1755</v>
      </c>
      <c r="O349" t="s">
        <v>134</v>
      </c>
      <c r="P349" t="s">
        <v>1755</v>
      </c>
      <c r="Q349" t="s">
        <v>854</v>
      </c>
      <c r="R349" t="s">
        <v>6307</v>
      </c>
      <c r="S349" t="s">
        <v>1755</v>
      </c>
      <c r="T349" t="s">
        <v>1755</v>
      </c>
      <c r="U349" t="s">
        <v>1755</v>
      </c>
      <c r="V349" t="s">
        <v>1755</v>
      </c>
      <c r="W349">
        <v>2000</v>
      </c>
      <c r="X349">
        <v>32700</v>
      </c>
      <c r="Y349">
        <v>46178</v>
      </c>
      <c r="AA349" t="s">
        <v>1755</v>
      </c>
      <c r="AB349">
        <v>3</v>
      </c>
      <c r="AC349">
        <v>235000</v>
      </c>
      <c r="AD349">
        <v>245250</v>
      </c>
      <c r="AE349">
        <v>10250</v>
      </c>
      <c r="AF349" t="s">
        <v>1755</v>
      </c>
      <c r="AG349">
        <v>7.186544342507645</v>
      </c>
      <c r="AI349" t="s">
        <v>6308</v>
      </c>
      <c r="AJ349" t="s">
        <v>47</v>
      </c>
      <c r="AK349" t="s">
        <v>107</v>
      </c>
      <c r="AL349" t="s">
        <v>107</v>
      </c>
      <c r="AM349" t="s">
        <v>107</v>
      </c>
      <c r="AO349">
        <v>-10250</v>
      </c>
      <c r="AP349">
        <v>4.1794087665647302E-2</v>
      </c>
      <c r="AQ349">
        <v>7.186544342507645</v>
      </c>
      <c r="AR349" t="s">
        <v>47</v>
      </c>
      <c r="AT349" t="s">
        <v>47</v>
      </c>
    </row>
    <row r="350" spans="1:46" x14ac:dyDescent="0.25">
      <c r="A350" t="s">
        <v>1755</v>
      </c>
      <c r="B350" s="19">
        <v>46175</v>
      </c>
      <c r="C350" t="s">
        <v>892</v>
      </c>
      <c r="D350" t="s">
        <v>6330</v>
      </c>
      <c r="E350" t="s">
        <v>117</v>
      </c>
      <c r="F350" t="s">
        <v>38</v>
      </c>
      <c r="G350" t="s">
        <v>1755</v>
      </c>
      <c r="I350" t="str">
        <f>CONCATENATE(Inbound___Outbound_Shifting[[#This Row],[Batch '#]],"-",Inbound___Outbound_Shifting[[#This Row],[Exp '# or Key]])</f>
        <v>--</v>
      </c>
      <c r="J350" t="s">
        <v>1755</v>
      </c>
      <c r="K350">
        <v>1</v>
      </c>
      <c r="L350" t="s">
        <v>117</v>
      </c>
      <c r="M350" t="s">
        <v>1268</v>
      </c>
      <c r="N350" t="s">
        <v>1755</v>
      </c>
      <c r="O350" t="s">
        <v>1755</v>
      </c>
      <c r="P350" t="s">
        <v>1755</v>
      </c>
      <c r="Q350" t="s">
        <v>1755</v>
      </c>
      <c r="R350" t="s">
        <v>1755</v>
      </c>
      <c r="S350" t="s">
        <v>1755</v>
      </c>
      <c r="T350" t="s">
        <v>1755</v>
      </c>
      <c r="U350" t="s">
        <v>1755</v>
      </c>
      <c r="V350" t="s">
        <v>1755</v>
      </c>
      <c r="W350">
        <v>1500</v>
      </c>
      <c r="X350" t="s">
        <v>1755</v>
      </c>
      <c r="Y350">
        <v>46178</v>
      </c>
      <c r="AA350" t="s">
        <v>1755</v>
      </c>
      <c r="AB350">
        <v>3</v>
      </c>
      <c r="AC350" t="s">
        <v>1755</v>
      </c>
      <c r="AE350">
        <v>0</v>
      </c>
      <c r="AF350" t="s">
        <v>1755</v>
      </c>
      <c r="AI350" t="s">
        <v>1755</v>
      </c>
      <c r="AJ350" t="s">
        <v>1755</v>
      </c>
      <c r="AK350" t="s">
        <v>1755</v>
      </c>
      <c r="AL350" t="s">
        <v>1755</v>
      </c>
      <c r="AM350" t="s">
        <v>1755</v>
      </c>
      <c r="AO350">
        <v>0</v>
      </c>
    </row>
    <row r="351" spans="1:46" x14ac:dyDescent="0.25">
      <c r="A351" t="s">
        <v>1755</v>
      </c>
      <c r="B351" s="19">
        <v>46175</v>
      </c>
      <c r="C351" t="s">
        <v>896</v>
      </c>
      <c r="D351" t="s">
        <v>6330</v>
      </c>
      <c r="E351" t="s">
        <v>117</v>
      </c>
      <c r="F351" t="s">
        <v>5983</v>
      </c>
      <c r="G351" t="s">
        <v>1755</v>
      </c>
      <c r="I351" t="str">
        <f>CONCATENATE(Inbound___Outbound_Shifting[[#This Row],[Batch '#]],"-",Inbound___Outbound_Shifting[[#This Row],[Exp '# or Key]])</f>
        <v>--</v>
      </c>
      <c r="J351" t="s">
        <v>1755</v>
      </c>
      <c r="K351">
        <v>8</v>
      </c>
      <c r="L351" t="s">
        <v>117</v>
      </c>
      <c r="M351" t="s">
        <v>1268</v>
      </c>
      <c r="N351" t="s">
        <v>1755</v>
      </c>
      <c r="O351" t="s">
        <v>1755</v>
      </c>
      <c r="P351" t="s">
        <v>1755</v>
      </c>
      <c r="Q351" t="s">
        <v>1755</v>
      </c>
      <c r="R351" t="s">
        <v>1755</v>
      </c>
      <c r="S351" t="s">
        <v>1755</v>
      </c>
      <c r="T351" t="s">
        <v>1755</v>
      </c>
      <c r="U351" t="s">
        <v>1755</v>
      </c>
      <c r="V351" t="s">
        <v>1755</v>
      </c>
      <c r="W351">
        <v>17000</v>
      </c>
      <c r="X351" t="s">
        <v>1755</v>
      </c>
      <c r="Y351">
        <v>46178</v>
      </c>
      <c r="AA351" t="s">
        <v>1755</v>
      </c>
      <c r="AB351">
        <v>3</v>
      </c>
      <c r="AC351" t="s">
        <v>1755</v>
      </c>
      <c r="AE351">
        <v>0</v>
      </c>
      <c r="AF351" t="s">
        <v>1755</v>
      </c>
      <c r="AI351" t="s">
        <v>1755</v>
      </c>
      <c r="AJ351" t="s">
        <v>1755</v>
      </c>
      <c r="AK351" t="s">
        <v>1755</v>
      </c>
      <c r="AL351" t="s">
        <v>1755</v>
      </c>
      <c r="AM351" t="s">
        <v>1755</v>
      </c>
      <c r="AO351">
        <v>0</v>
      </c>
    </row>
    <row r="352" spans="1:46" x14ac:dyDescent="0.25">
      <c r="A352" t="s">
        <v>1755</v>
      </c>
      <c r="B352" s="19">
        <v>46175</v>
      </c>
      <c r="C352" t="s">
        <v>902</v>
      </c>
      <c r="D352" t="s">
        <v>6330</v>
      </c>
      <c r="E352" t="s">
        <v>117</v>
      </c>
      <c r="F352" t="s">
        <v>856</v>
      </c>
      <c r="G352" t="s">
        <v>1755</v>
      </c>
      <c r="I352" t="str">
        <f>CONCATENATE(Inbound___Outbound_Shifting[[#This Row],[Batch '#]],"-",Inbound___Outbound_Shifting[[#This Row],[Exp '# or Key]])</f>
        <v>--</v>
      </c>
      <c r="J352" t="s">
        <v>1755</v>
      </c>
      <c r="K352">
        <v>2</v>
      </c>
      <c r="L352" t="s">
        <v>117</v>
      </c>
      <c r="M352" t="s">
        <v>1268</v>
      </c>
      <c r="N352" t="s">
        <v>1755</v>
      </c>
      <c r="O352" t="s">
        <v>1755</v>
      </c>
      <c r="P352" t="s">
        <v>1755</v>
      </c>
      <c r="Q352" t="s">
        <v>1755</v>
      </c>
      <c r="R352" t="s">
        <v>1755</v>
      </c>
      <c r="S352" t="s">
        <v>1755</v>
      </c>
      <c r="T352" t="s">
        <v>1755</v>
      </c>
      <c r="U352" t="s">
        <v>1755</v>
      </c>
      <c r="V352" t="s">
        <v>1755</v>
      </c>
      <c r="W352">
        <v>2500</v>
      </c>
      <c r="X352" t="s">
        <v>1755</v>
      </c>
      <c r="Y352">
        <v>46178</v>
      </c>
      <c r="AA352" t="s">
        <v>1755</v>
      </c>
      <c r="AB352">
        <v>3</v>
      </c>
      <c r="AC352" t="s">
        <v>1755</v>
      </c>
      <c r="AE352">
        <v>0</v>
      </c>
      <c r="AF352" t="s">
        <v>1755</v>
      </c>
      <c r="AI352" t="s">
        <v>1755</v>
      </c>
      <c r="AJ352" t="s">
        <v>1755</v>
      </c>
      <c r="AK352" t="s">
        <v>1755</v>
      </c>
      <c r="AL352" t="s">
        <v>1755</v>
      </c>
      <c r="AM352" t="s">
        <v>1755</v>
      </c>
      <c r="AO352">
        <v>0</v>
      </c>
    </row>
    <row r="353" spans="1:46" x14ac:dyDescent="0.25">
      <c r="A353" t="s">
        <v>1755</v>
      </c>
      <c r="B353" s="19">
        <v>46175</v>
      </c>
      <c r="C353" t="s">
        <v>1247</v>
      </c>
      <c r="D353" t="s">
        <v>6904</v>
      </c>
      <c r="E353" t="s">
        <v>117</v>
      </c>
      <c r="F353" t="s">
        <v>6905</v>
      </c>
      <c r="G353" t="s">
        <v>1755</v>
      </c>
      <c r="I353" t="str">
        <f>CONCATENATE(Inbound___Outbound_Shifting[[#This Row],[Batch '#]],"-",Inbound___Outbound_Shifting[[#This Row],[Exp '# or Key]])</f>
        <v>--</v>
      </c>
      <c r="J353" t="s">
        <v>1755</v>
      </c>
      <c r="K353">
        <v>5</v>
      </c>
      <c r="L353" t="s">
        <v>117</v>
      </c>
      <c r="M353" t="s">
        <v>1268</v>
      </c>
      <c r="N353" t="s">
        <v>1755</v>
      </c>
      <c r="O353" t="s">
        <v>1755</v>
      </c>
      <c r="P353" t="s">
        <v>1755</v>
      </c>
      <c r="Q353" t="s">
        <v>1755</v>
      </c>
      <c r="R353" t="s">
        <v>1755</v>
      </c>
      <c r="S353" t="s">
        <v>1755</v>
      </c>
      <c r="T353" t="s">
        <v>1755</v>
      </c>
      <c r="U353" t="s">
        <v>1755</v>
      </c>
      <c r="V353" t="s">
        <v>1755</v>
      </c>
      <c r="W353">
        <v>8000</v>
      </c>
      <c r="X353" t="s">
        <v>1755</v>
      </c>
      <c r="Y353">
        <v>46178</v>
      </c>
      <c r="AA353" t="s">
        <v>1755</v>
      </c>
      <c r="AB353">
        <v>3</v>
      </c>
      <c r="AC353" t="s">
        <v>1755</v>
      </c>
      <c r="AE353">
        <v>0</v>
      </c>
      <c r="AF353" t="s">
        <v>1755</v>
      </c>
      <c r="AI353" t="s">
        <v>1755</v>
      </c>
      <c r="AJ353" t="s">
        <v>1755</v>
      </c>
      <c r="AK353" t="s">
        <v>1755</v>
      </c>
      <c r="AL353" t="s">
        <v>1755</v>
      </c>
      <c r="AM353" t="s">
        <v>1755</v>
      </c>
      <c r="AO353">
        <v>0</v>
      </c>
    </row>
    <row r="354" spans="1:46" x14ac:dyDescent="0.25">
      <c r="A354" t="s">
        <v>1755</v>
      </c>
      <c r="B354" s="19">
        <v>46175</v>
      </c>
      <c r="C354" t="s">
        <v>1280</v>
      </c>
      <c r="D354" t="s">
        <v>6906</v>
      </c>
      <c r="E354" t="s">
        <v>117</v>
      </c>
      <c r="F354" t="s">
        <v>1281</v>
      </c>
      <c r="G354" t="s">
        <v>1755</v>
      </c>
      <c r="I354" t="str">
        <f>CONCATENATE(Inbound___Outbound_Shifting[[#This Row],[Batch '#]],"-",Inbound___Outbound_Shifting[[#This Row],[Exp '# or Key]])</f>
        <v>--</v>
      </c>
      <c r="J354" t="s">
        <v>1755</v>
      </c>
      <c r="K354">
        <v>1</v>
      </c>
      <c r="L354" t="s">
        <v>117</v>
      </c>
      <c r="M354" t="s">
        <v>1268</v>
      </c>
      <c r="N354" t="s">
        <v>1755</v>
      </c>
      <c r="O354" t="s">
        <v>1755</v>
      </c>
      <c r="P354" t="s">
        <v>1755</v>
      </c>
      <c r="Q354" t="s">
        <v>1755</v>
      </c>
      <c r="R354" t="s">
        <v>1755</v>
      </c>
      <c r="S354" t="s">
        <v>1755</v>
      </c>
      <c r="T354" t="s">
        <v>1755</v>
      </c>
      <c r="U354" t="s">
        <v>1755</v>
      </c>
      <c r="V354" t="s">
        <v>1755</v>
      </c>
      <c r="W354">
        <v>1500</v>
      </c>
      <c r="X354" t="s">
        <v>1755</v>
      </c>
      <c r="Y354">
        <v>46178</v>
      </c>
      <c r="AA354" t="s">
        <v>1755</v>
      </c>
      <c r="AB354">
        <v>3</v>
      </c>
      <c r="AC354" t="s">
        <v>1755</v>
      </c>
      <c r="AE354">
        <v>0</v>
      </c>
      <c r="AF354" t="s">
        <v>1755</v>
      </c>
      <c r="AI354" t="s">
        <v>1755</v>
      </c>
      <c r="AJ354" t="s">
        <v>1755</v>
      </c>
      <c r="AK354" t="s">
        <v>1755</v>
      </c>
      <c r="AL354" t="s">
        <v>1755</v>
      </c>
      <c r="AM354" t="s">
        <v>1755</v>
      </c>
      <c r="AO354">
        <v>0</v>
      </c>
    </row>
    <row r="355" spans="1:46" x14ac:dyDescent="0.25">
      <c r="A355" t="s">
        <v>1755</v>
      </c>
      <c r="B355" s="19">
        <v>46175</v>
      </c>
      <c r="C355" t="s">
        <v>1755</v>
      </c>
      <c r="D355" t="s">
        <v>6366</v>
      </c>
      <c r="E355" t="s">
        <v>117</v>
      </c>
      <c r="F355" t="s">
        <v>1755</v>
      </c>
      <c r="G355" t="s">
        <v>1755</v>
      </c>
      <c r="I355" t="str">
        <f>CONCATENATE(Inbound___Outbound_Shifting[[#This Row],[Batch '#]],"-",Inbound___Outbound_Shifting[[#This Row],[Exp '# or Key]])</f>
        <v>--</v>
      </c>
      <c r="J355" t="s">
        <v>1755</v>
      </c>
      <c r="K355">
        <v>1</v>
      </c>
      <c r="L355" t="s">
        <v>117</v>
      </c>
      <c r="M355" t="s">
        <v>1268</v>
      </c>
      <c r="N355" t="s">
        <v>1755</v>
      </c>
      <c r="O355" t="s">
        <v>1755</v>
      </c>
      <c r="P355" t="s">
        <v>1755</v>
      </c>
      <c r="Q355" t="s">
        <v>1755</v>
      </c>
      <c r="R355" t="s">
        <v>1755</v>
      </c>
      <c r="S355" t="s">
        <v>1755</v>
      </c>
      <c r="T355" t="s">
        <v>1755</v>
      </c>
      <c r="U355" t="s">
        <v>1755</v>
      </c>
      <c r="V355" t="s">
        <v>1755</v>
      </c>
      <c r="W355">
        <v>200</v>
      </c>
      <c r="X355" t="s">
        <v>1755</v>
      </c>
      <c r="Y355">
        <v>46178</v>
      </c>
      <c r="AA355" t="s">
        <v>1755</v>
      </c>
      <c r="AB355">
        <v>3</v>
      </c>
      <c r="AC355" t="s">
        <v>1755</v>
      </c>
      <c r="AE355">
        <v>0</v>
      </c>
      <c r="AF355" t="s">
        <v>1755</v>
      </c>
      <c r="AI355" t="s">
        <v>1755</v>
      </c>
      <c r="AJ355" t="s">
        <v>1755</v>
      </c>
      <c r="AK355" t="s">
        <v>1755</v>
      </c>
      <c r="AL355" t="s">
        <v>1755</v>
      </c>
      <c r="AM355" t="s">
        <v>1755</v>
      </c>
      <c r="AO355">
        <v>0</v>
      </c>
    </row>
    <row r="356" spans="1:46" x14ac:dyDescent="0.25">
      <c r="A356" t="s">
        <v>6300</v>
      </c>
      <c r="B356" s="19">
        <v>46176</v>
      </c>
      <c r="C356" t="s">
        <v>6907</v>
      </c>
      <c r="D356" t="s">
        <v>6302</v>
      </c>
      <c r="E356" t="s">
        <v>1268</v>
      </c>
      <c r="F356" t="s">
        <v>117</v>
      </c>
      <c r="G356" t="s">
        <v>1755</v>
      </c>
      <c r="I356" t="str">
        <f>CONCATENATE(Inbound___Outbound_Shifting[[#This Row],[Batch '#]],"-",Inbound___Outbound_Shifting[[#This Row],[Exp '# or Key]])</f>
        <v>--</v>
      </c>
      <c r="J356" t="s">
        <v>6382</v>
      </c>
      <c r="K356" t="s">
        <v>6908</v>
      </c>
      <c r="L356" t="s">
        <v>1755</v>
      </c>
      <c r="M356" t="s">
        <v>1755</v>
      </c>
      <c r="N356" t="s">
        <v>1755</v>
      </c>
      <c r="O356" t="s">
        <v>455</v>
      </c>
      <c r="Q356" t="s">
        <v>6909</v>
      </c>
      <c r="R356" t="s">
        <v>6895</v>
      </c>
      <c r="S356">
        <v>1</v>
      </c>
      <c r="T356" t="s">
        <v>1755</v>
      </c>
      <c r="U356" t="s">
        <v>1755</v>
      </c>
      <c r="V356" t="s">
        <v>1755</v>
      </c>
      <c r="W356">
        <v>26000</v>
      </c>
      <c r="X356">
        <v>26590</v>
      </c>
      <c r="Y356">
        <v>46179</v>
      </c>
      <c r="Z356" t="s">
        <v>1755</v>
      </c>
      <c r="AA356" t="s">
        <v>1755</v>
      </c>
      <c r="AB356">
        <v>3</v>
      </c>
      <c r="AC356">
        <v>412000</v>
      </c>
      <c r="AD356">
        <v>398850</v>
      </c>
      <c r="AE356">
        <v>-13150</v>
      </c>
      <c r="AF356" t="s">
        <v>1755</v>
      </c>
      <c r="AG356">
        <v>15.494546822113577</v>
      </c>
      <c r="AH356">
        <v>337.9819524200164</v>
      </c>
      <c r="AI356" t="s">
        <v>6308</v>
      </c>
      <c r="AJ356" t="s">
        <v>47</v>
      </c>
      <c r="AK356" t="s">
        <v>107</v>
      </c>
      <c r="AL356" t="s">
        <v>107</v>
      </c>
      <c r="AM356" t="s">
        <v>107</v>
      </c>
      <c r="AO356">
        <v>13150</v>
      </c>
      <c r="AP356">
        <v>-3.29697881409051E-2</v>
      </c>
      <c r="AQ356">
        <v>15.494546822113577</v>
      </c>
      <c r="AR356" t="s">
        <v>47</v>
      </c>
      <c r="AT356" t="s">
        <v>47</v>
      </c>
    </row>
    <row r="357" spans="1:46" x14ac:dyDescent="0.25">
      <c r="A357" t="s">
        <v>6329</v>
      </c>
      <c r="B357" s="19">
        <v>46178</v>
      </c>
      <c r="C357" t="s">
        <v>1511</v>
      </c>
      <c r="D357" t="s">
        <v>1600</v>
      </c>
      <c r="E357" t="s">
        <v>117</v>
      </c>
      <c r="F357" t="s">
        <v>41</v>
      </c>
      <c r="G357" t="s">
        <v>1755</v>
      </c>
      <c r="I357" t="str">
        <f>CONCATENATE(Inbound___Outbound_Shifting[[#This Row],[Batch '#]],"-",Inbound___Outbound_Shifting[[#This Row],[Exp '# or Key]])</f>
        <v>--</v>
      </c>
      <c r="J357" t="s">
        <v>1755</v>
      </c>
      <c r="K357">
        <v>1</v>
      </c>
      <c r="L357" t="s">
        <v>117</v>
      </c>
      <c r="M357" t="s">
        <v>6364</v>
      </c>
      <c r="N357" t="s">
        <v>1755</v>
      </c>
      <c r="O357" t="s">
        <v>455</v>
      </c>
      <c r="P357" t="s">
        <v>1755</v>
      </c>
      <c r="Q357" t="s">
        <v>1755</v>
      </c>
      <c r="S357" t="s">
        <v>1755</v>
      </c>
      <c r="T357" t="s">
        <v>1755</v>
      </c>
      <c r="U357" t="s">
        <v>1755</v>
      </c>
      <c r="V357" t="s">
        <v>1755</v>
      </c>
      <c r="W357">
        <v>2500</v>
      </c>
      <c r="X357">
        <v>2500</v>
      </c>
      <c r="Y357">
        <v>46181</v>
      </c>
      <c r="Z357">
        <v>46178</v>
      </c>
      <c r="AA357" t="s">
        <v>1755</v>
      </c>
      <c r="AB357">
        <v>3</v>
      </c>
      <c r="AC357">
        <v>85000</v>
      </c>
      <c r="AD357">
        <v>18750</v>
      </c>
      <c r="AE357">
        <v>-66250</v>
      </c>
      <c r="AF357" t="s">
        <v>1755</v>
      </c>
      <c r="AG357">
        <v>34</v>
      </c>
      <c r="AI357" t="s">
        <v>6334</v>
      </c>
      <c r="AJ357" t="s">
        <v>47</v>
      </c>
      <c r="AK357" t="s">
        <v>1755</v>
      </c>
      <c r="AL357" t="s">
        <v>1755</v>
      </c>
      <c r="AM357" t="s">
        <v>1755</v>
      </c>
      <c r="AO357">
        <v>66250</v>
      </c>
      <c r="AP357">
        <v>-3.5333333333333332</v>
      </c>
      <c r="AQ357">
        <v>34</v>
      </c>
      <c r="AR357" t="s">
        <v>47</v>
      </c>
      <c r="AT357" t="s">
        <v>47</v>
      </c>
    </row>
    <row r="358" spans="1:46" x14ac:dyDescent="0.25">
      <c r="A358" t="s">
        <v>6329</v>
      </c>
      <c r="B358" s="19">
        <v>46178</v>
      </c>
      <c r="C358" t="s">
        <v>1276</v>
      </c>
      <c r="D358" t="s">
        <v>6906</v>
      </c>
      <c r="E358" t="s">
        <v>117</v>
      </c>
      <c r="F358" t="s">
        <v>1277</v>
      </c>
      <c r="G358" t="s">
        <v>1755</v>
      </c>
      <c r="I358" t="str">
        <f>CONCATENATE(Inbound___Outbound_Shifting[[#This Row],[Batch '#]],"-",Inbound___Outbound_Shifting[[#This Row],[Exp '# or Key]])</f>
        <v>--</v>
      </c>
      <c r="J358" t="s">
        <v>1755</v>
      </c>
      <c r="K358">
        <v>4</v>
      </c>
      <c r="L358" t="s">
        <v>117</v>
      </c>
      <c r="M358" t="s">
        <v>6472</v>
      </c>
      <c r="N358" t="s">
        <v>1755</v>
      </c>
      <c r="O358" t="s">
        <v>104</v>
      </c>
      <c r="P358" t="s">
        <v>1755</v>
      </c>
      <c r="Q358" t="s">
        <v>1755</v>
      </c>
      <c r="R358" t="s">
        <v>1755</v>
      </c>
      <c r="S358" t="s">
        <v>1755</v>
      </c>
      <c r="T358" t="s">
        <v>1755</v>
      </c>
      <c r="U358" t="s">
        <v>1755</v>
      </c>
      <c r="V358" t="s">
        <v>1755</v>
      </c>
      <c r="W358">
        <v>529</v>
      </c>
      <c r="X358">
        <v>600</v>
      </c>
      <c r="Y358">
        <v>46179</v>
      </c>
      <c r="Z358">
        <v>46174</v>
      </c>
      <c r="AA358" t="s">
        <v>1755</v>
      </c>
      <c r="AB358">
        <v>1</v>
      </c>
      <c r="AC358">
        <v>44000</v>
      </c>
      <c r="AD358">
        <v>4500</v>
      </c>
      <c r="AE358">
        <v>-39500</v>
      </c>
      <c r="AF358" t="s">
        <v>1755</v>
      </c>
      <c r="AG358">
        <v>73.333333333333329</v>
      </c>
      <c r="AI358" t="s">
        <v>6334</v>
      </c>
      <c r="AJ358" t="s">
        <v>47</v>
      </c>
      <c r="AK358" t="s">
        <v>1755</v>
      </c>
      <c r="AL358" t="s">
        <v>1755</v>
      </c>
      <c r="AM358" t="s">
        <v>1755</v>
      </c>
      <c r="AO358">
        <v>39500</v>
      </c>
      <c r="AP358">
        <v>-8.7777777777777786</v>
      </c>
      <c r="AQ358">
        <v>73.333333333333329</v>
      </c>
      <c r="AR358" t="s">
        <v>47</v>
      </c>
      <c r="AT358" t="s">
        <v>47</v>
      </c>
    </row>
    <row r="359" spans="1:46" x14ac:dyDescent="0.25">
      <c r="A359" t="s">
        <v>6300</v>
      </c>
      <c r="B359" s="19">
        <v>46179</v>
      </c>
      <c r="C359" t="s">
        <v>6910</v>
      </c>
      <c r="D359" t="s">
        <v>6302</v>
      </c>
      <c r="E359" t="s">
        <v>1268</v>
      </c>
      <c r="F359" t="s">
        <v>1371</v>
      </c>
      <c r="G359" t="s">
        <v>1755</v>
      </c>
      <c r="I359" t="str">
        <f>CONCATENATE(Inbound___Outbound_Shifting[[#This Row],[Batch '#]],"-",Inbound___Outbound_Shifting[[#This Row],[Exp '# or Key]])</f>
        <v>--</v>
      </c>
      <c r="J359" t="s">
        <v>6911</v>
      </c>
      <c r="K359" t="s">
        <v>6912</v>
      </c>
      <c r="L359" t="s">
        <v>1755</v>
      </c>
      <c r="M359" t="s">
        <v>1755</v>
      </c>
      <c r="N359" t="s">
        <v>1755</v>
      </c>
      <c r="O359" t="s">
        <v>278</v>
      </c>
      <c r="P359" t="s">
        <v>6678</v>
      </c>
      <c r="Q359" t="s">
        <v>756</v>
      </c>
      <c r="R359" t="s">
        <v>6307</v>
      </c>
      <c r="S359">
        <v>1</v>
      </c>
      <c r="T359" t="s">
        <v>1755</v>
      </c>
      <c r="U359" t="s">
        <v>1755</v>
      </c>
      <c r="V359" t="s">
        <v>1755</v>
      </c>
      <c r="W359">
        <v>23000</v>
      </c>
      <c r="X359">
        <v>30290</v>
      </c>
      <c r="Y359">
        <v>46182</v>
      </c>
      <c r="Z359" t="s">
        <v>1755</v>
      </c>
      <c r="AA359" t="s">
        <v>1755</v>
      </c>
      <c r="AB359">
        <v>3</v>
      </c>
      <c r="AC359">
        <v>405000</v>
      </c>
      <c r="AD359">
        <v>454350</v>
      </c>
      <c r="AE359">
        <v>49350</v>
      </c>
      <c r="AF359" t="s">
        <v>1755</v>
      </c>
      <c r="AG359">
        <v>13.370749422251569</v>
      </c>
      <c r="AH359">
        <v>332.23954060705495</v>
      </c>
      <c r="AI359" t="s">
        <v>6308</v>
      </c>
      <c r="AJ359" t="s">
        <v>47</v>
      </c>
      <c r="AK359" t="s">
        <v>107</v>
      </c>
      <c r="AL359" t="s">
        <v>107</v>
      </c>
      <c r="AM359" t="s">
        <v>107</v>
      </c>
      <c r="AO359">
        <v>-49350</v>
      </c>
      <c r="AP359">
        <v>0.10861670518322879</v>
      </c>
      <c r="AQ359">
        <v>13.370749422251569</v>
      </c>
      <c r="AR359" t="s">
        <v>47</v>
      </c>
      <c r="AT359" t="s">
        <v>47</v>
      </c>
    </row>
    <row r="360" spans="1:46" x14ac:dyDescent="0.25">
      <c r="A360" t="s">
        <v>1755</v>
      </c>
      <c r="B360" s="19">
        <v>46179</v>
      </c>
      <c r="C360" t="s">
        <v>1755</v>
      </c>
      <c r="D360" t="s">
        <v>6302</v>
      </c>
      <c r="E360" t="s">
        <v>1268</v>
      </c>
      <c r="F360" t="s">
        <v>1371</v>
      </c>
      <c r="G360" t="s">
        <v>1755</v>
      </c>
      <c r="I360" t="str">
        <f>CONCATENATE(Inbound___Outbound_Shifting[[#This Row],[Batch '#]],"-",Inbound___Outbound_Shifting[[#This Row],[Exp '# or Key]])</f>
        <v>--</v>
      </c>
      <c r="J360" t="s">
        <v>6913</v>
      </c>
      <c r="K360" t="s">
        <v>6483</v>
      </c>
      <c r="L360" t="s">
        <v>1755</v>
      </c>
      <c r="M360" t="s">
        <v>1755</v>
      </c>
      <c r="N360" t="s">
        <v>1755</v>
      </c>
      <c r="O360" t="s">
        <v>1755</v>
      </c>
      <c r="P360" t="s">
        <v>1755</v>
      </c>
      <c r="Q360" t="s">
        <v>1755</v>
      </c>
      <c r="R360" t="s">
        <v>1755</v>
      </c>
      <c r="S360" t="s">
        <v>1755</v>
      </c>
      <c r="T360" t="s">
        <v>1755</v>
      </c>
      <c r="U360" t="s">
        <v>1755</v>
      </c>
      <c r="V360" t="s">
        <v>1755</v>
      </c>
      <c r="W360">
        <v>5000</v>
      </c>
      <c r="X360" t="s">
        <v>1755</v>
      </c>
      <c r="Y360">
        <v>46182</v>
      </c>
      <c r="Z360" t="s">
        <v>1755</v>
      </c>
      <c r="AA360" t="s">
        <v>1755</v>
      </c>
      <c r="AB360">
        <v>3</v>
      </c>
      <c r="AC360" t="s">
        <v>1755</v>
      </c>
      <c r="AE360">
        <v>0</v>
      </c>
      <c r="AF360" t="s">
        <v>1755</v>
      </c>
      <c r="AI360" t="s">
        <v>1755</v>
      </c>
      <c r="AJ360" t="s">
        <v>1755</v>
      </c>
      <c r="AK360" t="s">
        <v>1755</v>
      </c>
      <c r="AL360" t="s">
        <v>1755</v>
      </c>
      <c r="AM360" t="s">
        <v>1755</v>
      </c>
      <c r="AO360">
        <v>0</v>
      </c>
    </row>
    <row r="361" spans="1:46" x14ac:dyDescent="0.25">
      <c r="A361" t="s">
        <v>1755</v>
      </c>
      <c r="B361" s="19">
        <v>46179</v>
      </c>
      <c r="C361" t="s">
        <v>6914</v>
      </c>
      <c r="D361" t="s">
        <v>6302</v>
      </c>
      <c r="E361" t="s">
        <v>1268</v>
      </c>
      <c r="F361" t="s">
        <v>1371</v>
      </c>
      <c r="G361" t="s">
        <v>1755</v>
      </c>
      <c r="I361" t="str">
        <f>CONCATENATE(Inbound___Outbound_Shifting[[#This Row],[Batch '#]],"-",Inbound___Outbound_Shifting[[#This Row],[Exp '# or Key]])</f>
        <v>--</v>
      </c>
      <c r="J361" t="s">
        <v>6915</v>
      </c>
      <c r="K361" t="s">
        <v>6916</v>
      </c>
      <c r="L361" t="s">
        <v>1755</v>
      </c>
      <c r="M361" t="s">
        <v>1755</v>
      </c>
      <c r="N361" t="s">
        <v>1755</v>
      </c>
      <c r="O361" t="s">
        <v>1755</v>
      </c>
      <c r="P361" t="s">
        <v>1755</v>
      </c>
      <c r="Q361" t="s">
        <v>1755</v>
      </c>
      <c r="R361" t="s">
        <v>1755</v>
      </c>
      <c r="S361" t="s">
        <v>1755</v>
      </c>
      <c r="T361" t="s">
        <v>1755</v>
      </c>
      <c r="U361" t="s">
        <v>1755</v>
      </c>
      <c r="V361" t="s">
        <v>1755</v>
      </c>
      <c r="W361">
        <v>2000</v>
      </c>
      <c r="X361" t="s">
        <v>1755</v>
      </c>
      <c r="Y361">
        <v>46182</v>
      </c>
      <c r="Z361" t="s">
        <v>1755</v>
      </c>
      <c r="AA361" t="s">
        <v>1755</v>
      </c>
      <c r="AB361">
        <v>3</v>
      </c>
      <c r="AC361" t="s">
        <v>1755</v>
      </c>
      <c r="AE361">
        <v>0</v>
      </c>
      <c r="AF361" t="s">
        <v>1755</v>
      </c>
      <c r="AI361" t="s">
        <v>1755</v>
      </c>
      <c r="AJ361" t="s">
        <v>1755</v>
      </c>
      <c r="AK361" t="s">
        <v>1755</v>
      </c>
      <c r="AL361" t="s">
        <v>1755</v>
      </c>
      <c r="AM361" t="s">
        <v>1755</v>
      </c>
      <c r="AO361">
        <v>0</v>
      </c>
    </row>
    <row r="362" spans="1:46" x14ac:dyDescent="0.25">
      <c r="A362" t="s">
        <v>6329</v>
      </c>
      <c r="B362" s="19">
        <v>46181</v>
      </c>
      <c r="C362" t="s">
        <v>1529</v>
      </c>
      <c r="D362" t="s">
        <v>1600</v>
      </c>
      <c r="E362" t="s">
        <v>366</v>
      </c>
      <c r="F362" t="s">
        <v>1292</v>
      </c>
      <c r="G362" t="s">
        <v>1755</v>
      </c>
      <c r="I362" t="str">
        <f>CONCATENATE(Inbound___Outbound_Shifting[[#This Row],[Batch '#]],"-",Inbound___Outbound_Shifting[[#This Row],[Exp '# or Key]])</f>
        <v>--</v>
      </c>
      <c r="J362" t="s">
        <v>1755</v>
      </c>
      <c r="K362">
        <v>2</v>
      </c>
      <c r="L362" t="s">
        <v>366</v>
      </c>
      <c r="M362" t="s">
        <v>6447</v>
      </c>
      <c r="N362" t="s">
        <v>1755</v>
      </c>
      <c r="O362" t="s">
        <v>104</v>
      </c>
      <c r="P362" t="s">
        <v>6917</v>
      </c>
      <c r="Q362" t="s">
        <v>1530</v>
      </c>
      <c r="R362" t="s">
        <v>6333</v>
      </c>
      <c r="S362" t="s">
        <v>1755</v>
      </c>
      <c r="T362" t="s">
        <v>1755</v>
      </c>
      <c r="U362" t="s">
        <v>1755</v>
      </c>
      <c r="V362" t="s">
        <v>1755</v>
      </c>
      <c r="W362">
        <v>700</v>
      </c>
      <c r="X362">
        <v>1000</v>
      </c>
      <c r="Y362">
        <v>46182</v>
      </c>
      <c r="Z362">
        <v>46177</v>
      </c>
      <c r="AA362" t="s">
        <v>1755</v>
      </c>
      <c r="AB362">
        <v>1</v>
      </c>
      <c r="AC362">
        <v>40000</v>
      </c>
      <c r="AD362">
        <v>7500</v>
      </c>
      <c r="AE362">
        <v>-32500</v>
      </c>
      <c r="AF362" t="s">
        <v>1755</v>
      </c>
      <c r="AG362">
        <v>40</v>
      </c>
      <c r="AI362" t="s">
        <v>6334</v>
      </c>
      <c r="AJ362" t="s">
        <v>47</v>
      </c>
      <c r="AK362" t="s">
        <v>1755</v>
      </c>
      <c r="AL362" t="s">
        <v>1755</v>
      </c>
      <c r="AM362" t="s">
        <v>1755</v>
      </c>
      <c r="AO362">
        <v>32500</v>
      </c>
      <c r="AP362">
        <v>-4.333333333333333</v>
      </c>
      <c r="AQ362">
        <v>40</v>
      </c>
      <c r="AR362" t="s">
        <v>47</v>
      </c>
      <c r="AT362" t="s">
        <v>47</v>
      </c>
    </row>
    <row r="363" spans="1:46" x14ac:dyDescent="0.25">
      <c r="A363" t="s">
        <v>1755</v>
      </c>
      <c r="B363" s="19">
        <v>46181</v>
      </c>
      <c r="C363" t="s">
        <v>1503</v>
      </c>
      <c r="D363" t="s">
        <v>1600</v>
      </c>
      <c r="E363" t="s">
        <v>366</v>
      </c>
      <c r="F363" t="s">
        <v>1494</v>
      </c>
      <c r="G363" t="s">
        <v>1755</v>
      </c>
      <c r="I363" t="str">
        <f>CONCATENATE(Inbound___Outbound_Shifting[[#This Row],[Batch '#]],"-",Inbound___Outbound_Shifting[[#This Row],[Exp '# or Key]])</f>
        <v>--</v>
      </c>
      <c r="J363" t="s">
        <v>1755</v>
      </c>
      <c r="K363">
        <v>1</v>
      </c>
      <c r="L363" t="s">
        <v>366</v>
      </c>
      <c r="M363" t="s">
        <v>6918</v>
      </c>
      <c r="N363" t="s">
        <v>1755</v>
      </c>
      <c r="O363" t="s">
        <v>1755</v>
      </c>
      <c r="P363" t="s">
        <v>1755</v>
      </c>
      <c r="R363" t="s">
        <v>1755</v>
      </c>
      <c r="S363" t="s">
        <v>1755</v>
      </c>
      <c r="T363" t="s">
        <v>1755</v>
      </c>
      <c r="U363" t="s">
        <v>1755</v>
      </c>
      <c r="V363" t="s">
        <v>1755</v>
      </c>
      <c r="W363">
        <v>300</v>
      </c>
      <c r="X363" t="s">
        <v>1755</v>
      </c>
      <c r="Y363">
        <v>46182</v>
      </c>
      <c r="Z363">
        <v>46181</v>
      </c>
      <c r="AA363" t="s">
        <v>1755</v>
      </c>
      <c r="AB363">
        <v>1</v>
      </c>
      <c r="AC363" t="s">
        <v>1755</v>
      </c>
      <c r="AE363">
        <v>0</v>
      </c>
      <c r="AF363" t="s">
        <v>1755</v>
      </c>
      <c r="AI363" t="s">
        <v>1755</v>
      </c>
      <c r="AJ363" t="s">
        <v>1755</v>
      </c>
      <c r="AK363" t="s">
        <v>1755</v>
      </c>
      <c r="AL363" t="s">
        <v>1755</v>
      </c>
      <c r="AM363" t="s">
        <v>1755</v>
      </c>
      <c r="AO363">
        <v>0</v>
      </c>
    </row>
    <row r="364" spans="1:46" x14ac:dyDescent="0.25">
      <c r="A364" t="s">
        <v>6329</v>
      </c>
      <c r="B364" s="19">
        <v>46181</v>
      </c>
      <c r="C364" t="s">
        <v>1476</v>
      </c>
      <c r="D364" t="s">
        <v>6906</v>
      </c>
      <c r="E364" t="s">
        <v>366</v>
      </c>
      <c r="F364" t="s">
        <v>1477</v>
      </c>
      <c r="G364" t="s">
        <v>1755</v>
      </c>
      <c r="I364" t="str">
        <f>CONCATENATE(Inbound___Outbound_Shifting[[#This Row],[Batch '#]],"-",Inbound___Outbound_Shifting[[#This Row],[Exp '# or Key]])</f>
        <v>--</v>
      </c>
      <c r="J364" t="s">
        <v>1755</v>
      </c>
      <c r="K364">
        <v>5</v>
      </c>
      <c r="L364" t="s">
        <v>366</v>
      </c>
      <c r="M364" t="s">
        <v>6384</v>
      </c>
      <c r="N364" t="s">
        <v>1755</v>
      </c>
      <c r="O364" t="s">
        <v>455</v>
      </c>
      <c r="P364" t="s">
        <v>6919</v>
      </c>
      <c r="Q364" t="s">
        <v>1478</v>
      </c>
      <c r="R364" t="s">
        <v>6333</v>
      </c>
      <c r="S364" t="s">
        <v>1755</v>
      </c>
      <c r="T364" t="s">
        <v>1755</v>
      </c>
      <c r="U364" t="s">
        <v>1755</v>
      </c>
      <c r="V364" t="s">
        <v>1755</v>
      </c>
      <c r="W364">
        <v>2175</v>
      </c>
      <c r="X364">
        <v>2200</v>
      </c>
      <c r="Y364">
        <v>46182</v>
      </c>
      <c r="Z364">
        <v>46164</v>
      </c>
      <c r="AA364" t="s">
        <v>1755</v>
      </c>
      <c r="AB364">
        <v>1</v>
      </c>
      <c r="AC364">
        <v>17000</v>
      </c>
      <c r="AD364">
        <v>16500</v>
      </c>
      <c r="AE364">
        <v>-500</v>
      </c>
      <c r="AF364" t="s">
        <v>1755</v>
      </c>
      <c r="AG364">
        <v>7.7272727272727275</v>
      </c>
      <c r="AI364" t="s">
        <v>6308</v>
      </c>
      <c r="AJ364" t="s">
        <v>47</v>
      </c>
      <c r="AK364" t="s">
        <v>107</v>
      </c>
      <c r="AL364" t="s">
        <v>107</v>
      </c>
      <c r="AM364" t="s">
        <v>107</v>
      </c>
      <c r="AO364">
        <v>500</v>
      </c>
      <c r="AP364">
        <v>-3.0303030303030304E-2</v>
      </c>
      <c r="AQ364">
        <v>7.7272727272727275</v>
      </c>
      <c r="AR364" t="s">
        <v>47</v>
      </c>
      <c r="AT364" t="s">
        <v>47</v>
      </c>
    </row>
    <row r="365" spans="1:46" x14ac:dyDescent="0.25">
      <c r="A365" t="s">
        <v>6329</v>
      </c>
      <c r="B365" s="19">
        <v>46182</v>
      </c>
      <c r="C365" t="s">
        <v>1304</v>
      </c>
      <c r="D365" t="s">
        <v>1596</v>
      </c>
      <c r="E365" t="s">
        <v>117</v>
      </c>
      <c r="F365" t="s">
        <v>1305</v>
      </c>
      <c r="G365" t="s">
        <v>1755</v>
      </c>
      <c r="I365" t="str">
        <f>CONCATENATE(Inbound___Outbound_Shifting[[#This Row],[Batch '#]],"-",Inbound___Outbound_Shifting[[#This Row],[Exp '# or Key]])</f>
        <v>--</v>
      </c>
      <c r="J365" t="s">
        <v>1755</v>
      </c>
      <c r="K365">
        <v>1</v>
      </c>
      <c r="L365" t="s">
        <v>117</v>
      </c>
      <c r="M365" t="s">
        <v>6920</v>
      </c>
      <c r="N365" t="s">
        <v>1755</v>
      </c>
      <c r="O365" t="s">
        <v>767</v>
      </c>
      <c r="R365" t="s">
        <v>6307</v>
      </c>
      <c r="S365" t="s">
        <v>1755</v>
      </c>
      <c r="T365" t="s">
        <v>1755</v>
      </c>
      <c r="U365" t="s">
        <v>1755</v>
      </c>
      <c r="V365" t="s">
        <v>1755</v>
      </c>
      <c r="W365">
        <v>23900</v>
      </c>
      <c r="X365">
        <v>25000</v>
      </c>
      <c r="Y365">
        <v>46183</v>
      </c>
      <c r="Z365">
        <v>46182</v>
      </c>
      <c r="AA365" t="s">
        <v>1755</v>
      </c>
      <c r="AB365">
        <v>1</v>
      </c>
      <c r="AC365">
        <v>78000</v>
      </c>
      <c r="AD365">
        <v>187500</v>
      </c>
      <c r="AE365">
        <v>109500</v>
      </c>
      <c r="AF365" t="s">
        <v>1755</v>
      </c>
      <c r="AG365">
        <v>3.12</v>
      </c>
      <c r="AI365" t="s">
        <v>6334</v>
      </c>
      <c r="AJ365" t="s">
        <v>47</v>
      </c>
      <c r="AK365" t="s">
        <v>1755</v>
      </c>
      <c r="AL365" t="s">
        <v>1755</v>
      </c>
      <c r="AM365" t="s">
        <v>1755</v>
      </c>
      <c r="AO365">
        <v>-109500</v>
      </c>
      <c r="AP365">
        <v>0.58399999999999996</v>
      </c>
      <c r="AQ365">
        <v>3.12</v>
      </c>
      <c r="AR365" t="s">
        <v>47</v>
      </c>
      <c r="AT365" t="s">
        <v>47</v>
      </c>
    </row>
    <row r="366" spans="1:46" x14ac:dyDescent="0.25">
      <c r="A366" t="s">
        <v>6329</v>
      </c>
      <c r="B366" s="19">
        <v>46182</v>
      </c>
      <c r="C366" t="s">
        <v>958</v>
      </c>
      <c r="D366" t="s">
        <v>6330</v>
      </c>
      <c r="E366" t="s">
        <v>366</v>
      </c>
      <c r="F366" t="s">
        <v>702</v>
      </c>
      <c r="G366" t="s">
        <v>1755</v>
      </c>
      <c r="I366" t="str">
        <f>CONCATENATE(Inbound___Outbound_Shifting[[#This Row],[Batch '#]],"-",Inbound___Outbound_Shifting[[#This Row],[Exp '# or Key]])</f>
        <v>--</v>
      </c>
      <c r="J366" t="s">
        <v>1755</v>
      </c>
      <c r="K366">
        <v>1</v>
      </c>
      <c r="L366" t="s">
        <v>366</v>
      </c>
      <c r="M366" t="s">
        <v>1268</v>
      </c>
      <c r="N366" t="s">
        <v>1755</v>
      </c>
      <c r="O366" t="s">
        <v>175</v>
      </c>
      <c r="P366" t="s">
        <v>6921</v>
      </c>
      <c r="Q366" t="s">
        <v>6922</v>
      </c>
      <c r="R366" t="s">
        <v>6307</v>
      </c>
      <c r="S366" t="s">
        <v>1755</v>
      </c>
      <c r="T366" t="s">
        <v>1755</v>
      </c>
      <c r="U366" t="s">
        <v>1755</v>
      </c>
      <c r="V366" t="s">
        <v>1755</v>
      </c>
      <c r="W366">
        <v>750</v>
      </c>
      <c r="X366">
        <v>9145</v>
      </c>
      <c r="Y366">
        <v>46185</v>
      </c>
      <c r="Z366">
        <v>46182</v>
      </c>
      <c r="AA366" t="s">
        <v>1755</v>
      </c>
      <c r="AB366">
        <v>3</v>
      </c>
      <c r="AC366">
        <v>110000</v>
      </c>
      <c r="AD366">
        <v>68587.5</v>
      </c>
      <c r="AE366">
        <v>-41412.5</v>
      </c>
      <c r="AF366" t="s">
        <v>1755</v>
      </c>
      <c r="AG366">
        <v>12.02843083652269</v>
      </c>
      <c r="AI366" t="s">
        <v>6308</v>
      </c>
      <c r="AJ366" t="s">
        <v>47</v>
      </c>
      <c r="AK366" t="s">
        <v>107</v>
      </c>
      <c r="AL366" t="s">
        <v>107</v>
      </c>
      <c r="AM366" t="s">
        <v>107</v>
      </c>
      <c r="AO366">
        <v>41412.5</v>
      </c>
      <c r="AP366">
        <v>-0.60379077820302529</v>
      </c>
      <c r="AQ366">
        <v>12.02843083652269</v>
      </c>
      <c r="AR366" t="s">
        <v>47</v>
      </c>
      <c r="AT366" t="s">
        <v>47</v>
      </c>
    </row>
    <row r="367" spans="1:46" x14ac:dyDescent="0.25">
      <c r="A367" t="s">
        <v>1755</v>
      </c>
      <c r="B367" s="19">
        <v>46182</v>
      </c>
      <c r="C367" t="s">
        <v>973</v>
      </c>
      <c r="D367" t="s">
        <v>6330</v>
      </c>
      <c r="E367" t="s">
        <v>366</v>
      </c>
      <c r="F367" t="s">
        <v>702</v>
      </c>
      <c r="G367" t="s">
        <v>1755</v>
      </c>
      <c r="I367" t="str">
        <f>CONCATENATE(Inbound___Outbound_Shifting[[#This Row],[Batch '#]],"-",Inbound___Outbound_Shifting[[#This Row],[Exp '# or Key]])</f>
        <v>--</v>
      </c>
      <c r="J367" t="s">
        <v>1755</v>
      </c>
      <c r="K367">
        <v>1</v>
      </c>
      <c r="L367" t="s">
        <v>366</v>
      </c>
      <c r="M367" t="s">
        <v>1268</v>
      </c>
      <c r="N367" t="s">
        <v>1755</v>
      </c>
      <c r="O367" t="s">
        <v>1755</v>
      </c>
      <c r="P367" t="s">
        <v>1755</v>
      </c>
      <c r="Q367" t="s">
        <v>1755</v>
      </c>
      <c r="R367" t="s">
        <v>1755</v>
      </c>
      <c r="S367" t="s">
        <v>1755</v>
      </c>
      <c r="T367" t="s">
        <v>1755</v>
      </c>
      <c r="U367" t="s">
        <v>1755</v>
      </c>
      <c r="V367" t="s">
        <v>1755</v>
      </c>
      <c r="W367">
        <v>950</v>
      </c>
      <c r="X367" t="s">
        <v>1755</v>
      </c>
      <c r="Y367">
        <v>46185</v>
      </c>
      <c r="Z367">
        <v>46182</v>
      </c>
      <c r="AA367" t="s">
        <v>1755</v>
      </c>
      <c r="AB367">
        <v>3</v>
      </c>
      <c r="AC367" t="s">
        <v>1755</v>
      </c>
      <c r="AE367">
        <v>0</v>
      </c>
      <c r="AF367" t="s">
        <v>1755</v>
      </c>
      <c r="AI367" t="s">
        <v>1755</v>
      </c>
      <c r="AJ367" t="s">
        <v>1755</v>
      </c>
      <c r="AK367" t="s">
        <v>1755</v>
      </c>
      <c r="AL367" t="s">
        <v>1755</v>
      </c>
      <c r="AM367" t="s">
        <v>1755</v>
      </c>
      <c r="AO367">
        <v>0</v>
      </c>
    </row>
    <row r="368" spans="1:46" x14ac:dyDescent="0.25">
      <c r="A368" t="s">
        <v>1755</v>
      </c>
      <c r="B368" s="19">
        <v>46182</v>
      </c>
      <c r="C368" t="s">
        <v>1039</v>
      </c>
      <c r="D368" t="s">
        <v>6330</v>
      </c>
      <c r="E368" t="s">
        <v>117</v>
      </c>
      <c r="F368" t="s">
        <v>702</v>
      </c>
      <c r="G368" t="s">
        <v>1755</v>
      </c>
      <c r="I368" t="str">
        <f>CONCATENATE(Inbound___Outbound_Shifting[[#This Row],[Batch '#]],"-",Inbound___Outbound_Shifting[[#This Row],[Exp '# or Key]])</f>
        <v>--</v>
      </c>
      <c r="J368" t="s">
        <v>1755</v>
      </c>
      <c r="K368">
        <v>2</v>
      </c>
      <c r="L368" t="s">
        <v>117</v>
      </c>
      <c r="M368" t="s">
        <v>1268</v>
      </c>
      <c r="N368" t="s">
        <v>1755</v>
      </c>
      <c r="O368" t="s">
        <v>1755</v>
      </c>
      <c r="P368" t="s">
        <v>1755</v>
      </c>
      <c r="Q368" t="s">
        <v>1755</v>
      </c>
      <c r="R368" t="s">
        <v>1755</v>
      </c>
      <c r="S368" t="s">
        <v>1755</v>
      </c>
      <c r="T368" t="s">
        <v>1755</v>
      </c>
      <c r="U368" t="s">
        <v>1755</v>
      </c>
      <c r="V368" t="s">
        <v>1755</v>
      </c>
      <c r="W368">
        <v>3800</v>
      </c>
      <c r="X368" t="s">
        <v>1755</v>
      </c>
      <c r="Y368">
        <v>46185</v>
      </c>
      <c r="Z368">
        <v>46182</v>
      </c>
      <c r="AA368" t="s">
        <v>1755</v>
      </c>
      <c r="AB368">
        <v>3</v>
      </c>
      <c r="AC368" t="s">
        <v>1755</v>
      </c>
      <c r="AE368">
        <v>0</v>
      </c>
      <c r="AF368" t="s">
        <v>1755</v>
      </c>
      <c r="AI368" t="s">
        <v>1755</v>
      </c>
      <c r="AJ368" t="s">
        <v>1755</v>
      </c>
      <c r="AK368" t="s">
        <v>1755</v>
      </c>
      <c r="AL368" t="s">
        <v>1755</v>
      </c>
      <c r="AM368" t="s">
        <v>1755</v>
      </c>
      <c r="AO368">
        <v>0</v>
      </c>
    </row>
    <row r="369" spans="1:46" x14ac:dyDescent="0.25">
      <c r="A369" t="s">
        <v>1755</v>
      </c>
      <c r="B369" s="19">
        <v>46182</v>
      </c>
      <c r="C369" t="s">
        <v>948</v>
      </c>
      <c r="D369" t="s">
        <v>6330</v>
      </c>
      <c r="E369" t="s">
        <v>117</v>
      </c>
      <c r="F369" t="s">
        <v>922</v>
      </c>
      <c r="G369" t="s">
        <v>1755</v>
      </c>
      <c r="I369" t="str">
        <f>CONCATENATE(Inbound___Outbound_Shifting[[#This Row],[Batch '#]],"-",Inbound___Outbound_Shifting[[#This Row],[Exp '# or Key]])</f>
        <v>--</v>
      </c>
      <c r="J369" t="s">
        <v>1755</v>
      </c>
      <c r="K369">
        <v>1</v>
      </c>
      <c r="L369" t="s">
        <v>117</v>
      </c>
      <c r="M369" t="s">
        <v>1268</v>
      </c>
      <c r="N369" t="s">
        <v>1755</v>
      </c>
      <c r="O369" t="s">
        <v>1755</v>
      </c>
      <c r="P369" t="s">
        <v>1755</v>
      </c>
      <c r="Q369" t="s">
        <v>1755</v>
      </c>
      <c r="R369" t="s">
        <v>1755</v>
      </c>
      <c r="S369" t="s">
        <v>1755</v>
      </c>
      <c r="T369" t="s">
        <v>1755</v>
      </c>
      <c r="U369" t="s">
        <v>1755</v>
      </c>
      <c r="V369" t="s">
        <v>1755</v>
      </c>
      <c r="W369">
        <v>3645</v>
      </c>
      <c r="X369" t="s">
        <v>1755</v>
      </c>
      <c r="Y369">
        <v>46185</v>
      </c>
      <c r="Z369">
        <v>46182</v>
      </c>
      <c r="AA369" t="s">
        <v>1755</v>
      </c>
      <c r="AB369">
        <v>3</v>
      </c>
      <c r="AC369" t="s">
        <v>1755</v>
      </c>
      <c r="AE369">
        <v>0</v>
      </c>
      <c r="AF369" t="s">
        <v>1755</v>
      </c>
      <c r="AI369" t="s">
        <v>1755</v>
      </c>
      <c r="AJ369" t="s">
        <v>1755</v>
      </c>
      <c r="AK369" t="s">
        <v>1755</v>
      </c>
      <c r="AL369" t="s">
        <v>1755</v>
      </c>
      <c r="AM369" t="s">
        <v>1755</v>
      </c>
      <c r="AO369">
        <v>0</v>
      </c>
    </row>
    <row r="370" spans="1:46" x14ac:dyDescent="0.25">
      <c r="A370" t="s">
        <v>6329</v>
      </c>
      <c r="B370" s="19">
        <v>46183</v>
      </c>
      <c r="C370" t="s">
        <v>1503</v>
      </c>
      <c r="D370" t="s">
        <v>1600</v>
      </c>
      <c r="E370" t="s">
        <v>366</v>
      </c>
      <c r="F370" t="s">
        <v>1494</v>
      </c>
      <c r="G370" t="s">
        <v>1755</v>
      </c>
      <c r="I370" t="str">
        <f>CONCATENATE(Inbound___Outbound_Shifting[[#This Row],[Batch '#]],"-",Inbound___Outbound_Shifting[[#This Row],[Exp '# or Key]])</f>
        <v>--</v>
      </c>
      <c r="J370" t="s">
        <v>1755</v>
      </c>
      <c r="K370">
        <v>2</v>
      </c>
      <c r="L370" t="s">
        <v>366</v>
      </c>
      <c r="M370" t="s">
        <v>1494</v>
      </c>
      <c r="N370" t="s">
        <v>1755</v>
      </c>
      <c r="O370" t="s">
        <v>455</v>
      </c>
      <c r="P370" t="s">
        <v>6923</v>
      </c>
      <c r="Q370" t="s">
        <v>6924</v>
      </c>
      <c r="R370" t="s">
        <v>6679</v>
      </c>
      <c r="S370" t="s">
        <v>1755</v>
      </c>
      <c r="T370" t="s">
        <v>1755</v>
      </c>
      <c r="U370" t="s">
        <v>1755</v>
      </c>
      <c r="V370" t="s">
        <v>1755</v>
      </c>
      <c r="W370">
        <v>1023</v>
      </c>
      <c r="X370">
        <v>1023</v>
      </c>
      <c r="Y370">
        <v>46184</v>
      </c>
      <c r="Z370">
        <v>46183</v>
      </c>
      <c r="AA370" t="s">
        <v>1755</v>
      </c>
      <c r="AB370">
        <v>1</v>
      </c>
      <c r="AC370">
        <v>75000</v>
      </c>
      <c r="AD370">
        <v>7672.5</v>
      </c>
      <c r="AE370">
        <v>-67327.5</v>
      </c>
      <c r="AF370" t="s">
        <v>1755</v>
      </c>
      <c r="AG370">
        <v>73.313782991202345</v>
      </c>
      <c r="AI370" t="s">
        <v>6308</v>
      </c>
      <c r="AJ370" t="s">
        <v>47</v>
      </c>
      <c r="AK370" t="s">
        <v>107</v>
      </c>
      <c r="AL370" t="s">
        <v>107</v>
      </c>
      <c r="AM370" t="s">
        <v>107</v>
      </c>
      <c r="AO370">
        <v>67327.5</v>
      </c>
      <c r="AP370">
        <v>-8.7751710654936463</v>
      </c>
      <c r="AQ370">
        <v>73.313782991202345</v>
      </c>
      <c r="AR370" t="s">
        <v>47</v>
      </c>
      <c r="AT370" t="s">
        <v>47</v>
      </c>
    </row>
    <row r="371" spans="1:46" x14ac:dyDescent="0.25">
      <c r="A371" t="s">
        <v>6329</v>
      </c>
      <c r="B371" s="19">
        <v>46184</v>
      </c>
      <c r="C371" t="s">
        <v>6925</v>
      </c>
      <c r="D371" t="s">
        <v>1596</v>
      </c>
      <c r="E371" t="s">
        <v>117</v>
      </c>
      <c r="F371" t="s">
        <v>6926</v>
      </c>
      <c r="G371" t="s">
        <v>1755</v>
      </c>
      <c r="I371" t="str">
        <f>CONCATENATE(Inbound___Outbound_Shifting[[#This Row],[Batch '#]],"-",Inbound___Outbound_Shifting[[#This Row],[Exp '# or Key]])</f>
        <v>--</v>
      </c>
      <c r="J371" t="s">
        <v>1755</v>
      </c>
      <c r="K371">
        <v>10</v>
      </c>
      <c r="L371" t="s">
        <v>117</v>
      </c>
      <c r="M371" t="s">
        <v>6927</v>
      </c>
      <c r="N371" t="s">
        <v>1755</v>
      </c>
      <c r="O371" t="s">
        <v>767</v>
      </c>
      <c r="P371" t="s">
        <v>6928</v>
      </c>
      <c r="Q371" t="s">
        <v>6929</v>
      </c>
      <c r="R371" t="s">
        <v>6930</v>
      </c>
      <c r="S371" t="s">
        <v>1755</v>
      </c>
      <c r="T371" t="s">
        <v>1755</v>
      </c>
      <c r="U371" t="s">
        <v>1755</v>
      </c>
      <c r="V371" t="s">
        <v>1755</v>
      </c>
      <c r="W371">
        <v>47280</v>
      </c>
      <c r="X371">
        <v>47280</v>
      </c>
      <c r="Y371">
        <v>46185</v>
      </c>
      <c r="Z371">
        <v>46183</v>
      </c>
      <c r="AA371" t="s">
        <v>1755</v>
      </c>
      <c r="AB371">
        <v>1</v>
      </c>
      <c r="AC371">
        <v>175000</v>
      </c>
      <c r="AD371">
        <v>354600</v>
      </c>
      <c r="AE371">
        <v>179600</v>
      </c>
      <c r="AF371" t="s">
        <v>1755</v>
      </c>
      <c r="AG371">
        <v>3.7013536379018612</v>
      </c>
      <c r="AI371" t="s">
        <v>6334</v>
      </c>
      <c r="AJ371" t="s">
        <v>47</v>
      </c>
      <c r="AK371" t="s">
        <v>6335</v>
      </c>
      <c r="AL371" t="s">
        <v>6335</v>
      </c>
      <c r="AM371" t="s">
        <v>6335</v>
      </c>
      <c r="AO371">
        <v>-179600</v>
      </c>
      <c r="AP371">
        <v>0.50648618161308512</v>
      </c>
      <c r="AQ371">
        <v>3.7013536379018612</v>
      </c>
      <c r="AR371" t="s">
        <v>47</v>
      </c>
      <c r="AT371" t="s">
        <v>47</v>
      </c>
    </row>
    <row r="372" spans="1:46" x14ac:dyDescent="0.25">
      <c r="A372" t="s">
        <v>6300</v>
      </c>
      <c r="B372" s="19">
        <v>46185</v>
      </c>
      <c r="C372" t="s">
        <v>6995</v>
      </c>
      <c r="D372" t="s">
        <v>6302</v>
      </c>
      <c r="E372" t="s">
        <v>6086</v>
      </c>
      <c r="F372" t="s">
        <v>1371</v>
      </c>
      <c r="G372" t="s">
        <v>1755</v>
      </c>
      <c r="I372" t="str">
        <f>CONCATENATE(Inbound___Outbound_Shifting[[#This Row],[Batch '#]],"-",Inbound___Outbound_Shifting[[#This Row],[Exp '# or Key]])</f>
        <v>--</v>
      </c>
      <c r="J372" t="s">
        <v>6413</v>
      </c>
      <c r="K372" t="s">
        <v>6375</v>
      </c>
      <c r="L372" t="s">
        <v>1755</v>
      </c>
      <c r="M372" t="s">
        <v>1755</v>
      </c>
      <c r="N372" t="s">
        <v>1755</v>
      </c>
      <c r="O372" t="s">
        <v>430</v>
      </c>
      <c r="P372" t="s">
        <v>6996</v>
      </c>
      <c r="Q372" t="s">
        <v>6997</v>
      </c>
      <c r="R372" t="s">
        <v>6307</v>
      </c>
      <c r="S372">
        <v>1</v>
      </c>
      <c r="T372" t="s">
        <v>1755</v>
      </c>
      <c r="U372" t="s">
        <v>1755</v>
      </c>
      <c r="V372" t="s">
        <v>1755</v>
      </c>
      <c r="W372">
        <v>27000</v>
      </c>
      <c r="X372">
        <v>29000</v>
      </c>
      <c r="Y372">
        <v>46188</v>
      </c>
      <c r="Z372" t="s">
        <v>1755</v>
      </c>
      <c r="AA372" t="s">
        <v>1755</v>
      </c>
      <c r="AB372">
        <v>3</v>
      </c>
      <c r="AC372">
        <v>361990</v>
      </c>
      <c r="AD372">
        <v>435000</v>
      </c>
      <c r="AE372">
        <v>73010</v>
      </c>
      <c r="AF372" t="s">
        <v>1755</v>
      </c>
      <c r="AG372">
        <v>12.482413793103449</v>
      </c>
      <c r="AH372">
        <v>296.95652173913044</v>
      </c>
      <c r="AI372" t="s">
        <v>6308</v>
      </c>
      <c r="AJ372" t="s">
        <v>47</v>
      </c>
      <c r="AK372" t="s">
        <v>107</v>
      </c>
      <c r="AL372" t="s">
        <v>107</v>
      </c>
      <c r="AM372" t="s">
        <v>107</v>
      </c>
      <c r="AO372">
        <v>-73010</v>
      </c>
      <c r="AP372">
        <v>0.16783908045977011</v>
      </c>
      <c r="AQ372">
        <v>12.482413793103449</v>
      </c>
      <c r="AR372" t="s">
        <v>47</v>
      </c>
      <c r="AT372" t="s">
        <v>47</v>
      </c>
    </row>
    <row r="373" spans="1:46" x14ac:dyDescent="0.25">
      <c r="A373" t="s">
        <v>6329</v>
      </c>
      <c r="B373" s="19">
        <v>46185</v>
      </c>
      <c r="C373" t="s">
        <v>6931</v>
      </c>
      <c r="D373" t="s">
        <v>1596</v>
      </c>
      <c r="E373" t="s">
        <v>117</v>
      </c>
      <c r="F373" t="s">
        <v>6932</v>
      </c>
      <c r="G373" t="s">
        <v>1755</v>
      </c>
      <c r="I373" t="str">
        <f>CONCATENATE(Inbound___Outbound_Shifting[[#This Row],[Batch '#]],"-",Inbound___Outbound_Shifting[[#This Row],[Exp '# or Key]])</f>
        <v>--</v>
      </c>
      <c r="J373" t="s">
        <v>1755</v>
      </c>
      <c r="K373">
        <v>5</v>
      </c>
      <c r="L373" t="s">
        <v>117</v>
      </c>
      <c r="M373" t="s">
        <v>6933</v>
      </c>
      <c r="N373" t="s">
        <v>1755</v>
      </c>
      <c r="O373" t="s">
        <v>767</v>
      </c>
      <c r="R373" t="s">
        <v>6930</v>
      </c>
      <c r="S373" t="s">
        <v>1755</v>
      </c>
      <c r="T373" t="s">
        <v>1755</v>
      </c>
      <c r="U373" t="s">
        <v>1755</v>
      </c>
      <c r="V373" t="s">
        <v>1755</v>
      </c>
      <c r="W373">
        <v>48000</v>
      </c>
      <c r="X373">
        <v>50000</v>
      </c>
      <c r="Y373">
        <v>46186</v>
      </c>
      <c r="Z373">
        <v>46185</v>
      </c>
      <c r="AA373" t="s">
        <v>1755</v>
      </c>
      <c r="AB373">
        <v>1</v>
      </c>
      <c r="AC373">
        <v>120000</v>
      </c>
      <c r="AD373">
        <v>375000</v>
      </c>
      <c r="AE373">
        <v>255000</v>
      </c>
      <c r="AF373" t="s">
        <v>1755</v>
      </c>
      <c r="AG373">
        <v>2.4</v>
      </c>
      <c r="AI373" t="s">
        <v>6334</v>
      </c>
      <c r="AJ373" t="s">
        <v>47</v>
      </c>
      <c r="AK373" t="s">
        <v>6335</v>
      </c>
      <c r="AL373" t="s">
        <v>6335</v>
      </c>
      <c r="AM373" t="s">
        <v>6335</v>
      </c>
      <c r="AO373">
        <v>-255000</v>
      </c>
      <c r="AP373">
        <v>0.68</v>
      </c>
      <c r="AQ373">
        <v>2.4</v>
      </c>
      <c r="AR373" t="s">
        <v>47</v>
      </c>
      <c r="AT373" t="s">
        <v>47</v>
      </c>
    </row>
    <row r="374" spans="1:46" x14ac:dyDescent="0.25">
      <c r="A374" t="s">
        <v>6329</v>
      </c>
      <c r="B374" s="19">
        <v>46185</v>
      </c>
      <c r="C374" t="s">
        <v>6934</v>
      </c>
      <c r="D374" t="s">
        <v>1596</v>
      </c>
      <c r="E374" t="s">
        <v>117</v>
      </c>
      <c r="F374" t="s">
        <v>6932</v>
      </c>
      <c r="G374" t="s">
        <v>1755</v>
      </c>
      <c r="I374" t="str">
        <f>CONCATENATE(Inbound___Outbound_Shifting[[#This Row],[Batch '#]],"-",Inbound___Outbound_Shifting[[#This Row],[Exp '# or Key]])</f>
        <v>--</v>
      </c>
      <c r="J374" t="s">
        <v>1755</v>
      </c>
      <c r="K374">
        <v>16</v>
      </c>
      <c r="L374" t="s">
        <v>117</v>
      </c>
      <c r="M374" t="s">
        <v>6933</v>
      </c>
      <c r="N374" t="s">
        <v>1755</v>
      </c>
      <c r="O374" t="s">
        <v>767</v>
      </c>
      <c r="R374" t="s">
        <v>6930</v>
      </c>
      <c r="S374" t="s">
        <v>1755</v>
      </c>
      <c r="T374" t="s">
        <v>1755</v>
      </c>
      <c r="U374" t="s">
        <v>1755</v>
      </c>
      <c r="V374" t="s">
        <v>1755</v>
      </c>
      <c r="W374">
        <v>25000</v>
      </c>
      <c r="X374">
        <v>26000</v>
      </c>
      <c r="Y374">
        <v>46186</v>
      </c>
      <c r="Z374">
        <v>46185</v>
      </c>
      <c r="AA374" t="s">
        <v>1755</v>
      </c>
      <c r="AB374">
        <v>1</v>
      </c>
      <c r="AC374">
        <v>70000</v>
      </c>
      <c r="AD374">
        <v>195000</v>
      </c>
      <c r="AE374">
        <v>125000</v>
      </c>
      <c r="AF374" t="s">
        <v>1755</v>
      </c>
      <c r="AG374">
        <v>2.6923076923076925</v>
      </c>
      <c r="AI374" t="s">
        <v>6334</v>
      </c>
      <c r="AJ374" t="s">
        <v>47</v>
      </c>
      <c r="AK374" t="s">
        <v>6335</v>
      </c>
      <c r="AL374" t="s">
        <v>6335</v>
      </c>
      <c r="AM374" t="s">
        <v>6335</v>
      </c>
      <c r="AO374">
        <v>-125000</v>
      </c>
      <c r="AP374">
        <v>0.64102564102564108</v>
      </c>
      <c r="AQ374">
        <v>2.6923076923076925</v>
      </c>
      <c r="AR374" t="s">
        <v>47</v>
      </c>
      <c r="AT374" t="s">
        <v>47</v>
      </c>
    </row>
    <row r="375" spans="1:46" x14ac:dyDescent="0.25">
      <c r="A375" t="s">
        <v>6329</v>
      </c>
      <c r="B375" s="19">
        <v>46188</v>
      </c>
      <c r="C375" t="s">
        <v>6935</v>
      </c>
      <c r="D375" t="s">
        <v>6330</v>
      </c>
      <c r="E375" t="s">
        <v>366</v>
      </c>
      <c r="F375" t="s">
        <v>6664</v>
      </c>
      <c r="I375" t="str">
        <f>CONCATENATE(Inbound___Outbound_Shifting[[#This Row],[Batch '#]],"-",Inbound___Outbound_Shifting[[#This Row],[Exp '# or Key]])</f>
        <v>-</v>
      </c>
      <c r="J375" t="s">
        <v>1755</v>
      </c>
      <c r="K375">
        <v>2</v>
      </c>
      <c r="L375" t="s">
        <v>366</v>
      </c>
      <c r="M375" t="s">
        <v>1268</v>
      </c>
      <c r="N375" t="s">
        <v>1755</v>
      </c>
      <c r="O375" t="s">
        <v>278</v>
      </c>
      <c r="P375" t="s">
        <v>6744</v>
      </c>
      <c r="Q375" t="s">
        <v>6936</v>
      </c>
      <c r="R375" t="s">
        <v>6307</v>
      </c>
      <c r="S375" t="s">
        <v>1755</v>
      </c>
      <c r="T375" t="s">
        <v>1755</v>
      </c>
      <c r="U375" t="s">
        <v>1755</v>
      </c>
      <c r="V375" t="s">
        <v>1755</v>
      </c>
      <c r="W375">
        <v>1945</v>
      </c>
      <c r="X375">
        <v>21000</v>
      </c>
      <c r="Y375">
        <v>46191</v>
      </c>
      <c r="Z375">
        <v>46188</v>
      </c>
      <c r="AA375" t="s">
        <v>1755</v>
      </c>
      <c r="AB375">
        <v>3</v>
      </c>
      <c r="AC375">
        <v>150000</v>
      </c>
      <c r="AD375">
        <v>157500</v>
      </c>
      <c r="AE375">
        <v>7500</v>
      </c>
      <c r="AF375" t="s">
        <v>1755</v>
      </c>
      <c r="AG375">
        <v>7.1428571428571432</v>
      </c>
      <c r="AI375" t="s">
        <v>6308</v>
      </c>
      <c r="AJ375" t="s">
        <v>47</v>
      </c>
      <c r="AK375" t="s">
        <v>107</v>
      </c>
      <c r="AL375" t="s">
        <v>107</v>
      </c>
      <c r="AM375" t="s">
        <v>107</v>
      </c>
      <c r="AO375">
        <v>-7500</v>
      </c>
      <c r="AP375">
        <v>4.7619047619047616E-2</v>
      </c>
      <c r="AQ375">
        <v>7.1428571428571432</v>
      </c>
      <c r="AR375" t="s">
        <v>47</v>
      </c>
      <c r="AT375" t="s">
        <v>47</v>
      </c>
    </row>
    <row r="376" spans="1:46" x14ac:dyDescent="0.25">
      <c r="A376" t="s">
        <v>1755</v>
      </c>
      <c r="B376" s="19">
        <v>46188</v>
      </c>
      <c r="C376" t="s">
        <v>6937</v>
      </c>
      <c r="D376" t="s">
        <v>6330</v>
      </c>
      <c r="E376" t="s">
        <v>1755</v>
      </c>
      <c r="F376" t="s">
        <v>6938</v>
      </c>
      <c r="I376" t="str">
        <f>CONCATENATE(Inbound___Outbound_Shifting[[#This Row],[Batch '#]],"-",Inbound___Outbound_Shifting[[#This Row],[Exp '# or Key]])</f>
        <v>-</v>
      </c>
      <c r="J376" t="s">
        <v>1755</v>
      </c>
      <c r="K376">
        <v>2</v>
      </c>
      <c r="L376" t="s">
        <v>1755</v>
      </c>
      <c r="M376" t="s">
        <v>1755</v>
      </c>
      <c r="N376" t="s">
        <v>1755</v>
      </c>
      <c r="O376" t="s">
        <v>1755</v>
      </c>
      <c r="P376" t="s">
        <v>1755</v>
      </c>
      <c r="Q376" t="s">
        <v>1755</v>
      </c>
      <c r="R376" t="s">
        <v>1755</v>
      </c>
      <c r="S376" t="s">
        <v>1755</v>
      </c>
      <c r="T376" t="s">
        <v>1755</v>
      </c>
      <c r="U376" t="s">
        <v>1755</v>
      </c>
      <c r="V376" t="s">
        <v>1755</v>
      </c>
      <c r="W376">
        <v>4130</v>
      </c>
      <c r="Y376">
        <v>46191</v>
      </c>
      <c r="Z376">
        <v>46188</v>
      </c>
      <c r="AA376" t="s">
        <v>1755</v>
      </c>
      <c r="AB376">
        <v>3</v>
      </c>
      <c r="AC376" t="s">
        <v>1755</v>
      </c>
      <c r="AD376">
        <v>0</v>
      </c>
      <c r="AE376">
        <v>0</v>
      </c>
      <c r="AF376" t="s">
        <v>1755</v>
      </c>
      <c r="AI376" t="s">
        <v>1755</v>
      </c>
      <c r="AJ376" t="s">
        <v>1755</v>
      </c>
      <c r="AK376" t="s">
        <v>1755</v>
      </c>
      <c r="AL376" t="s">
        <v>1755</v>
      </c>
      <c r="AM376" t="s">
        <v>1755</v>
      </c>
      <c r="AO376">
        <v>0</v>
      </c>
    </row>
    <row r="377" spans="1:46" x14ac:dyDescent="0.25">
      <c r="A377" t="s">
        <v>1755</v>
      </c>
      <c r="B377" s="19">
        <v>46188</v>
      </c>
      <c r="C377" t="s">
        <v>6939</v>
      </c>
      <c r="D377" t="s">
        <v>6330</v>
      </c>
      <c r="E377" t="s">
        <v>1755</v>
      </c>
      <c r="F377" t="s">
        <v>6827</v>
      </c>
      <c r="I377" t="str">
        <f>CONCATENATE(Inbound___Outbound_Shifting[[#This Row],[Batch '#]],"-",Inbound___Outbound_Shifting[[#This Row],[Exp '# or Key]])</f>
        <v>-</v>
      </c>
      <c r="J377" t="s">
        <v>1755</v>
      </c>
      <c r="K377">
        <v>1</v>
      </c>
      <c r="L377" t="s">
        <v>1755</v>
      </c>
      <c r="M377" t="s">
        <v>1755</v>
      </c>
      <c r="N377" t="s">
        <v>1755</v>
      </c>
      <c r="O377" t="s">
        <v>1755</v>
      </c>
      <c r="P377" t="s">
        <v>1755</v>
      </c>
      <c r="Q377" t="s">
        <v>1755</v>
      </c>
      <c r="R377" t="s">
        <v>1755</v>
      </c>
      <c r="S377" t="s">
        <v>1755</v>
      </c>
      <c r="T377" t="s">
        <v>1755</v>
      </c>
      <c r="U377" t="s">
        <v>1755</v>
      </c>
      <c r="V377" t="s">
        <v>1755</v>
      </c>
      <c r="W377">
        <v>1500</v>
      </c>
      <c r="Y377">
        <v>46191</v>
      </c>
      <c r="Z377">
        <v>46188</v>
      </c>
      <c r="AA377" t="s">
        <v>1755</v>
      </c>
      <c r="AB377">
        <v>3</v>
      </c>
      <c r="AC377" t="s">
        <v>1755</v>
      </c>
      <c r="AD377">
        <v>0</v>
      </c>
      <c r="AE377">
        <v>0</v>
      </c>
      <c r="AF377" t="s">
        <v>1755</v>
      </c>
      <c r="AI377" t="s">
        <v>1755</v>
      </c>
      <c r="AJ377" t="s">
        <v>1755</v>
      </c>
      <c r="AK377" t="s">
        <v>1755</v>
      </c>
      <c r="AL377" t="s">
        <v>1755</v>
      </c>
      <c r="AM377" t="s">
        <v>1755</v>
      </c>
      <c r="AO377">
        <v>0</v>
      </c>
    </row>
    <row r="378" spans="1:46" x14ac:dyDescent="0.25">
      <c r="A378" t="s">
        <v>1755</v>
      </c>
      <c r="B378" s="19">
        <v>46188</v>
      </c>
      <c r="C378" t="s">
        <v>6940</v>
      </c>
      <c r="D378" t="s">
        <v>6330</v>
      </c>
      <c r="E378" t="s">
        <v>1755</v>
      </c>
      <c r="F378" t="s">
        <v>6941</v>
      </c>
      <c r="I378" t="str">
        <f>CONCATENATE(Inbound___Outbound_Shifting[[#This Row],[Batch '#]],"-",Inbound___Outbound_Shifting[[#This Row],[Exp '# or Key]])</f>
        <v>-</v>
      </c>
      <c r="J378" t="s">
        <v>1755</v>
      </c>
      <c r="K378">
        <v>2</v>
      </c>
      <c r="L378" t="s">
        <v>1755</v>
      </c>
      <c r="M378" t="s">
        <v>1755</v>
      </c>
      <c r="N378" t="s">
        <v>1755</v>
      </c>
      <c r="O378" t="s">
        <v>1755</v>
      </c>
      <c r="P378" t="s">
        <v>1755</v>
      </c>
      <c r="Q378" t="s">
        <v>1755</v>
      </c>
      <c r="R378" t="s">
        <v>1755</v>
      </c>
      <c r="S378" t="s">
        <v>1755</v>
      </c>
      <c r="T378" t="s">
        <v>1755</v>
      </c>
      <c r="U378" t="s">
        <v>1755</v>
      </c>
      <c r="V378" t="s">
        <v>1755</v>
      </c>
      <c r="W378">
        <v>3200</v>
      </c>
      <c r="Y378">
        <v>46191</v>
      </c>
      <c r="Z378">
        <v>46188</v>
      </c>
      <c r="AA378" t="s">
        <v>1755</v>
      </c>
      <c r="AB378">
        <v>3</v>
      </c>
      <c r="AC378" t="s">
        <v>1755</v>
      </c>
      <c r="AD378">
        <v>0</v>
      </c>
      <c r="AE378">
        <v>0</v>
      </c>
      <c r="AF378" t="s">
        <v>1755</v>
      </c>
      <c r="AI378" t="s">
        <v>1755</v>
      </c>
      <c r="AJ378" t="s">
        <v>1755</v>
      </c>
      <c r="AK378" t="s">
        <v>1755</v>
      </c>
      <c r="AL378" t="s">
        <v>1755</v>
      </c>
      <c r="AM378" t="s">
        <v>1755</v>
      </c>
      <c r="AO378">
        <v>0</v>
      </c>
    </row>
    <row r="379" spans="1:46" x14ac:dyDescent="0.25">
      <c r="A379" t="s">
        <v>1755</v>
      </c>
      <c r="B379" s="19">
        <v>46188</v>
      </c>
      <c r="C379" t="s">
        <v>1437</v>
      </c>
      <c r="D379" t="s">
        <v>6904</v>
      </c>
      <c r="E379" t="s">
        <v>1755</v>
      </c>
      <c r="F379" t="s">
        <v>1797</v>
      </c>
      <c r="I379" t="str">
        <f>CONCATENATE(Inbound___Outbound_Shifting[[#This Row],[Batch '#]],"-",Inbound___Outbound_Shifting[[#This Row],[Exp '# or Key]])</f>
        <v>-</v>
      </c>
      <c r="J379" t="s">
        <v>1755</v>
      </c>
      <c r="K379">
        <v>2</v>
      </c>
      <c r="L379" t="s">
        <v>1755</v>
      </c>
      <c r="M379" t="s">
        <v>1755</v>
      </c>
      <c r="N379" t="s">
        <v>1755</v>
      </c>
      <c r="O379" t="s">
        <v>1755</v>
      </c>
      <c r="P379" t="s">
        <v>1755</v>
      </c>
      <c r="Q379" t="s">
        <v>1755</v>
      </c>
      <c r="R379" t="s">
        <v>1755</v>
      </c>
      <c r="S379" t="s">
        <v>1755</v>
      </c>
      <c r="T379" t="s">
        <v>1755</v>
      </c>
      <c r="U379" t="s">
        <v>1755</v>
      </c>
      <c r="V379" t="s">
        <v>1755</v>
      </c>
      <c r="W379">
        <v>4760</v>
      </c>
      <c r="Y379">
        <v>46191</v>
      </c>
      <c r="Z379">
        <v>46188</v>
      </c>
      <c r="AA379" t="s">
        <v>1755</v>
      </c>
      <c r="AB379">
        <v>3</v>
      </c>
      <c r="AC379" t="s">
        <v>1755</v>
      </c>
      <c r="AD379">
        <v>0</v>
      </c>
      <c r="AE379">
        <v>0</v>
      </c>
      <c r="AF379" t="s">
        <v>1755</v>
      </c>
      <c r="AI379" t="s">
        <v>1755</v>
      </c>
      <c r="AJ379" t="s">
        <v>1755</v>
      </c>
      <c r="AK379" t="s">
        <v>1755</v>
      </c>
      <c r="AL379" t="s">
        <v>1755</v>
      </c>
      <c r="AM379" t="s">
        <v>1755</v>
      </c>
      <c r="AO379">
        <v>0</v>
      </c>
    </row>
    <row r="380" spans="1:46" x14ac:dyDescent="0.25">
      <c r="A380" t="s">
        <v>1755</v>
      </c>
      <c r="B380" s="19">
        <v>46188</v>
      </c>
      <c r="C380" t="s">
        <v>6942</v>
      </c>
      <c r="D380" t="s">
        <v>6904</v>
      </c>
      <c r="E380" t="s">
        <v>1755</v>
      </c>
      <c r="F380" t="s">
        <v>1180</v>
      </c>
      <c r="I380" t="str">
        <f>CONCATENATE(Inbound___Outbound_Shifting[[#This Row],[Batch '#]],"-",Inbound___Outbound_Shifting[[#This Row],[Exp '# or Key]])</f>
        <v>-</v>
      </c>
      <c r="J380" t="s">
        <v>1755</v>
      </c>
      <c r="K380">
        <v>4</v>
      </c>
      <c r="L380" t="s">
        <v>1755</v>
      </c>
      <c r="M380" t="s">
        <v>1755</v>
      </c>
      <c r="N380" t="s">
        <v>1755</v>
      </c>
      <c r="O380" t="s">
        <v>1755</v>
      </c>
      <c r="P380" t="s">
        <v>1755</v>
      </c>
      <c r="Q380" t="s">
        <v>1755</v>
      </c>
      <c r="R380" t="s">
        <v>1755</v>
      </c>
      <c r="S380" t="s">
        <v>1755</v>
      </c>
      <c r="T380" t="s">
        <v>1755</v>
      </c>
      <c r="U380" t="s">
        <v>1755</v>
      </c>
      <c r="V380" t="s">
        <v>1755</v>
      </c>
      <c r="W380">
        <v>4800</v>
      </c>
      <c r="Y380">
        <v>46191</v>
      </c>
      <c r="Z380">
        <v>46188</v>
      </c>
      <c r="AA380" t="s">
        <v>1755</v>
      </c>
      <c r="AB380">
        <v>3</v>
      </c>
      <c r="AC380" t="s">
        <v>1755</v>
      </c>
      <c r="AD380">
        <v>0</v>
      </c>
      <c r="AE380">
        <v>0</v>
      </c>
      <c r="AF380" t="s">
        <v>1755</v>
      </c>
      <c r="AI380" t="s">
        <v>1755</v>
      </c>
      <c r="AJ380" t="s">
        <v>1755</v>
      </c>
      <c r="AK380" t="s">
        <v>1755</v>
      </c>
      <c r="AL380" t="s">
        <v>1755</v>
      </c>
      <c r="AM380" t="s">
        <v>1755</v>
      </c>
      <c r="AO380">
        <v>0</v>
      </c>
    </row>
    <row r="381" spans="1:46" x14ac:dyDescent="0.25">
      <c r="A381" t="s">
        <v>1755</v>
      </c>
      <c r="B381" s="19">
        <v>46188</v>
      </c>
      <c r="C381" t="s">
        <v>1755</v>
      </c>
      <c r="D381" t="s">
        <v>6366</v>
      </c>
      <c r="E381" t="s">
        <v>1755</v>
      </c>
      <c r="F381" t="s">
        <v>1755</v>
      </c>
      <c r="G381" t="s">
        <v>1755</v>
      </c>
      <c r="I381" t="str">
        <f>CONCATENATE(Inbound___Outbound_Shifting[[#This Row],[Batch '#]],"-",Inbound___Outbound_Shifting[[#This Row],[Exp '# or Key]])</f>
        <v>--</v>
      </c>
      <c r="J381" t="s">
        <v>1755</v>
      </c>
      <c r="K381">
        <v>1</v>
      </c>
      <c r="L381" t="s">
        <v>1755</v>
      </c>
      <c r="M381" t="s">
        <v>1268</v>
      </c>
      <c r="N381" t="s">
        <v>1755</v>
      </c>
      <c r="O381" t="s">
        <v>1755</v>
      </c>
      <c r="P381" t="s">
        <v>1755</v>
      </c>
      <c r="Q381" t="s">
        <v>1755</v>
      </c>
      <c r="R381" t="s">
        <v>1755</v>
      </c>
      <c r="S381" t="s">
        <v>1755</v>
      </c>
      <c r="T381" t="s">
        <v>1755</v>
      </c>
      <c r="U381" t="s">
        <v>1755</v>
      </c>
      <c r="V381" t="s">
        <v>1755</v>
      </c>
      <c r="W381">
        <v>200</v>
      </c>
      <c r="X381" t="s">
        <v>1755</v>
      </c>
      <c r="Y381">
        <v>46191</v>
      </c>
      <c r="Z381">
        <v>46188</v>
      </c>
      <c r="AA381" t="s">
        <v>1755</v>
      </c>
      <c r="AB381">
        <v>3</v>
      </c>
      <c r="AC381" t="s">
        <v>1755</v>
      </c>
      <c r="AE381">
        <v>0</v>
      </c>
      <c r="AF381" t="s">
        <v>1755</v>
      </c>
      <c r="AI381" t="s">
        <v>1755</v>
      </c>
      <c r="AJ381" t="s">
        <v>1755</v>
      </c>
      <c r="AK381" t="s">
        <v>1755</v>
      </c>
      <c r="AL381" t="s">
        <v>1755</v>
      </c>
      <c r="AM381" t="s">
        <v>1755</v>
      </c>
      <c r="AO381">
        <v>0</v>
      </c>
    </row>
    <row r="382" spans="1:46" x14ac:dyDescent="0.25">
      <c r="A382" t="s">
        <v>6329</v>
      </c>
      <c r="B382" s="19">
        <v>46189</v>
      </c>
      <c r="D382" t="s">
        <v>1596</v>
      </c>
      <c r="E382" t="s">
        <v>117</v>
      </c>
      <c r="F382" t="s">
        <v>6943</v>
      </c>
      <c r="G382" t="s">
        <v>1755</v>
      </c>
      <c r="I382" t="str">
        <f>CONCATENATE(Inbound___Outbound_Shifting[[#This Row],[Batch '#]],"-",Inbound___Outbound_Shifting[[#This Row],[Exp '# or Key]])</f>
        <v>--</v>
      </c>
      <c r="J382" t="s">
        <v>1755</v>
      </c>
      <c r="K382">
        <v>2</v>
      </c>
      <c r="L382" t="s">
        <v>117</v>
      </c>
      <c r="M382" t="s">
        <v>6944</v>
      </c>
      <c r="N382" t="s">
        <v>1755</v>
      </c>
      <c r="O382" t="s">
        <v>767</v>
      </c>
      <c r="R382" t="s">
        <v>6930</v>
      </c>
      <c r="S382" t="s">
        <v>1755</v>
      </c>
      <c r="T382" t="s">
        <v>1755</v>
      </c>
      <c r="U382" t="s">
        <v>1755</v>
      </c>
      <c r="V382" t="s">
        <v>1755</v>
      </c>
      <c r="W382">
        <v>58000</v>
      </c>
      <c r="X382">
        <v>58000</v>
      </c>
      <c r="Y382">
        <v>46190</v>
      </c>
      <c r="Z382">
        <v>46189</v>
      </c>
      <c r="AA382" t="s">
        <v>1755</v>
      </c>
      <c r="AB382">
        <v>1</v>
      </c>
      <c r="AC382">
        <v>125000</v>
      </c>
      <c r="AD382">
        <v>435000</v>
      </c>
      <c r="AE382">
        <v>310000</v>
      </c>
      <c r="AF382" t="s">
        <v>1755</v>
      </c>
      <c r="AG382">
        <v>2.1551724137931036</v>
      </c>
      <c r="AI382" t="s">
        <v>6334</v>
      </c>
      <c r="AJ382" t="s">
        <v>47</v>
      </c>
      <c r="AK382" t="s">
        <v>6335</v>
      </c>
      <c r="AL382" t="s">
        <v>6335</v>
      </c>
      <c r="AM382" t="s">
        <v>6335</v>
      </c>
      <c r="AO382">
        <v>-310000</v>
      </c>
      <c r="AP382">
        <v>0.71264367816091956</v>
      </c>
      <c r="AQ382">
        <v>2.1551724137931036</v>
      </c>
      <c r="AR382" t="s">
        <v>47</v>
      </c>
      <c r="AT382" t="s">
        <v>47</v>
      </c>
    </row>
    <row r="383" spans="1:46" x14ac:dyDescent="0.25">
      <c r="A383" t="s">
        <v>6329</v>
      </c>
      <c r="B383" s="19">
        <v>46189</v>
      </c>
      <c r="D383" t="s">
        <v>1596</v>
      </c>
      <c r="E383" t="s">
        <v>117</v>
      </c>
      <c r="F383" t="s">
        <v>6943</v>
      </c>
      <c r="G383" t="s">
        <v>1755</v>
      </c>
      <c r="I383" t="str">
        <f>CONCATENATE(Inbound___Outbound_Shifting[[#This Row],[Batch '#]],"-",Inbound___Outbound_Shifting[[#This Row],[Exp '# or Key]])</f>
        <v>--</v>
      </c>
      <c r="J383" t="s">
        <v>1755</v>
      </c>
      <c r="K383">
        <v>2</v>
      </c>
      <c r="L383" t="s">
        <v>117</v>
      </c>
      <c r="M383" t="s">
        <v>6944</v>
      </c>
      <c r="N383" t="s">
        <v>1755</v>
      </c>
      <c r="O383" t="s">
        <v>767</v>
      </c>
      <c r="R383" t="s">
        <v>6930</v>
      </c>
      <c r="S383" t="s">
        <v>1755</v>
      </c>
      <c r="T383" t="s">
        <v>1755</v>
      </c>
      <c r="U383" t="s">
        <v>1755</v>
      </c>
      <c r="V383" t="s">
        <v>1755</v>
      </c>
      <c r="W383">
        <v>58000</v>
      </c>
      <c r="X383">
        <v>58000</v>
      </c>
      <c r="Y383">
        <v>46190</v>
      </c>
      <c r="Z383">
        <v>46189</v>
      </c>
      <c r="AA383" t="s">
        <v>1755</v>
      </c>
      <c r="AB383">
        <v>1</v>
      </c>
      <c r="AC383">
        <v>125000</v>
      </c>
      <c r="AD383">
        <v>435000</v>
      </c>
      <c r="AE383">
        <v>310000</v>
      </c>
      <c r="AF383" t="s">
        <v>1755</v>
      </c>
      <c r="AG383">
        <v>2.1551724137931036</v>
      </c>
      <c r="AI383" t="s">
        <v>6334</v>
      </c>
      <c r="AJ383" t="s">
        <v>47</v>
      </c>
      <c r="AK383" t="s">
        <v>6335</v>
      </c>
      <c r="AL383" t="s">
        <v>6335</v>
      </c>
      <c r="AM383" t="s">
        <v>6335</v>
      </c>
      <c r="AO383">
        <v>-310000</v>
      </c>
      <c r="AP383">
        <v>0.71264367816091956</v>
      </c>
      <c r="AQ383">
        <v>2.1551724137931036</v>
      </c>
      <c r="AR383" t="s">
        <v>47</v>
      </c>
      <c r="AT383" t="s">
        <v>47</v>
      </c>
    </row>
    <row r="384" spans="1:46" x14ac:dyDescent="0.25">
      <c r="A384" t="s">
        <v>6329</v>
      </c>
      <c r="B384" s="19">
        <v>46189</v>
      </c>
      <c r="C384" t="s">
        <v>760</v>
      </c>
      <c r="D384" t="s">
        <v>6330</v>
      </c>
      <c r="E384" t="s">
        <v>366</v>
      </c>
      <c r="F384" t="s">
        <v>6725</v>
      </c>
      <c r="G384" t="s">
        <v>1755</v>
      </c>
      <c r="I384" t="str">
        <f>CONCATENATE(Inbound___Outbound_Shifting[[#This Row],[Batch '#]],"-",Inbound___Outbound_Shifting[[#This Row],[Exp '# or Key]])</f>
        <v>--</v>
      </c>
      <c r="J384" t="s">
        <v>1755</v>
      </c>
      <c r="K384">
        <v>1</v>
      </c>
      <c r="L384" t="s">
        <v>366</v>
      </c>
      <c r="M384" t="s">
        <v>1268</v>
      </c>
      <c r="N384" t="s">
        <v>1755</v>
      </c>
      <c r="O384" t="s">
        <v>278</v>
      </c>
      <c r="P384" t="s">
        <v>6945</v>
      </c>
      <c r="Q384" t="s">
        <v>6946</v>
      </c>
      <c r="R384" t="s">
        <v>6307</v>
      </c>
      <c r="S384" t="s">
        <v>1755</v>
      </c>
      <c r="T384" t="s">
        <v>1755</v>
      </c>
      <c r="U384" t="s">
        <v>1755</v>
      </c>
      <c r="V384" t="s">
        <v>1755</v>
      </c>
      <c r="W384">
        <v>500</v>
      </c>
      <c r="X384">
        <v>45000</v>
      </c>
      <c r="Y384">
        <v>46192</v>
      </c>
      <c r="Z384">
        <v>46189</v>
      </c>
      <c r="AA384" t="s">
        <v>1755</v>
      </c>
      <c r="AB384">
        <v>3</v>
      </c>
      <c r="AC384">
        <v>265000</v>
      </c>
      <c r="AD384">
        <v>337500</v>
      </c>
      <c r="AE384">
        <v>72500</v>
      </c>
      <c r="AF384" t="s">
        <v>1755</v>
      </c>
      <c r="AG384">
        <v>5.8888888888888893</v>
      </c>
      <c r="AI384" t="s">
        <v>6308</v>
      </c>
      <c r="AJ384" t="s">
        <v>47</v>
      </c>
      <c r="AK384" t="s">
        <v>107</v>
      </c>
      <c r="AL384" t="s">
        <v>107</v>
      </c>
      <c r="AM384" t="s">
        <v>107</v>
      </c>
      <c r="AO384">
        <v>-72500</v>
      </c>
      <c r="AP384">
        <v>0.21481481481481482</v>
      </c>
      <c r="AQ384">
        <v>5.8888888888888893</v>
      </c>
      <c r="AR384" t="s">
        <v>47</v>
      </c>
      <c r="AT384" t="s">
        <v>47</v>
      </c>
    </row>
    <row r="385" spans="1:46" x14ac:dyDescent="0.25">
      <c r="A385" t="s">
        <v>1755</v>
      </c>
      <c r="B385" s="19">
        <v>46189</v>
      </c>
      <c r="C385" t="s">
        <v>822</v>
      </c>
      <c r="D385" t="s">
        <v>6330</v>
      </c>
      <c r="E385" t="s">
        <v>366</v>
      </c>
      <c r="F385" t="s">
        <v>998</v>
      </c>
      <c r="G385" t="s">
        <v>1755</v>
      </c>
      <c r="I385" t="str">
        <f>CONCATENATE(Inbound___Outbound_Shifting[[#This Row],[Batch '#]],"-",Inbound___Outbound_Shifting[[#This Row],[Exp '# or Key]])</f>
        <v>--</v>
      </c>
      <c r="J385" t="s">
        <v>1755</v>
      </c>
      <c r="K385">
        <v>2</v>
      </c>
      <c r="L385" t="s">
        <v>366</v>
      </c>
      <c r="M385" t="s">
        <v>1268</v>
      </c>
      <c r="N385" t="s">
        <v>1755</v>
      </c>
      <c r="O385" t="s">
        <v>1755</v>
      </c>
      <c r="P385" t="s">
        <v>1755</v>
      </c>
      <c r="Q385" t="s">
        <v>1755</v>
      </c>
      <c r="R385" t="s">
        <v>1755</v>
      </c>
      <c r="S385" t="s">
        <v>1755</v>
      </c>
      <c r="T385" t="s">
        <v>1755</v>
      </c>
      <c r="U385" t="s">
        <v>1755</v>
      </c>
      <c r="V385" t="s">
        <v>1755</v>
      </c>
      <c r="W385">
        <v>3000</v>
      </c>
      <c r="X385" t="s">
        <v>1755</v>
      </c>
      <c r="Y385">
        <v>46192</v>
      </c>
      <c r="Z385">
        <v>46189</v>
      </c>
      <c r="AA385" t="s">
        <v>1755</v>
      </c>
      <c r="AB385">
        <v>3</v>
      </c>
      <c r="AC385" t="s">
        <v>1755</v>
      </c>
      <c r="AE385">
        <v>0</v>
      </c>
      <c r="AF385" t="s">
        <v>1755</v>
      </c>
      <c r="AI385" t="s">
        <v>1755</v>
      </c>
      <c r="AJ385" t="s">
        <v>1755</v>
      </c>
      <c r="AK385" t="s">
        <v>1755</v>
      </c>
      <c r="AL385" t="s">
        <v>1755</v>
      </c>
      <c r="AM385" t="s">
        <v>1755</v>
      </c>
      <c r="AO385">
        <v>0</v>
      </c>
    </row>
    <row r="386" spans="1:46" x14ac:dyDescent="0.25">
      <c r="A386" t="s">
        <v>1755</v>
      </c>
      <c r="B386" s="19">
        <v>46189</v>
      </c>
      <c r="C386" t="s">
        <v>832</v>
      </c>
      <c r="D386" t="s">
        <v>6330</v>
      </c>
      <c r="E386" t="s">
        <v>117</v>
      </c>
      <c r="F386" t="s">
        <v>998</v>
      </c>
      <c r="G386" t="s">
        <v>1755</v>
      </c>
      <c r="I386" t="str">
        <f>CONCATENATE(Inbound___Outbound_Shifting[[#This Row],[Batch '#]],"-",Inbound___Outbound_Shifting[[#This Row],[Exp '# or Key]])</f>
        <v>--</v>
      </c>
      <c r="J386" t="s">
        <v>1755</v>
      </c>
      <c r="K386">
        <v>1</v>
      </c>
      <c r="L386" t="s">
        <v>117</v>
      </c>
      <c r="M386" t="s">
        <v>1268</v>
      </c>
      <c r="N386" t="s">
        <v>1755</v>
      </c>
      <c r="O386" t="s">
        <v>1755</v>
      </c>
      <c r="P386" t="s">
        <v>1755</v>
      </c>
      <c r="Q386" t="s">
        <v>1755</v>
      </c>
      <c r="R386" t="s">
        <v>1755</v>
      </c>
      <c r="S386" t="s">
        <v>1755</v>
      </c>
      <c r="T386" t="s">
        <v>1755</v>
      </c>
      <c r="U386" t="s">
        <v>1755</v>
      </c>
      <c r="V386" t="s">
        <v>1755</v>
      </c>
      <c r="W386">
        <v>13000</v>
      </c>
      <c r="X386" t="s">
        <v>1755</v>
      </c>
      <c r="Y386">
        <v>46192</v>
      </c>
      <c r="Z386">
        <v>46189</v>
      </c>
      <c r="AA386" t="s">
        <v>1755</v>
      </c>
      <c r="AB386">
        <v>3</v>
      </c>
      <c r="AC386" t="s">
        <v>1755</v>
      </c>
      <c r="AE386">
        <v>0</v>
      </c>
      <c r="AF386" t="s">
        <v>1755</v>
      </c>
      <c r="AI386" t="s">
        <v>1755</v>
      </c>
      <c r="AJ386" t="s">
        <v>1755</v>
      </c>
      <c r="AK386" t="s">
        <v>1755</v>
      </c>
      <c r="AL386" t="s">
        <v>1755</v>
      </c>
      <c r="AM386" t="s">
        <v>1755</v>
      </c>
      <c r="AO386">
        <v>0</v>
      </c>
    </row>
    <row r="387" spans="1:46" x14ac:dyDescent="0.25">
      <c r="A387" t="s">
        <v>1755</v>
      </c>
      <c r="B387" s="19">
        <v>46189</v>
      </c>
      <c r="C387" t="s">
        <v>1055</v>
      </c>
      <c r="D387" t="s">
        <v>6330</v>
      </c>
      <c r="E387" t="s">
        <v>366</v>
      </c>
      <c r="F387" t="s">
        <v>6725</v>
      </c>
      <c r="G387" t="s">
        <v>1755</v>
      </c>
      <c r="I387" t="str">
        <f>CONCATENATE(Inbound___Outbound_Shifting[[#This Row],[Batch '#]],"-",Inbound___Outbound_Shifting[[#This Row],[Exp '# or Key]])</f>
        <v>--</v>
      </c>
      <c r="J387" t="s">
        <v>1755</v>
      </c>
      <c r="K387">
        <v>1</v>
      </c>
      <c r="L387" t="s">
        <v>366</v>
      </c>
      <c r="M387" t="s">
        <v>1268</v>
      </c>
      <c r="N387" t="s">
        <v>1755</v>
      </c>
      <c r="O387" t="s">
        <v>1755</v>
      </c>
      <c r="P387" t="s">
        <v>1755</v>
      </c>
      <c r="Q387" t="s">
        <v>1755</v>
      </c>
      <c r="R387" t="s">
        <v>1755</v>
      </c>
      <c r="S387" t="s">
        <v>1755</v>
      </c>
      <c r="T387" t="s">
        <v>1755</v>
      </c>
      <c r="U387" t="s">
        <v>1755</v>
      </c>
      <c r="V387" t="s">
        <v>1755</v>
      </c>
      <c r="W387">
        <v>500</v>
      </c>
      <c r="X387" t="s">
        <v>1755</v>
      </c>
      <c r="Y387">
        <v>46192</v>
      </c>
      <c r="Z387">
        <v>46189</v>
      </c>
      <c r="AA387" t="s">
        <v>1755</v>
      </c>
      <c r="AB387">
        <v>3</v>
      </c>
      <c r="AC387" t="s">
        <v>1755</v>
      </c>
      <c r="AE387">
        <v>0</v>
      </c>
      <c r="AF387" t="s">
        <v>1755</v>
      </c>
      <c r="AI387" t="s">
        <v>1755</v>
      </c>
      <c r="AJ387" t="s">
        <v>1755</v>
      </c>
      <c r="AK387" t="s">
        <v>1755</v>
      </c>
      <c r="AL387" t="s">
        <v>1755</v>
      </c>
      <c r="AM387" t="s">
        <v>1755</v>
      </c>
      <c r="AO387">
        <v>0</v>
      </c>
    </row>
    <row r="388" spans="1:46" x14ac:dyDescent="0.25">
      <c r="A388" t="s">
        <v>1755</v>
      </c>
      <c r="B388" s="19">
        <v>46189</v>
      </c>
      <c r="C388" t="s">
        <v>1417</v>
      </c>
      <c r="D388" t="s">
        <v>6904</v>
      </c>
      <c r="E388" t="s">
        <v>1371</v>
      </c>
      <c r="F388" t="s">
        <v>1180</v>
      </c>
      <c r="G388" t="s">
        <v>1755</v>
      </c>
      <c r="I388" t="str">
        <f>CONCATENATE(Inbound___Outbound_Shifting[[#This Row],[Batch '#]],"-",Inbound___Outbound_Shifting[[#This Row],[Exp '# or Key]])</f>
        <v>--</v>
      </c>
      <c r="J388" t="s">
        <v>1755</v>
      </c>
      <c r="K388">
        <v>1</v>
      </c>
      <c r="L388" t="s">
        <v>1371</v>
      </c>
      <c r="M388" t="s">
        <v>1268</v>
      </c>
      <c r="N388" t="s">
        <v>1755</v>
      </c>
      <c r="O388" t="s">
        <v>1755</v>
      </c>
      <c r="P388" t="s">
        <v>1755</v>
      </c>
      <c r="Q388" t="s">
        <v>1755</v>
      </c>
      <c r="R388" t="s">
        <v>1755</v>
      </c>
      <c r="S388" t="s">
        <v>1755</v>
      </c>
      <c r="T388" t="s">
        <v>1755</v>
      </c>
      <c r="U388" t="s">
        <v>1755</v>
      </c>
      <c r="V388" t="s">
        <v>1755</v>
      </c>
      <c r="W388">
        <v>1000</v>
      </c>
      <c r="X388" t="s">
        <v>1755</v>
      </c>
      <c r="Y388">
        <v>46192</v>
      </c>
      <c r="Z388">
        <v>46189</v>
      </c>
      <c r="AA388" t="s">
        <v>1755</v>
      </c>
      <c r="AB388">
        <v>3</v>
      </c>
      <c r="AC388" t="s">
        <v>1755</v>
      </c>
      <c r="AE388">
        <v>0</v>
      </c>
      <c r="AF388" t="s">
        <v>1755</v>
      </c>
      <c r="AI388" t="s">
        <v>1755</v>
      </c>
      <c r="AJ388" t="s">
        <v>1755</v>
      </c>
      <c r="AK388" t="s">
        <v>1755</v>
      </c>
      <c r="AL388" t="s">
        <v>1755</v>
      </c>
      <c r="AM388" t="s">
        <v>1755</v>
      </c>
      <c r="AO388">
        <v>0</v>
      </c>
    </row>
    <row r="389" spans="1:46" x14ac:dyDescent="0.25">
      <c r="A389" t="s">
        <v>1755</v>
      </c>
      <c r="B389" s="19">
        <v>46189</v>
      </c>
      <c r="C389" t="s">
        <v>1422</v>
      </c>
      <c r="D389" t="s">
        <v>6904</v>
      </c>
      <c r="E389" t="s">
        <v>1371</v>
      </c>
      <c r="F389" t="s">
        <v>1180</v>
      </c>
      <c r="G389" t="s">
        <v>1755</v>
      </c>
      <c r="I389" t="str">
        <f>CONCATENATE(Inbound___Outbound_Shifting[[#This Row],[Batch '#]],"-",Inbound___Outbound_Shifting[[#This Row],[Exp '# or Key]])</f>
        <v>--</v>
      </c>
      <c r="J389" t="s">
        <v>1755</v>
      </c>
      <c r="K389">
        <v>14</v>
      </c>
      <c r="L389" t="s">
        <v>1371</v>
      </c>
      <c r="M389" t="s">
        <v>1268</v>
      </c>
      <c r="N389" t="s">
        <v>1755</v>
      </c>
      <c r="O389" t="s">
        <v>1755</v>
      </c>
      <c r="P389" t="s">
        <v>1755</v>
      </c>
      <c r="Q389" t="s">
        <v>1755</v>
      </c>
      <c r="R389" t="s">
        <v>1755</v>
      </c>
      <c r="S389" t="s">
        <v>1755</v>
      </c>
      <c r="T389" t="s">
        <v>1755</v>
      </c>
      <c r="U389" t="s">
        <v>1755</v>
      </c>
      <c r="V389" t="s">
        <v>1755</v>
      </c>
      <c r="W389">
        <v>26000</v>
      </c>
      <c r="X389" t="s">
        <v>1755</v>
      </c>
      <c r="Y389">
        <v>46192</v>
      </c>
      <c r="Z389">
        <v>46189</v>
      </c>
      <c r="AA389" t="s">
        <v>1755</v>
      </c>
      <c r="AB389">
        <v>3</v>
      </c>
      <c r="AC389" t="s">
        <v>1755</v>
      </c>
      <c r="AE389">
        <v>0</v>
      </c>
      <c r="AF389" t="s">
        <v>1755</v>
      </c>
      <c r="AI389" t="s">
        <v>1755</v>
      </c>
      <c r="AJ389" t="s">
        <v>1755</v>
      </c>
      <c r="AK389" t="s">
        <v>1755</v>
      </c>
      <c r="AL389" t="s">
        <v>1755</v>
      </c>
      <c r="AM389" t="s">
        <v>1755</v>
      </c>
      <c r="AO389">
        <v>0</v>
      </c>
    </row>
    <row r="390" spans="1:46" x14ac:dyDescent="0.25">
      <c r="A390" t="s">
        <v>6329</v>
      </c>
      <c r="B390" s="19">
        <v>46191</v>
      </c>
      <c r="D390" t="s">
        <v>1600</v>
      </c>
      <c r="E390" t="s">
        <v>1371</v>
      </c>
      <c r="F390" t="s">
        <v>6947</v>
      </c>
      <c r="G390" t="s">
        <v>1755</v>
      </c>
      <c r="I390" t="str">
        <f>CONCATENATE(Inbound___Outbound_Shifting[[#This Row],[Batch '#]],"-",Inbound___Outbound_Shifting[[#This Row],[Exp '# or Key]])</f>
        <v>--</v>
      </c>
      <c r="J390" t="s">
        <v>1755</v>
      </c>
      <c r="K390">
        <v>5</v>
      </c>
      <c r="L390" t="s">
        <v>1371</v>
      </c>
      <c r="M390" t="s">
        <v>1755</v>
      </c>
      <c r="N390" t="s">
        <v>1755</v>
      </c>
      <c r="O390" t="s">
        <v>455</v>
      </c>
      <c r="P390" t="s">
        <v>1755</v>
      </c>
      <c r="Q390" t="s">
        <v>1755</v>
      </c>
      <c r="R390" t="s">
        <v>6679</v>
      </c>
      <c r="S390" t="s">
        <v>1755</v>
      </c>
      <c r="T390" t="s">
        <v>1755</v>
      </c>
      <c r="U390" t="s">
        <v>1755</v>
      </c>
      <c r="V390" t="s">
        <v>1755</v>
      </c>
      <c r="W390">
        <v>6000</v>
      </c>
      <c r="X390">
        <v>6000</v>
      </c>
      <c r="Y390">
        <v>46192</v>
      </c>
      <c r="Z390">
        <v>46191</v>
      </c>
      <c r="AA390" t="s">
        <v>1755</v>
      </c>
      <c r="AB390">
        <v>1</v>
      </c>
      <c r="AC390">
        <v>50000</v>
      </c>
      <c r="AD390">
        <v>45000</v>
      </c>
      <c r="AE390">
        <v>-5000</v>
      </c>
      <c r="AF390" t="s">
        <v>1755</v>
      </c>
      <c r="AG390">
        <v>8.3333333333333339</v>
      </c>
      <c r="AI390" t="s">
        <v>6369</v>
      </c>
      <c r="AJ390" t="s">
        <v>47</v>
      </c>
      <c r="AK390" t="s">
        <v>6335</v>
      </c>
      <c r="AL390" t="s">
        <v>6335</v>
      </c>
      <c r="AM390" t="s">
        <v>6335</v>
      </c>
      <c r="AO390">
        <v>5000</v>
      </c>
      <c r="AP390">
        <v>-0.1111111111111111</v>
      </c>
      <c r="AQ390">
        <v>8.3333333333333339</v>
      </c>
      <c r="AR390" t="s">
        <v>47</v>
      </c>
      <c r="AT390" t="s">
        <v>47</v>
      </c>
    </row>
    <row r="391" spans="1:46" x14ac:dyDescent="0.25">
      <c r="A391" t="s">
        <v>6329</v>
      </c>
      <c r="B391" s="19">
        <v>46191</v>
      </c>
      <c r="D391" t="s">
        <v>1596</v>
      </c>
      <c r="E391" t="s">
        <v>117</v>
      </c>
      <c r="F391" t="s">
        <v>1539</v>
      </c>
      <c r="G391" t="s">
        <v>1755</v>
      </c>
      <c r="I391" t="str">
        <f>CONCATENATE(Inbound___Outbound_Shifting[[#This Row],[Batch '#]],"-",Inbound___Outbound_Shifting[[#This Row],[Exp '# or Key]])</f>
        <v>--</v>
      </c>
      <c r="J391" t="s">
        <v>1755</v>
      </c>
      <c r="K391">
        <v>2</v>
      </c>
      <c r="L391" t="s">
        <v>117</v>
      </c>
      <c r="M391" t="s">
        <v>1755</v>
      </c>
      <c r="N391" t="s">
        <v>1755</v>
      </c>
      <c r="O391" t="s">
        <v>767</v>
      </c>
      <c r="P391" t="s">
        <v>1755</v>
      </c>
      <c r="Q391" t="s">
        <v>1755</v>
      </c>
      <c r="R391" t="s">
        <v>6307</v>
      </c>
      <c r="S391" t="s">
        <v>1755</v>
      </c>
      <c r="T391" t="s">
        <v>1755</v>
      </c>
      <c r="U391" t="s">
        <v>1755</v>
      </c>
      <c r="V391" t="s">
        <v>1755</v>
      </c>
      <c r="W391">
        <v>47000</v>
      </c>
      <c r="X391">
        <v>47000</v>
      </c>
      <c r="Y391">
        <v>46192</v>
      </c>
      <c r="Z391">
        <v>46191</v>
      </c>
      <c r="AA391" t="s">
        <v>1755</v>
      </c>
      <c r="AB391">
        <v>1</v>
      </c>
      <c r="AC391">
        <v>130000</v>
      </c>
      <c r="AD391">
        <v>352500</v>
      </c>
      <c r="AE391">
        <v>222500</v>
      </c>
      <c r="AF391" t="s">
        <v>1755</v>
      </c>
      <c r="AG391">
        <v>2.7659574468085109</v>
      </c>
      <c r="AI391" t="s">
        <v>6369</v>
      </c>
      <c r="AJ391" t="s">
        <v>47</v>
      </c>
      <c r="AK391" t="s">
        <v>6335</v>
      </c>
      <c r="AL391" t="s">
        <v>6335</v>
      </c>
      <c r="AM391" t="s">
        <v>6335</v>
      </c>
      <c r="AO391">
        <v>-222500</v>
      </c>
      <c r="AP391">
        <v>0.63120567375886527</v>
      </c>
      <c r="AQ391">
        <v>2.7659574468085109</v>
      </c>
      <c r="AR391" t="s">
        <v>47</v>
      </c>
      <c r="AT391" t="s">
        <v>47</v>
      </c>
    </row>
    <row r="392" spans="1:46" x14ac:dyDescent="0.25">
      <c r="A392" t="s">
        <v>6300</v>
      </c>
      <c r="B392" s="19">
        <v>46192</v>
      </c>
      <c r="C392" t="s">
        <v>6690</v>
      </c>
      <c r="D392" t="s">
        <v>6302</v>
      </c>
      <c r="E392" t="s">
        <v>1268</v>
      </c>
      <c r="F392" t="s">
        <v>117</v>
      </c>
      <c r="G392" t="s">
        <v>1755</v>
      </c>
      <c r="I392" t="str">
        <f>CONCATENATE(Inbound___Outbound_Shifting[[#This Row],[Batch '#]],"-",Inbound___Outbound_Shifting[[#This Row],[Exp '# or Key]])</f>
        <v>--</v>
      </c>
      <c r="J392" t="s">
        <v>6948</v>
      </c>
      <c r="K392" t="s">
        <v>1987</v>
      </c>
      <c r="L392" t="s">
        <v>1755</v>
      </c>
      <c r="M392" t="s">
        <v>1755</v>
      </c>
      <c r="N392" t="s">
        <v>1755</v>
      </c>
      <c r="O392" t="s">
        <v>6949</v>
      </c>
      <c r="P392" t="s">
        <v>6950</v>
      </c>
      <c r="Q392" t="s">
        <v>6951</v>
      </c>
      <c r="R392" t="s">
        <v>6952</v>
      </c>
      <c r="S392">
        <v>1</v>
      </c>
      <c r="T392" t="s">
        <v>1755</v>
      </c>
      <c r="U392" t="s">
        <v>1755</v>
      </c>
      <c r="V392" t="s">
        <v>1755</v>
      </c>
      <c r="W392">
        <v>3460</v>
      </c>
      <c r="X392">
        <v>3460</v>
      </c>
      <c r="Y392">
        <v>46196</v>
      </c>
      <c r="Z392" t="s">
        <v>1755</v>
      </c>
      <c r="AA392" t="s">
        <v>1755</v>
      </c>
      <c r="AB392">
        <v>4</v>
      </c>
      <c r="AC392">
        <v>75000</v>
      </c>
      <c r="AD392">
        <v>51900</v>
      </c>
      <c r="AE392">
        <v>-23100</v>
      </c>
      <c r="AF392" t="s">
        <v>1755</v>
      </c>
      <c r="AG392">
        <v>21.676300578034681</v>
      </c>
      <c r="AH392">
        <v>61.525840853158329</v>
      </c>
      <c r="AI392" t="s">
        <v>6308</v>
      </c>
      <c r="AJ392" t="s">
        <v>47</v>
      </c>
      <c r="AK392" t="s">
        <v>107</v>
      </c>
      <c r="AL392" t="s">
        <v>107</v>
      </c>
      <c r="AM392" t="s">
        <v>107</v>
      </c>
      <c r="AO392">
        <v>23100</v>
      </c>
      <c r="AP392">
        <v>-0.44508670520231214</v>
      </c>
      <c r="AQ392">
        <v>21.676300578034681</v>
      </c>
      <c r="AR392" t="s">
        <v>47</v>
      </c>
      <c r="AT392" t="s">
        <v>47</v>
      </c>
    </row>
    <row r="393" spans="1:46" x14ac:dyDescent="0.25">
      <c r="A393" t="s">
        <v>6329</v>
      </c>
      <c r="B393" s="19">
        <v>46193</v>
      </c>
      <c r="D393" t="s">
        <v>1600</v>
      </c>
      <c r="E393" t="s">
        <v>366</v>
      </c>
      <c r="F393" t="s">
        <v>1270</v>
      </c>
      <c r="G393" t="s">
        <v>1755</v>
      </c>
      <c r="I393" t="str">
        <f>CONCATENATE(Inbound___Outbound_Shifting[[#This Row],[Batch '#]],"-",Inbound___Outbound_Shifting[[#This Row],[Exp '# or Key]])</f>
        <v>--</v>
      </c>
      <c r="J393" t="s">
        <v>1755</v>
      </c>
      <c r="K393">
        <v>1</v>
      </c>
      <c r="L393" t="s">
        <v>366</v>
      </c>
      <c r="M393" t="s">
        <v>1755</v>
      </c>
      <c r="N393" t="s">
        <v>1755</v>
      </c>
      <c r="O393" t="s">
        <v>6952</v>
      </c>
      <c r="P393" t="s">
        <v>1755</v>
      </c>
      <c r="Q393" t="s">
        <v>1755</v>
      </c>
      <c r="R393" t="s">
        <v>6953</v>
      </c>
      <c r="S393" t="s">
        <v>1755</v>
      </c>
      <c r="T393" t="s">
        <v>1755</v>
      </c>
      <c r="U393" t="s">
        <v>1755</v>
      </c>
      <c r="V393" t="s">
        <v>1755</v>
      </c>
      <c r="Y393">
        <v>46193</v>
      </c>
      <c r="Z393">
        <v>46192</v>
      </c>
      <c r="AA393" t="s">
        <v>1755</v>
      </c>
      <c r="AB393">
        <v>0</v>
      </c>
      <c r="AC393" t="s">
        <v>1755</v>
      </c>
      <c r="AD393">
        <v>0</v>
      </c>
      <c r="AE393">
        <v>0</v>
      </c>
      <c r="AF393" t="s">
        <v>1755</v>
      </c>
      <c r="AI393" t="s">
        <v>6369</v>
      </c>
      <c r="AJ393" t="s">
        <v>47</v>
      </c>
      <c r="AK393" t="s">
        <v>6335</v>
      </c>
      <c r="AL393" t="s">
        <v>6335</v>
      </c>
      <c r="AM393" t="s">
        <v>6335</v>
      </c>
      <c r="AO393">
        <v>0</v>
      </c>
      <c r="AR393" t="s">
        <v>47</v>
      </c>
      <c r="AT393" t="s">
        <v>47</v>
      </c>
    </row>
    <row r="394" spans="1:46" x14ac:dyDescent="0.25">
      <c r="A394" t="s">
        <v>6329</v>
      </c>
      <c r="B394" s="19">
        <v>46193</v>
      </c>
      <c r="D394" t="s">
        <v>1600</v>
      </c>
      <c r="E394" t="s">
        <v>366</v>
      </c>
      <c r="F394" t="s">
        <v>6954</v>
      </c>
      <c r="G394" t="s">
        <v>1755</v>
      </c>
      <c r="I394" t="str">
        <f>CONCATENATE(Inbound___Outbound_Shifting[[#This Row],[Batch '#]],"-",Inbound___Outbound_Shifting[[#This Row],[Exp '# or Key]])</f>
        <v>--</v>
      </c>
      <c r="J394" t="s">
        <v>1755</v>
      </c>
      <c r="K394">
        <v>1</v>
      </c>
      <c r="L394" t="s">
        <v>366</v>
      </c>
      <c r="M394" t="s">
        <v>1755</v>
      </c>
      <c r="N394" t="s">
        <v>1755</v>
      </c>
      <c r="O394" t="s">
        <v>6952</v>
      </c>
      <c r="P394" t="s">
        <v>1755</v>
      </c>
      <c r="Q394" t="s">
        <v>1755</v>
      </c>
      <c r="R394" t="s">
        <v>6953</v>
      </c>
      <c r="S394" t="s">
        <v>1755</v>
      </c>
      <c r="T394" t="s">
        <v>1755</v>
      </c>
      <c r="U394" t="s">
        <v>1755</v>
      </c>
      <c r="V394" t="s">
        <v>1755</v>
      </c>
      <c r="Y394">
        <v>46193</v>
      </c>
      <c r="Z394">
        <v>46192</v>
      </c>
      <c r="AA394" t="s">
        <v>1755</v>
      </c>
      <c r="AB394">
        <v>0</v>
      </c>
      <c r="AC394" t="s">
        <v>1755</v>
      </c>
      <c r="AD394">
        <v>0</v>
      </c>
      <c r="AE394">
        <v>0</v>
      </c>
      <c r="AF394" t="s">
        <v>1755</v>
      </c>
      <c r="AI394" t="s">
        <v>6369</v>
      </c>
      <c r="AJ394" t="s">
        <v>47</v>
      </c>
      <c r="AK394" t="s">
        <v>6335</v>
      </c>
      <c r="AL394" t="s">
        <v>6335</v>
      </c>
      <c r="AM394" t="s">
        <v>6335</v>
      </c>
      <c r="AO394">
        <v>0</v>
      </c>
      <c r="AR394" t="s">
        <v>47</v>
      </c>
      <c r="AT394" t="s">
        <v>47</v>
      </c>
    </row>
    <row r="395" spans="1:46" x14ac:dyDescent="0.25">
      <c r="A395" t="s">
        <v>6329</v>
      </c>
      <c r="B395" s="19">
        <v>46194</v>
      </c>
      <c r="D395" t="s">
        <v>1600</v>
      </c>
      <c r="E395" t="s">
        <v>117</v>
      </c>
      <c r="F395" t="s">
        <v>6955</v>
      </c>
      <c r="G395" t="s">
        <v>1755</v>
      </c>
      <c r="I395" t="str">
        <f>CONCATENATE(Inbound___Outbound_Shifting[[#This Row],[Batch '#]],"-",Inbound___Outbound_Shifting[[#This Row],[Exp '# or Key]])</f>
        <v>--</v>
      </c>
      <c r="J395" t="s">
        <v>1755</v>
      </c>
      <c r="K395">
        <v>1</v>
      </c>
      <c r="L395" t="s">
        <v>117</v>
      </c>
      <c r="M395" t="s">
        <v>1755</v>
      </c>
      <c r="N395" t="s">
        <v>1755</v>
      </c>
      <c r="O395" t="s">
        <v>455</v>
      </c>
      <c r="P395" t="s">
        <v>1755</v>
      </c>
      <c r="Q395" t="s">
        <v>1755</v>
      </c>
      <c r="R395" t="s">
        <v>6465</v>
      </c>
      <c r="S395" t="s">
        <v>1755</v>
      </c>
      <c r="T395" t="s">
        <v>1755</v>
      </c>
      <c r="U395" t="s">
        <v>1755</v>
      </c>
      <c r="V395" t="s">
        <v>1755</v>
      </c>
      <c r="W395">
        <v>3610</v>
      </c>
      <c r="X395">
        <v>3610</v>
      </c>
      <c r="Y395">
        <v>46194</v>
      </c>
      <c r="Z395">
        <v>46192</v>
      </c>
      <c r="AA395" t="s">
        <v>1755</v>
      </c>
      <c r="AB395">
        <v>0</v>
      </c>
      <c r="AC395">
        <v>90000</v>
      </c>
      <c r="AD395">
        <v>27075</v>
      </c>
      <c r="AE395">
        <v>-62925</v>
      </c>
      <c r="AF395" t="s">
        <v>1755</v>
      </c>
      <c r="AG395">
        <v>24.930747922437675</v>
      </c>
      <c r="AI395" t="s">
        <v>6308</v>
      </c>
      <c r="AJ395" t="s">
        <v>47</v>
      </c>
      <c r="AK395" t="s">
        <v>107</v>
      </c>
      <c r="AL395" t="s">
        <v>107</v>
      </c>
      <c r="AM395" t="s">
        <v>107</v>
      </c>
      <c r="AO395">
        <v>62925</v>
      </c>
      <c r="AP395">
        <v>-2.3240997229916895</v>
      </c>
      <c r="AQ395">
        <v>24.930747922437675</v>
      </c>
      <c r="AR395" t="s">
        <v>47</v>
      </c>
      <c r="AT395" t="s">
        <v>47</v>
      </c>
    </row>
    <row r="396" spans="1:46" x14ac:dyDescent="0.25">
      <c r="A396" t="s">
        <v>6300</v>
      </c>
      <c r="B396" s="19">
        <v>46195</v>
      </c>
      <c r="C396" t="s">
        <v>6956</v>
      </c>
      <c r="D396" t="s">
        <v>6302</v>
      </c>
      <c r="E396" t="s">
        <v>6086</v>
      </c>
      <c r="F396" t="s">
        <v>6319</v>
      </c>
      <c r="G396" t="s">
        <v>1755</v>
      </c>
      <c r="I396" t="str">
        <f>CONCATENATE(Inbound___Outbound_Shifting[[#This Row],[Batch '#]],"-",Inbound___Outbound_Shifting[[#This Row],[Exp '# or Key]])</f>
        <v>--</v>
      </c>
      <c r="J396" t="s">
        <v>6413</v>
      </c>
      <c r="K396" t="s">
        <v>6375</v>
      </c>
      <c r="L396" t="s">
        <v>1755</v>
      </c>
      <c r="M396" t="s">
        <v>1755</v>
      </c>
      <c r="N396" t="s">
        <v>1755</v>
      </c>
      <c r="O396" t="s">
        <v>6631</v>
      </c>
      <c r="P396" t="s">
        <v>6957</v>
      </c>
      <c r="Q396" t="s">
        <v>6958</v>
      </c>
      <c r="R396" t="s">
        <v>6560</v>
      </c>
      <c r="S396">
        <v>1</v>
      </c>
      <c r="T396" t="s">
        <v>1755</v>
      </c>
      <c r="U396" t="s">
        <v>1755</v>
      </c>
      <c r="V396" t="s">
        <v>1755</v>
      </c>
      <c r="W396">
        <v>30000</v>
      </c>
      <c r="X396">
        <v>30000</v>
      </c>
      <c r="Y396">
        <v>46198</v>
      </c>
      <c r="Z396" t="s">
        <v>1755</v>
      </c>
      <c r="AA396" t="s">
        <v>1755</v>
      </c>
      <c r="AB396">
        <v>3</v>
      </c>
      <c r="AC396">
        <v>330000</v>
      </c>
      <c r="AD396">
        <v>450000</v>
      </c>
      <c r="AE396">
        <v>120000</v>
      </c>
      <c r="AF396" t="s">
        <v>1755</v>
      </c>
      <c r="AG396">
        <v>11</v>
      </c>
      <c r="AH396">
        <v>270.71369975389666</v>
      </c>
      <c r="AI396" t="s">
        <v>6308</v>
      </c>
      <c r="AJ396" t="s">
        <v>47</v>
      </c>
      <c r="AK396" t="s">
        <v>107</v>
      </c>
      <c r="AL396" t="s">
        <v>107</v>
      </c>
      <c r="AM396" t="s">
        <v>107</v>
      </c>
      <c r="AO396">
        <v>-120000</v>
      </c>
      <c r="AP396">
        <v>0.26666666666666666</v>
      </c>
      <c r="AQ396">
        <v>11</v>
      </c>
      <c r="AR396" t="s">
        <v>47</v>
      </c>
      <c r="AT396" t="s">
        <v>47</v>
      </c>
    </row>
    <row r="397" spans="1:46" x14ac:dyDescent="0.25">
      <c r="A397" t="s">
        <v>6329</v>
      </c>
      <c r="B397" s="19">
        <v>46195</v>
      </c>
      <c r="D397" t="s">
        <v>1596</v>
      </c>
      <c r="E397" t="s">
        <v>117</v>
      </c>
      <c r="F397" t="s">
        <v>1539</v>
      </c>
      <c r="G397" t="s">
        <v>1755</v>
      </c>
      <c r="I397" t="str">
        <f>CONCATENATE(Inbound___Outbound_Shifting[[#This Row],[Batch '#]],"-",Inbound___Outbound_Shifting[[#This Row],[Exp '# or Key]])</f>
        <v>--</v>
      </c>
      <c r="J397" t="s">
        <v>1755</v>
      </c>
      <c r="K397">
        <v>2</v>
      </c>
      <c r="L397" t="s">
        <v>117</v>
      </c>
      <c r="M397" t="s">
        <v>1755</v>
      </c>
      <c r="N397" t="s">
        <v>1755</v>
      </c>
      <c r="O397" t="s">
        <v>767</v>
      </c>
      <c r="P397" t="s">
        <v>1755</v>
      </c>
      <c r="Q397" t="s">
        <v>1755</v>
      </c>
      <c r="R397" t="s">
        <v>6307</v>
      </c>
      <c r="S397" t="s">
        <v>1755</v>
      </c>
      <c r="T397" t="s">
        <v>1755</v>
      </c>
      <c r="U397" t="s">
        <v>1755</v>
      </c>
      <c r="V397" t="s">
        <v>1755</v>
      </c>
      <c r="W397">
        <v>47000</v>
      </c>
      <c r="X397">
        <v>47000</v>
      </c>
      <c r="Y397">
        <v>46196</v>
      </c>
      <c r="Z397">
        <v>46195</v>
      </c>
      <c r="AA397" t="s">
        <v>1755</v>
      </c>
      <c r="AB397">
        <v>1</v>
      </c>
      <c r="AC397">
        <v>115000</v>
      </c>
      <c r="AD397">
        <v>352500</v>
      </c>
      <c r="AE397">
        <v>237500</v>
      </c>
      <c r="AF397" t="s">
        <v>1755</v>
      </c>
      <c r="AG397">
        <v>2.4468085106382977</v>
      </c>
      <c r="AI397" t="s">
        <v>6369</v>
      </c>
      <c r="AJ397" t="s">
        <v>47</v>
      </c>
      <c r="AK397" t="s">
        <v>1755</v>
      </c>
      <c r="AL397" t="s">
        <v>1755</v>
      </c>
      <c r="AM397" t="s">
        <v>1755</v>
      </c>
      <c r="AO397">
        <v>-237500</v>
      </c>
      <c r="AP397">
        <v>0.67375886524822692</v>
      </c>
      <c r="AQ397">
        <v>2.4468085106382977</v>
      </c>
      <c r="AR397" t="s">
        <v>47</v>
      </c>
      <c r="AT397" t="s">
        <v>47</v>
      </c>
    </row>
    <row r="398" spans="1:46" x14ac:dyDescent="0.25">
      <c r="A398" t="s">
        <v>6329</v>
      </c>
      <c r="B398" s="19">
        <v>46195</v>
      </c>
      <c r="D398" t="s">
        <v>1600</v>
      </c>
      <c r="E398" t="s">
        <v>1371</v>
      </c>
      <c r="F398" t="s">
        <v>41</v>
      </c>
      <c r="G398" t="s">
        <v>1755</v>
      </c>
      <c r="I398" t="str">
        <f>CONCATENATE(Inbound___Outbound_Shifting[[#This Row],[Batch '#]],"-",Inbound___Outbound_Shifting[[#This Row],[Exp '# or Key]])</f>
        <v>--</v>
      </c>
      <c r="J398" t="s">
        <v>1755</v>
      </c>
      <c r="K398">
        <v>64</v>
      </c>
      <c r="L398" t="s">
        <v>1371</v>
      </c>
      <c r="M398" t="s">
        <v>6544</v>
      </c>
      <c r="N398" t="s">
        <v>1755</v>
      </c>
      <c r="O398" t="s">
        <v>455</v>
      </c>
      <c r="R398" t="s">
        <v>6959</v>
      </c>
      <c r="S398" t="s">
        <v>1755</v>
      </c>
      <c r="T398" t="s">
        <v>1755</v>
      </c>
      <c r="U398" t="s">
        <v>1755</v>
      </c>
      <c r="V398" t="s">
        <v>1755</v>
      </c>
      <c r="W398">
        <v>2500</v>
      </c>
      <c r="X398">
        <v>2500</v>
      </c>
      <c r="Y398">
        <v>46196</v>
      </c>
      <c r="Z398">
        <v>46195</v>
      </c>
      <c r="AA398" t="s">
        <v>1755</v>
      </c>
      <c r="AB398">
        <v>1</v>
      </c>
      <c r="AC398">
        <v>38000</v>
      </c>
      <c r="AD398">
        <v>18750</v>
      </c>
      <c r="AE398">
        <v>-19250</v>
      </c>
      <c r="AF398" t="s">
        <v>1755</v>
      </c>
      <c r="AG398">
        <v>15.2</v>
      </c>
      <c r="AI398" t="s">
        <v>6334</v>
      </c>
      <c r="AJ398" t="s">
        <v>47</v>
      </c>
      <c r="AK398" t="s">
        <v>6960</v>
      </c>
      <c r="AL398" t="s">
        <v>6335</v>
      </c>
      <c r="AM398" t="s">
        <v>6335</v>
      </c>
      <c r="AO398">
        <v>19250</v>
      </c>
      <c r="AP398">
        <v>-1.0266666666666666</v>
      </c>
      <c r="AQ398">
        <v>15.2</v>
      </c>
      <c r="AR398" t="s">
        <v>47</v>
      </c>
      <c r="AT398" t="s">
        <v>47</v>
      </c>
    </row>
    <row r="399" spans="1:46" x14ac:dyDescent="0.25">
      <c r="A399" t="s">
        <v>6329</v>
      </c>
      <c r="B399" s="19">
        <v>46195</v>
      </c>
      <c r="D399" t="s">
        <v>1600</v>
      </c>
      <c r="E399" t="s">
        <v>366</v>
      </c>
      <c r="F399" t="s">
        <v>1259</v>
      </c>
      <c r="G399" t="s">
        <v>1755</v>
      </c>
      <c r="I399" t="str">
        <f>CONCATENATE(Inbound___Outbound_Shifting[[#This Row],[Batch '#]],"-",Inbound___Outbound_Shifting[[#This Row],[Exp '# or Key]])</f>
        <v>--</v>
      </c>
      <c r="J399" t="s">
        <v>1755</v>
      </c>
      <c r="K399">
        <v>1</v>
      </c>
      <c r="L399" t="s">
        <v>366</v>
      </c>
      <c r="M399" t="s">
        <v>6507</v>
      </c>
      <c r="N399" t="s">
        <v>1755</v>
      </c>
      <c r="O399" t="s">
        <v>455</v>
      </c>
      <c r="P399" t="s">
        <v>1755</v>
      </c>
      <c r="Q399" t="s">
        <v>1755</v>
      </c>
      <c r="R399" t="s">
        <v>6679</v>
      </c>
      <c r="S399" t="s">
        <v>1755</v>
      </c>
      <c r="T399" t="s">
        <v>1755</v>
      </c>
      <c r="U399" t="s">
        <v>1755</v>
      </c>
      <c r="V399" t="s">
        <v>1755</v>
      </c>
      <c r="W399">
        <v>1400</v>
      </c>
      <c r="X399" t="s">
        <v>1755</v>
      </c>
      <c r="Y399">
        <v>46196</v>
      </c>
      <c r="Z399">
        <v>46195</v>
      </c>
      <c r="AA399" t="s">
        <v>1755</v>
      </c>
      <c r="AB399">
        <v>1</v>
      </c>
      <c r="AC399">
        <v>78000</v>
      </c>
      <c r="AE399">
        <v>0</v>
      </c>
      <c r="AF399" t="s">
        <v>1755</v>
      </c>
      <c r="AI399" t="s">
        <v>6308</v>
      </c>
      <c r="AJ399" t="s">
        <v>47</v>
      </c>
      <c r="AK399" t="s">
        <v>107</v>
      </c>
      <c r="AL399" t="s">
        <v>107</v>
      </c>
      <c r="AM399" t="s">
        <v>107</v>
      </c>
      <c r="AO399">
        <v>78000</v>
      </c>
      <c r="AR399" t="s">
        <v>47</v>
      </c>
      <c r="AT399" t="s">
        <v>47</v>
      </c>
    </row>
    <row r="400" spans="1:46" x14ac:dyDescent="0.25">
      <c r="A400" t="s">
        <v>6329</v>
      </c>
      <c r="B400" s="19">
        <v>46196</v>
      </c>
      <c r="C400" t="s">
        <v>1019</v>
      </c>
      <c r="D400" t="s">
        <v>6330</v>
      </c>
      <c r="E400" t="s">
        <v>117</v>
      </c>
      <c r="F400" t="s">
        <v>6701</v>
      </c>
      <c r="G400" t="s">
        <v>1755</v>
      </c>
      <c r="I400" t="str">
        <f>CONCATENATE(Inbound___Outbound_Shifting[[#This Row],[Batch '#]],"-",Inbound___Outbound_Shifting[[#This Row],[Exp '# or Key]])</f>
        <v>--</v>
      </c>
      <c r="J400" t="s">
        <v>1755</v>
      </c>
      <c r="K400">
        <v>1</v>
      </c>
      <c r="L400" t="s">
        <v>117</v>
      </c>
      <c r="M400" t="s">
        <v>1268</v>
      </c>
      <c r="N400" t="s">
        <v>1755</v>
      </c>
      <c r="O400" t="s">
        <v>134</v>
      </c>
      <c r="P400" t="s">
        <v>6961</v>
      </c>
      <c r="Q400" t="s">
        <v>6962</v>
      </c>
      <c r="R400" t="s">
        <v>6307</v>
      </c>
      <c r="S400" t="s">
        <v>1755</v>
      </c>
      <c r="T400" t="s">
        <v>1755</v>
      </c>
      <c r="U400" t="s">
        <v>1755</v>
      </c>
      <c r="V400" t="s">
        <v>1755</v>
      </c>
      <c r="W400">
        <v>3500</v>
      </c>
      <c r="X400">
        <v>60855</v>
      </c>
      <c r="Y400">
        <v>46199</v>
      </c>
      <c r="Z400">
        <v>46195</v>
      </c>
      <c r="AA400" t="s">
        <v>1755</v>
      </c>
      <c r="AB400">
        <v>3</v>
      </c>
      <c r="AC400">
        <v>360000</v>
      </c>
      <c r="AD400">
        <v>456412.5</v>
      </c>
      <c r="AE400">
        <v>96412.5</v>
      </c>
      <c r="AF400" t="s">
        <v>1755</v>
      </c>
      <c r="AG400">
        <v>5.9157012570865168</v>
      </c>
      <c r="AI400" t="s">
        <v>1755</v>
      </c>
      <c r="AJ400" t="s">
        <v>1755</v>
      </c>
      <c r="AO400">
        <v>-96412.5</v>
      </c>
      <c r="AP400">
        <v>0.21123983238846439</v>
      </c>
      <c r="AQ400">
        <v>5.9157012570865168</v>
      </c>
    </row>
    <row r="401" spans="1:46" x14ac:dyDescent="0.25">
      <c r="A401" t="s">
        <v>1755</v>
      </c>
      <c r="B401" s="19">
        <v>46196</v>
      </c>
      <c r="C401" t="s">
        <v>1051</v>
      </c>
      <c r="D401" t="s">
        <v>6330</v>
      </c>
      <c r="E401" t="s">
        <v>117</v>
      </c>
      <c r="F401" t="s">
        <v>6701</v>
      </c>
      <c r="G401" t="s">
        <v>1755</v>
      </c>
      <c r="I401" t="str">
        <f>CONCATENATE(Inbound___Outbound_Shifting[[#This Row],[Batch '#]],"-",Inbound___Outbound_Shifting[[#This Row],[Exp '# or Key]])</f>
        <v>--</v>
      </c>
      <c r="J401" t="s">
        <v>1755</v>
      </c>
      <c r="K401">
        <v>5</v>
      </c>
      <c r="L401" t="s">
        <v>117</v>
      </c>
      <c r="M401" t="s">
        <v>1268</v>
      </c>
      <c r="N401" t="s">
        <v>1755</v>
      </c>
      <c r="O401" t="s">
        <v>1755</v>
      </c>
      <c r="P401" t="s">
        <v>1755</v>
      </c>
      <c r="Q401" t="s">
        <v>1755</v>
      </c>
      <c r="R401" t="s">
        <v>1755</v>
      </c>
      <c r="S401" t="s">
        <v>1755</v>
      </c>
      <c r="T401" t="s">
        <v>1755</v>
      </c>
      <c r="U401" t="s">
        <v>1755</v>
      </c>
      <c r="V401" t="s">
        <v>1755</v>
      </c>
      <c r="W401">
        <v>53700</v>
      </c>
      <c r="X401" t="s">
        <v>1755</v>
      </c>
      <c r="Y401">
        <v>46199</v>
      </c>
      <c r="Z401">
        <v>46195</v>
      </c>
      <c r="AA401" t="s">
        <v>1755</v>
      </c>
      <c r="AB401">
        <v>3</v>
      </c>
      <c r="AC401" t="s">
        <v>1755</v>
      </c>
      <c r="AE401">
        <v>0</v>
      </c>
      <c r="AF401" t="s">
        <v>1755</v>
      </c>
      <c r="AI401" t="s">
        <v>1755</v>
      </c>
      <c r="AJ401" t="s">
        <v>1755</v>
      </c>
      <c r="AK401" t="s">
        <v>1755</v>
      </c>
      <c r="AL401" t="s">
        <v>1755</v>
      </c>
      <c r="AM401" t="s">
        <v>1755</v>
      </c>
      <c r="AO401">
        <v>0</v>
      </c>
    </row>
    <row r="402" spans="1:46" x14ac:dyDescent="0.25">
      <c r="A402" t="s">
        <v>1755</v>
      </c>
      <c r="B402" s="19">
        <v>46196</v>
      </c>
      <c r="D402" t="s">
        <v>1600</v>
      </c>
      <c r="E402" t="s">
        <v>117</v>
      </c>
      <c r="F402" t="s">
        <v>1297</v>
      </c>
      <c r="G402" t="s">
        <v>1755</v>
      </c>
      <c r="I402" t="str">
        <f>CONCATENATE(Inbound___Outbound_Shifting[[#This Row],[Batch '#]],"-",Inbound___Outbound_Shifting[[#This Row],[Exp '# or Key]])</f>
        <v>--</v>
      </c>
      <c r="J402" t="s">
        <v>1755</v>
      </c>
      <c r="K402">
        <v>2</v>
      </c>
      <c r="L402" t="s">
        <v>117</v>
      </c>
      <c r="M402" t="s">
        <v>1268</v>
      </c>
      <c r="N402" t="s">
        <v>1755</v>
      </c>
      <c r="O402" t="s">
        <v>1755</v>
      </c>
      <c r="P402" t="s">
        <v>1755</v>
      </c>
      <c r="Q402" t="s">
        <v>1755</v>
      </c>
      <c r="R402" t="s">
        <v>1755</v>
      </c>
      <c r="S402" t="s">
        <v>1755</v>
      </c>
      <c r="T402" t="s">
        <v>1755</v>
      </c>
      <c r="U402" t="s">
        <v>1755</v>
      </c>
      <c r="V402" t="s">
        <v>1755</v>
      </c>
      <c r="W402">
        <v>1000</v>
      </c>
      <c r="X402" t="s">
        <v>1755</v>
      </c>
      <c r="Y402">
        <v>46199</v>
      </c>
      <c r="Z402">
        <v>46195</v>
      </c>
      <c r="AA402" t="s">
        <v>1755</v>
      </c>
      <c r="AB402">
        <v>3</v>
      </c>
      <c r="AC402" t="s">
        <v>1755</v>
      </c>
      <c r="AE402">
        <v>0</v>
      </c>
      <c r="AF402" t="s">
        <v>1755</v>
      </c>
      <c r="AI402" t="s">
        <v>1755</v>
      </c>
      <c r="AJ402" t="s">
        <v>1755</v>
      </c>
      <c r="AK402" t="s">
        <v>1755</v>
      </c>
      <c r="AL402" t="s">
        <v>1755</v>
      </c>
      <c r="AM402" t="s">
        <v>1755</v>
      </c>
      <c r="AO402">
        <v>0</v>
      </c>
    </row>
    <row r="403" spans="1:46" x14ac:dyDescent="0.25">
      <c r="A403" t="s">
        <v>1755</v>
      </c>
      <c r="B403" s="19">
        <v>46196</v>
      </c>
      <c r="D403" t="s">
        <v>1600</v>
      </c>
      <c r="E403" t="s">
        <v>366</v>
      </c>
      <c r="F403" t="s">
        <v>6963</v>
      </c>
      <c r="G403" t="s">
        <v>1755</v>
      </c>
      <c r="I403" t="str">
        <f>CONCATENATE(Inbound___Outbound_Shifting[[#This Row],[Batch '#]],"-",Inbound___Outbound_Shifting[[#This Row],[Exp '# or Key]])</f>
        <v>--</v>
      </c>
      <c r="J403" t="s">
        <v>1755</v>
      </c>
      <c r="K403">
        <v>4</v>
      </c>
      <c r="L403" t="s">
        <v>366</v>
      </c>
      <c r="M403" t="s">
        <v>1268</v>
      </c>
      <c r="N403" t="s">
        <v>1755</v>
      </c>
      <c r="O403" t="s">
        <v>1755</v>
      </c>
      <c r="P403" t="s">
        <v>1755</v>
      </c>
      <c r="Q403" t="s">
        <v>1755</v>
      </c>
      <c r="R403" t="s">
        <v>1755</v>
      </c>
      <c r="S403" t="s">
        <v>1755</v>
      </c>
      <c r="T403" t="s">
        <v>1755</v>
      </c>
      <c r="U403" t="s">
        <v>1755</v>
      </c>
      <c r="V403" t="s">
        <v>1755</v>
      </c>
      <c r="W403">
        <v>2000</v>
      </c>
      <c r="X403" t="s">
        <v>1755</v>
      </c>
      <c r="Y403">
        <v>46199</v>
      </c>
      <c r="Z403">
        <v>46195</v>
      </c>
      <c r="AA403" t="s">
        <v>1755</v>
      </c>
      <c r="AB403">
        <v>3</v>
      </c>
      <c r="AC403" t="s">
        <v>1755</v>
      </c>
      <c r="AE403">
        <v>0</v>
      </c>
      <c r="AF403" t="s">
        <v>1755</v>
      </c>
      <c r="AI403" t="s">
        <v>1755</v>
      </c>
      <c r="AJ403" t="s">
        <v>1755</v>
      </c>
      <c r="AK403" t="s">
        <v>1755</v>
      </c>
      <c r="AL403" t="s">
        <v>1755</v>
      </c>
      <c r="AM403" t="s">
        <v>1755</v>
      </c>
      <c r="AO403">
        <v>0</v>
      </c>
    </row>
    <row r="404" spans="1:46" x14ac:dyDescent="0.25">
      <c r="A404" t="s">
        <v>1755</v>
      </c>
      <c r="B404" s="19">
        <v>46196</v>
      </c>
      <c r="C404" t="s">
        <v>1755</v>
      </c>
      <c r="D404" t="s">
        <v>6366</v>
      </c>
      <c r="E404" t="s">
        <v>117</v>
      </c>
      <c r="F404" t="s">
        <v>1755</v>
      </c>
      <c r="G404" t="s">
        <v>1755</v>
      </c>
      <c r="I404" t="str">
        <f>CONCATENATE(Inbound___Outbound_Shifting[[#This Row],[Batch '#]],"-",Inbound___Outbound_Shifting[[#This Row],[Exp '# or Key]])</f>
        <v>--</v>
      </c>
      <c r="J404" t="s">
        <v>1755</v>
      </c>
      <c r="K404">
        <v>168</v>
      </c>
      <c r="L404" t="s">
        <v>117</v>
      </c>
      <c r="M404" t="s">
        <v>1268</v>
      </c>
      <c r="N404" t="s">
        <v>1755</v>
      </c>
      <c r="O404" t="s">
        <v>1755</v>
      </c>
      <c r="P404" t="s">
        <v>1755</v>
      </c>
      <c r="Q404" t="s">
        <v>1755</v>
      </c>
      <c r="R404" t="s">
        <v>1755</v>
      </c>
      <c r="S404" t="s">
        <v>1755</v>
      </c>
      <c r="T404" t="s">
        <v>1755</v>
      </c>
      <c r="U404" t="s">
        <v>1755</v>
      </c>
      <c r="V404" t="s">
        <v>1755</v>
      </c>
      <c r="W404">
        <v>655</v>
      </c>
      <c r="X404" t="s">
        <v>1755</v>
      </c>
      <c r="Y404">
        <v>46199</v>
      </c>
      <c r="Z404">
        <v>46195</v>
      </c>
      <c r="AA404" t="s">
        <v>1755</v>
      </c>
      <c r="AB404">
        <v>3</v>
      </c>
      <c r="AC404" t="s">
        <v>1755</v>
      </c>
      <c r="AE404">
        <v>0</v>
      </c>
      <c r="AF404" t="s">
        <v>1755</v>
      </c>
      <c r="AI404" t="s">
        <v>1755</v>
      </c>
      <c r="AJ404" t="s">
        <v>1755</v>
      </c>
      <c r="AK404" t="s">
        <v>1755</v>
      </c>
      <c r="AL404" t="s">
        <v>1755</v>
      </c>
      <c r="AM404" t="s">
        <v>1755</v>
      </c>
      <c r="AO404">
        <v>0</v>
      </c>
    </row>
    <row r="405" spans="1:46" x14ac:dyDescent="0.25">
      <c r="A405" t="s">
        <v>6329</v>
      </c>
      <c r="B405" s="19">
        <v>46196</v>
      </c>
      <c r="D405" t="s">
        <v>1596</v>
      </c>
      <c r="E405" t="s">
        <v>117</v>
      </c>
      <c r="F405" t="s">
        <v>1305</v>
      </c>
      <c r="G405" t="s">
        <v>1755</v>
      </c>
      <c r="I405" t="str">
        <f>CONCATENATE(Inbound___Outbound_Shifting[[#This Row],[Batch '#]],"-",Inbound___Outbound_Shifting[[#This Row],[Exp '# or Key]])</f>
        <v>--</v>
      </c>
      <c r="J405" t="s">
        <v>1755</v>
      </c>
      <c r="K405">
        <v>1</v>
      </c>
      <c r="L405" t="s">
        <v>117</v>
      </c>
      <c r="M405" t="s">
        <v>6920</v>
      </c>
      <c r="N405" t="s">
        <v>1755</v>
      </c>
      <c r="O405" t="s">
        <v>767</v>
      </c>
      <c r="P405" t="s">
        <v>6998</v>
      </c>
      <c r="Q405" t="s">
        <v>6999</v>
      </c>
      <c r="R405" t="s">
        <v>6307</v>
      </c>
      <c r="S405" t="s">
        <v>1755</v>
      </c>
      <c r="T405" t="s">
        <v>1755</v>
      </c>
      <c r="U405" t="s">
        <v>1755</v>
      </c>
      <c r="V405" t="s">
        <v>1755</v>
      </c>
      <c r="W405">
        <v>33225</v>
      </c>
      <c r="X405">
        <v>33225</v>
      </c>
      <c r="Y405">
        <v>46197</v>
      </c>
      <c r="Z405">
        <v>46196</v>
      </c>
      <c r="AA405" t="s">
        <v>1755</v>
      </c>
      <c r="AB405">
        <v>1</v>
      </c>
      <c r="AC405">
        <v>85000</v>
      </c>
      <c r="AD405">
        <v>249187.5</v>
      </c>
      <c r="AE405">
        <v>164187.5</v>
      </c>
      <c r="AF405" t="s">
        <v>1755</v>
      </c>
      <c r="AG405">
        <v>2.5583145221971408</v>
      </c>
      <c r="AI405" t="s">
        <v>6334</v>
      </c>
      <c r="AJ405" t="s">
        <v>47</v>
      </c>
      <c r="AK405" t="s">
        <v>6335</v>
      </c>
      <c r="AL405" t="s">
        <v>1755</v>
      </c>
      <c r="AM405" t="s">
        <v>1755</v>
      </c>
      <c r="AO405">
        <v>-164187.5</v>
      </c>
      <c r="AP405">
        <v>0.65889139704038124</v>
      </c>
      <c r="AQ405">
        <v>2.5583145221971408</v>
      </c>
      <c r="AR405" t="s">
        <v>47</v>
      </c>
      <c r="AT405" t="s">
        <v>47</v>
      </c>
    </row>
    <row r="406" spans="1:46" x14ac:dyDescent="0.25">
      <c r="A406" t="s">
        <v>6329</v>
      </c>
      <c r="B406" s="19">
        <v>46196</v>
      </c>
      <c r="D406" t="s">
        <v>1596</v>
      </c>
      <c r="E406" t="s">
        <v>117</v>
      </c>
      <c r="F406" t="s">
        <v>1305</v>
      </c>
      <c r="G406" t="s">
        <v>1755</v>
      </c>
      <c r="I406" t="str">
        <f>CONCATENATE(Inbound___Outbound_Shifting[[#This Row],[Batch '#]],"-",Inbound___Outbound_Shifting[[#This Row],[Exp '# or Key]])</f>
        <v>--</v>
      </c>
      <c r="J406" t="s">
        <v>1755</v>
      </c>
      <c r="K406">
        <v>1</v>
      </c>
      <c r="L406" t="s">
        <v>117</v>
      </c>
      <c r="M406" t="s">
        <v>6920</v>
      </c>
      <c r="N406" t="s">
        <v>1755</v>
      </c>
      <c r="O406" t="s">
        <v>767</v>
      </c>
      <c r="P406" t="s">
        <v>7000</v>
      </c>
      <c r="Q406" t="s">
        <v>7001</v>
      </c>
      <c r="R406" t="s">
        <v>6307</v>
      </c>
      <c r="S406" t="s">
        <v>1755</v>
      </c>
      <c r="T406" t="s">
        <v>1755</v>
      </c>
      <c r="U406" t="s">
        <v>1755</v>
      </c>
      <c r="V406" t="s">
        <v>1755</v>
      </c>
      <c r="W406">
        <v>33000</v>
      </c>
      <c r="X406">
        <v>33000</v>
      </c>
      <c r="Y406">
        <v>46197</v>
      </c>
      <c r="Z406">
        <v>46196</v>
      </c>
      <c r="AA406" t="s">
        <v>1755</v>
      </c>
      <c r="AB406">
        <v>1</v>
      </c>
      <c r="AC406">
        <v>85000</v>
      </c>
      <c r="AD406">
        <v>247500</v>
      </c>
      <c r="AE406">
        <v>162500</v>
      </c>
      <c r="AF406" t="s">
        <v>1755</v>
      </c>
      <c r="AG406">
        <v>2.5757575757575757</v>
      </c>
      <c r="AI406" t="s">
        <v>6334</v>
      </c>
      <c r="AJ406" t="s">
        <v>47</v>
      </c>
      <c r="AK406" t="s">
        <v>6335</v>
      </c>
      <c r="AL406" t="s">
        <v>1755</v>
      </c>
      <c r="AM406" t="s">
        <v>1755</v>
      </c>
      <c r="AO406">
        <v>-162500</v>
      </c>
      <c r="AP406">
        <v>0.65656565656565657</v>
      </c>
      <c r="AQ406">
        <v>2.5757575757575757</v>
      </c>
      <c r="AR406" t="s">
        <v>47</v>
      </c>
      <c r="AT406" t="s">
        <v>47</v>
      </c>
    </row>
    <row r="407" spans="1:46" x14ac:dyDescent="0.25">
      <c r="A407" t="s">
        <v>6329</v>
      </c>
      <c r="B407" s="19">
        <v>46202</v>
      </c>
      <c r="C407" t="s">
        <v>6964</v>
      </c>
      <c r="D407" t="s">
        <v>1596</v>
      </c>
      <c r="E407" t="s">
        <v>117</v>
      </c>
      <c r="F407" t="s">
        <v>6965</v>
      </c>
      <c r="G407" t="s">
        <v>1755</v>
      </c>
      <c r="I407" t="str">
        <f>CONCATENATE(Inbound___Outbound_Shifting[[#This Row],[Batch '#]],"-",Inbound___Outbound_Shifting[[#This Row],[Exp '# or Key]])</f>
        <v>--</v>
      </c>
      <c r="J407" t="s">
        <v>1755</v>
      </c>
      <c r="K407">
        <v>2</v>
      </c>
      <c r="L407" t="s">
        <v>117</v>
      </c>
      <c r="M407" t="s">
        <v>6853</v>
      </c>
      <c r="N407" t="s">
        <v>1755</v>
      </c>
      <c r="O407" t="s">
        <v>767</v>
      </c>
      <c r="P407" t="s">
        <v>7002</v>
      </c>
      <c r="Q407" t="s">
        <v>7003</v>
      </c>
      <c r="R407" t="s">
        <v>6307</v>
      </c>
      <c r="S407" t="s">
        <v>1755</v>
      </c>
      <c r="T407" t="s">
        <v>1755</v>
      </c>
      <c r="U407" t="s">
        <v>1755</v>
      </c>
      <c r="V407" t="s">
        <v>1755</v>
      </c>
      <c r="W407">
        <v>46625</v>
      </c>
      <c r="X407">
        <v>46625</v>
      </c>
      <c r="Y407" t="s">
        <v>6966</v>
      </c>
      <c r="Z407">
        <v>46202</v>
      </c>
      <c r="AA407" t="s">
        <v>1755</v>
      </c>
      <c r="AC407">
        <v>160000</v>
      </c>
      <c r="AD407">
        <v>349687.5</v>
      </c>
      <c r="AE407">
        <v>189687.5</v>
      </c>
      <c r="AF407" t="s">
        <v>1755</v>
      </c>
      <c r="AG407">
        <v>3.4316353887399464</v>
      </c>
      <c r="AI407" t="s">
        <v>6369</v>
      </c>
      <c r="AJ407" t="s">
        <v>47</v>
      </c>
      <c r="AK407" t="s">
        <v>6335</v>
      </c>
      <c r="AL407" t="s">
        <v>1755</v>
      </c>
      <c r="AM407" t="s">
        <v>1755</v>
      </c>
      <c r="AO407">
        <v>-189687.5</v>
      </c>
      <c r="AP407">
        <v>0.54244861483467377</v>
      </c>
      <c r="AQ407">
        <v>3.4316353887399464</v>
      </c>
      <c r="AR407" t="s">
        <v>47</v>
      </c>
      <c r="AT407" t="s">
        <v>47</v>
      </c>
    </row>
    <row r="408" spans="1:46" x14ac:dyDescent="0.25">
      <c r="A408" t="s">
        <v>6329</v>
      </c>
      <c r="B408" s="19">
        <v>46202</v>
      </c>
      <c r="C408" t="s">
        <v>6964</v>
      </c>
      <c r="D408" t="s">
        <v>1596</v>
      </c>
      <c r="E408" t="s">
        <v>117</v>
      </c>
      <c r="F408" t="s">
        <v>6965</v>
      </c>
      <c r="G408" t="s">
        <v>1755</v>
      </c>
      <c r="I408" t="str">
        <f>CONCATENATE(Inbound___Outbound_Shifting[[#This Row],[Batch '#]],"-",Inbound___Outbound_Shifting[[#This Row],[Exp '# or Key]])</f>
        <v>--</v>
      </c>
      <c r="J408" t="s">
        <v>1755</v>
      </c>
      <c r="K408">
        <v>1</v>
      </c>
      <c r="L408" t="s">
        <v>117</v>
      </c>
      <c r="M408" t="s">
        <v>6853</v>
      </c>
      <c r="N408" t="s">
        <v>1755</v>
      </c>
      <c r="O408" t="s">
        <v>767</v>
      </c>
      <c r="P408" t="s">
        <v>7004</v>
      </c>
      <c r="Q408" t="s">
        <v>7005</v>
      </c>
      <c r="R408" t="s">
        <v>6307</v>
      </c>
      <c r="S408" t="s">
        <v>1755</v>
      </c>
      <c r="T408" t="s">
        <v>1755</v>
      </c>
      <c r="U408" t="s">
        <v>1755</v>
      </c>
      <c r="V408" t="s">
        <v>1755</v>
      </c>
      <c r="W408">
        <v>23455</v>
      </c>
      <c r="X408">
        <v>23455</v>
      </c>
      <c r="Y408" t="s">
        <v>6966</v>
      </c>
      <c r="Z408">
        <v>46202</v>
      </c>
      <c r="AA408" t="s">
        <v>1755</v>
      </c>
      <c r="AC408">
        <v>80000</v>
      </c>
      <c r="AD408">
        <v>175912.5</v>
      </c>
      <c r="AE408">
        <v>95912.5</v>
      </c>
      <c r="AF408" t="s">
        <v>1755</v>
      </c>
      <c r="AG408">
        <v>3.4107866126625455</v>
      </c>
      <c r="AI408" t="s">
        <v>6369</v>
      </c>
      <c r="AJ408" t="s">
        <v>47</v>
      </c>
      <c r="AK408" t="s">
        <v>6335</v>
      </c>
      <c r="AL408" t="s">
        <v>1755</v>
      </c>
      <c r="AM408" t="s">
        <v>1755</v>
      </c>
      <c r="AO408">
        <v>-95912.5</v>
      </c>
      <c r="AP408">
        <v>0.54522845164499401</v>
      </c>
      <c r="AQ408">
        <v>3.4107866126625455</v>
      </c>
      <c r="AR408" t="s">
        <v>47</v>
      </c>
      <c r="AT408" t="s">
        <v>47</v>
      </c>
    </row>
    <row r="409" spans="1:46" x14ac:dyDescent="0.25">
      <c r="A409" t="s">
        <v>6329</v>
      </c>
      <c r="B409" s="19">
        <v>46202</v>
      </c>
      <c r="C409" t="s">
        <v>6967</v>
      </c>
      <c r="D409" t="s">
        <v>1596</v>
      </c>
      <c r="E409" t="s">
        <v>117</v>
      </c>
      <c r="F409" t="s">
        <v>6968</v>
      </c>
      <c r="G409" t="s">
        <v>1755</v>
      </c>
      <c r="I409" t="str">
        <f>CONCATENATE(Inbound___Outbound_Shifting[[#This Row],[Batch '#]],"-",Inbound___Outbound_Shifting[[#This Row],[Exp '# or Key]])</f>
        <v>--</v>
      </c>
      <c r="J409" t="s">
        <v>1755</v>
      </c>
      <c r="K409">
        <v>16</v>
      </c>
      <c r="L409" t="s">
        <v>117</v>
      </c>
      <c r="M409" t="s">
        <v>6853</v>
      </c>
      <c r="N409" t="s">
        <v>1755</v>
      </c>
      <c r="O409" t="s">
        <v>767</v>
      </c>
      <c r="P409" t="s">
        <v>7006</v>
      </c>
      <c r="Q409" t="s">
        <v>7007</v>
      </c>
      <c r="R409" t="s">
        <v>6307</v>
      </c>
      <c r="S409" t="s">
        <v>1755</v>
      </c>
      <c r="T409" t="s">
        <v>1755</v>
      </c>
      <c r="U409" t="s">
        <v>1755</v>
      </c>
      <c r="V409" t="s">
        <v>1755</v>
      </c>
      <c r="W409">
        <v>30540</v>
      </c>
      <c r="X409">
        <v>30540</v>
      </c>
      <c r="Y409" t="s">
        <v>6966</v>
      </c>
      <c r="Z409">
        <v>46202</v>
      </c>
      <c r="AA409" t="s">
        <v>1755</v>
      </c>
      <c r="AC409">
        <v>120000</v>
      </c>
      <c r="AD409">
        <v>229050</v>
      </c>
      <c r="AE409">
        <v>109050</v>
      </c>
      <c r="AF409" t="s">
        <v>1755</v>
      </c>
      <c r="AG409">
        <v>3.9292730844793713</v>
      </c>
      <c r="AI409" t="s">
        <v>6369</v>
      </c>
      <c r="AJ409" t="s">
        <v>47</v>
      </c>
      <c r="AK409" t="s">
        <v>6335</v>
      </c>
      <c r="AL409" t="s">
        <v>1755</v>
      </c>
      <c r="AM409" t="s">
        <v>1755</v>
      </c>
      <c r="AO409">
        <v>-109050</v>
      </c>
      <c r="AP409">
        <v>0.47609692206941717</v>
      </c>
      <c r="AQ409">
        <v>3.9292730844793713</v>
      </c>
      <c r="AR409" t="s">
        <v>47</v>
      </c>
      <c r="AT409" t="s">
        <v>47</v>
      </c>
    </row>
    <row r="410" spans="1:46" x14ac:dyDescent="0.25">
      <c r="A410" t="s">
        <v>6329</v>
      </c>
      <c r="B410" s="19">
        <v>46202</v>
      </c>
      <c r="C410" t="s">
        <v>6969</v>
      </c>
      <c r="D410" t="s">
        <v>1596</v>
      </c>
      <c r="E410" t="s">
        <v>117</v>
      </c>
      <c r="F410" t="s">
        <v>6970</v>
      </c>
      <c r="G410" t="s">
        <v>1755</v>
      </c>
      <c r="I410" t="str">
        <f>CONCATENATE(Inbound___Outbound_Shifting[[#This Row],[Batch '#]],"-",Inbound___Outbound_Shifting[[#This Row],[Exp '# or Key]])</f>
        <v>--</v>
      </c>
      <c r="J410" t="s">
        <v>1755</v>
      </c>
      <c r="K410">
        <v>4</v>
      </c>
      <c r="L410" t="s">
        <v>117</v>
      </c>
      <c r="M410" t="s">
        <v>6971</v>
      </c>
      <c r="N410" t="s">
        <v>1755</v>
      </c>
      <c r="O410" t="s">
        <v>767</v>
      </c>
      <c r="P410" t="s">
        <v>7008</v>
      </c>
      <c r="Q410" t="s">
        <v>7009</v>
      </c>
      <c r="R410" t="s">
        <v>6679</v>
      </c>
      <c r="S410" t="s">
        <v>1755</v>
      </c>
      <c r="T410" t="s">
        <v>1755</v>
      </c>
      <c r="U410" t="s">
        <v>1755</v>
      </c>
      <c r="V410" t="s">
        <v>1755</v>
      </c>
      <c r="W410">
        <v>4205</v>
      </c>
      <c r="X410">
        <v>4205</v>
      </c>
      <c r="Y410">
        <v>46203</v>
      </c>
      <c r="Z410">
        <v>46202</v>
      </c>
      <c r="AA410" t="s">
        <v>1755</v>
      </c>
      <c r="AB410">
        <v>1</v>
      </c>
      <c r="AC410">
        <v>32000</v>
      </c>
      <c r="AD410">
        <v>31537.5</v>
      </c>
      <c r="AE410">
        <v>-462.5</v>
      </c>
      <c r="AF410" t="s">
        <v>1755</v>
      </c>
      <c r="AG410">
        <v>7.6099881093935791</v>
      </c>
      <c r="AI410" t="s">
        <v>6369</v>
      </c>
      <c r="AJ410" t="s">
        <v>47</v>
      </c>
      <c r="AK410" t="s">
        <v>6335</v>
      </c>
      <c r="AL410" t="s">
        <v>1755</v>
      </c>
      <c r="AM410" t="s">
        <v>1755</v>
      </c>
      <c r="AO410">
        <v>462.5</v>
      </c>
      <c r="AP410">
        <v>-1.4665081252477209E-2</v>
      </c>
      <c r="AQ410">
        <v>7.6099881093935791</v>
      </c>
      <c r="AR410" t="s">
        <v>47</v>
      </c>
      <c r="AT410" t="s">
        <v>47</v>
      </c>
    </row>
    <row r="411" spans="1:46" x14ac:dyDescent="0.25">
      <c r="A411" t="s">
        <v>6329</v>
      </c>
      <c r="B411" s="19">
        <v>46202</v>
      </c>
      <c r="C411" t="s">
        <v>6972</v>
      </c>
      <c r="D411" t="s">
        <v>1596</v>
      </c>
      <c r="E411" t="s">
        <v>117</v>
      </c>
      <c r="F411" t="s">
        <v>6973</v>
      </c>
      <c r="G411" t="s">
        <v>1755</v>
      </c>
      <c r="I411" t="str">
        <f>CONCATENATE(Inbound___Outbound_Shifting[[#This Row],[Batch '#]],"-",Inbound___Outbound_Shifting[[#This Row],[Exp '# or Key]])</f>
        <v>--</v>
      </c>
      <c r="J411" t="s">
        <v>1755</v>
      </c>
      <c r="K411">
        <v>589</v>
      </c>
      <c r="L411" t="s">
        <v>117</v>
      </c>
      <c r="M411" t="s">
        <v>6933</v>
      </c>
      <c r="N411" t="s">
        <v>1755</v>
      </c>
      <c r="O411" t="s">
        <v>767</v>
      </c>
      <c r="P411" t="s">
        <v>7010</v>
      </c>
      <c r="Q411" t="s">
        <v>7011</v>
      </c>
      <c r="R411" t="s">
        <v>6679</v>
      </c>
      <c r="S411" t="s">
        <v>1755</v>
      </c>
      <c r="T411" t="s">
        <v>1755</v>
      </c>
      <c r="U411" t="s">
        <v>1755</v>
      </c>
      <c r="V411" t="s">
        <v>1755</v>
      </c>
      <c r="W411">
        <v>21835</v>
      </c>
      <c r="X411">
        <v>21835</v>
      </c>
      <c r="Y411">
        <v>46203</v>
      </c>
      <c r="Z411">
        <v>46202</v>
      </c>
      <c r="AA411" t="s">
        <v>1755</v>
      </c>
      <c r="AB411">
        <v>1</v>
      </c>
      <c r="AC411">
        <v>70000</v>
      </c>
      <c r="AD411">
        <v>163762.5</v>
      </c>
      <c r="AE411">
        <v>93762.5</v>
      </c>
      <c r="AF411" t="s">
        <v>1755</v>
      </c>
      <c r="AG411">
        <v>3.2058621479276392</v>
      </c>
      <c r="AI411" t="s">
        <v>6369</v>
      </c>
      <c r="AJ411" t="s">
        <v>47</v>
      </c>
      <c r="AK411" t="s">
        <v>6335</v>
      </c>
      <c r="AL411" t="s">
        <v>1755</v>
      </c>
      <c r="AM411" t="s">
        <v>1755</v>
      </c>
      <c r="AO411">
        <v>-93762.5</v>
      </c>
      <c r="AP411">
        <v>0.57255171360964807</v>
      </c>
      <c r="AQ411">
        <v>3.2058621479276392</v>
      </c>
      <c r="AR411" t="s">
        <v>47</v>
      </c>
      <c r="AT411" t="s">
        <v>47</v>
      </c>
    </row>
    <row r="412" spans="1:46" x14ac:dyDescent="0.25">
      <c r="A412" t="s">
        <v>6329</v>
      </c>
      <c r="B412" s="19">
        <v>46203</v>
      </c>
      <c r="C412" t="s">
        <v>6974</v>
      </c>
      <c r="D412" t="s">
        <v>1596</v>
      </c>
      <c r="E412" t="s">
        <v>366</v>
      </c>
      <c r="F412" t="s">
        <v>6975</v>
      </c>
      <c r="G412" t="s">
        <v>1755</v>
      </c>
      <c r="I412" t="str">
        <f>CONCATENATE(Inbound___Outbound_Shifting[[#This Row],[Batch '#]],"-",Inbound___Outbound_Shifting[[#This Row],[Exp '# or Key]])</f>
        <v>--</v>
      </c>
      <c r="J412" t="s">
        <v>1755</v>
      </c>
      <c r="K412">
        <v>108</v>
      </c>
      <c r="L412" t="s">
        <v>366</v>
      </c>
      <c r="M412" t="s">
        <v>6920</v>
      </c>
      <c r="N412" t="s">
        <v>1755</v>
      </c>
      <c r="O412" t="s">
        <v>767</v>
      </c>
      <c r="S412" t="s">
        <v>1755</v>
      </c>
      <c r="T412" t="s">
        <v>1755</v>
      </c>
      <c r="U412" t="s">
        <v>1755</v>
      </c>
      <c r="V412" t="s">
        <v>1755</v>
      </c>
      <c r="W412">
        <v>3716</v>
      </c>
      <c r="X412">
        <v>3800</v>
      </c>
      <c r="Y412" t="s">
        <v>6966</v>
      </c>
      <c r="Z412">
        <v>46203</v>
      </c>
      <c r="AA412" t="s">
        <v>1755</v>
      </c>
      <c r="AC412">
        <v>25000</v>
      </c>
      <c r="AD412">
        <v>28500</v>
      </c>
      <c r="AE412">
        <v>3500</v>
      </c>
      <c r="AF412" t="s">
        <v>1755</v>
      </c>
      <c r="AG412">
        <v>6.5789473684210522</v>
      </c>
      <c r="AI412" t="s">
        <v>6369</v>
      </c>
      <c r="AJ412" t="s">
        <v>47</v>
      </c>
      <c r="AK412" t="s">
        <v>6335</v>
      </c>
      <c r="AL412" t="s">
        <v>6335</v>
      </c>
      <c r="AM412" t="s">
        <v>6335</v>
      </c>
      <c r="AO412">
        <v>-3500</v>
      </c>
      <c r="AP412">
        <v>0.12280701754385964</v>
      </c>
      <c r="AQ412">
        <v>6.5789473684210522</v>
      </c>
      <c r="AR412" t="s">
        <v>47</v>
      </c>
      <c r="AT412" t="s">
        <v>47</v>
      </c>
    </row>
    <row r="413" spans="1:46" x14ac:dyDescent="0.25">
      <c r="A413" t="s">
        <v>6329</v>
      </c>
      <c r="B413" s="19">
        <v>46203</v>
      </c>
      <c r="C413" t="s">
        <v>6976</v>
      </c>
      <c r="D413" t="s">
        <v>1596</v>
      </c>
      <c r="E413" t="s">
        <v>366</v>
      </c>
      <c r="F413" t="s">
        <v>1305</v>
      </c>
      <c r="G413" t="s">
        <v>1755</v>
      </c>
      <c r="I413" t="str">
        <f>CONCATENATE(Inbound___Outbound_Shifting[[#This Row],[Batch '#]],"-",Inbound___Outbound_Shifting[[#This Row],[Exp '# or Key]])</f>
        <v>--</v>
      </c>
      <c r="J413" t="s">
        <v>1755</v>
      </c>
      <c r="K413">
        <v>6</v>
      </c>
      <c r="L413" t="s">
        <v>366</v>
      </c>
      <c r="M413" t="s">
        <v>6920</v>
      </c>
      <c r="N413" t="s">
        <v>1755</v>
      </c>
      <c r="O413" t="s">
        <v>767</v>
      </c>
      <c r="S413" t="s">
        <v>1755</v>
      </c>
      <c r="T413" t="s">
        <v>1755</v>
      </c>
      <c r="U413" t="s">
        <v>1755</v>
      </c>
      <c r="V413" t="s">
        <v>1755</v>
      </c>
      <c r="W413">
        <v>400</v>
      </c>
      <c r="X413">
        <v>450</v>
      </c>
      <c r="Y413" t="s">
        <v>6966</v>
      </c>
      <c r="Z413">
        <v>46203</v>
      </c>
      <c r="AA413" t="s">
        <v>1755</v>
      </c>
      <c r="AC413">
        <v>15000</v>
      </c>
      <c r="AD413">
        <v>3375</v>
      </c>
      <c r="AE413">
        <v>-11625</v>
      </c>
      <c r="AF413" t="s">
        <v>1755</v>
      </c>
      <c r="AG413">
        <v>33.333333333333336</v>
      </c>
      <c r="AI413" t="s">
        <v>6369</v>
      </c>
      <c r="AJ413" t="s">
        <v>47</v>
      </c>
      <c r="AK413" t="s">
        <v>6335</v>
      </c>
      <c r="AL413" t="s">
        <v>6335</v>
      </c>
      <c r="AM413" t="s">
        <v>6335</v>
      </c>
      <c r="AO413">
        <v>11625</v>
      </c>
      <c r="AP413">
        <v>-3.4444444444444446</v>
      </c>
      <c r="AQ413">
        <v>33.333333333333336</v>
      </c>
      <c r="AR413" t="s">
        <v>47</v>
      </c>
      <c r="AT413" t="s">
        <v>47</v>
      </c>
    </row>
    <row r="414" spans="1:46" x14ac:dyDescent="0.25">
      <c r="A414" t="s">
        <v>6329</v>
      </c>
      <c r="B414" s="19">
        <v>46203</v>
      </c>
      <c r="C414" t="s">
        <v>6977</v>
      </c>
      <c r="D414" t="s">
        <v>1596</v>
      </c>
      <c r="E414" t="s">
        <v>117</v>
      </c>
      <c r="F414" t="s">
        <v>6978</v>
      </c>
      <c r="G414" t="s">
        <v>1755</v>
      </c>
      <c r="I414" t="str">
        <f>CONCATENATE(Inbound___Outbound_Shifting[[#This Row],[Batch '#]],"-",Inbound___Outbound_Shifting[[#This Row],[Exp '# or Key]])</f>
        <v>--</v>
      </c>
      <c r="J414" t="s">
        <v>1755</v>
      </c>
      <c r="K414">
        <v>2</v>
      </c>
      <c r="L414" t="s">
        <v>117</v>
      </c>
      <c r="M414" t="s">
        <v>6979</v>
      </c>
      <c r="N414" t="s">
        <v>1755</v>
      </c>
      <c r="O414" t="s">
        <v>767</v>
      </c>
      <c r="P414" t="s">
        <v>7012</v>
      </c>
      <c r="Q414" t="s">
        <v>7013</v>
      </c>
      <c r="R414" t="s">
        <v>6307</v>
      </c>
      <c r="S414" t="s">
        <v>1755</v>
      </c>
      <c r="T414" t="s">
        <v>1755</v>
      </c>
      <c r="U414" t="s">
        <v>1755</v>
      </c>
      <c r="V414" t="s">
        <v>1755</v>
      </c>
      <c r="W414">
        <v>33565</v>
      </c>
      <c r="X414">
        <v>33565</v>
      </c>
      <c r="Y414" t="s">
        <v>6966</v>
      </c>
      <c r="Z414">
        <v>46203</v>
      </c>
      <c r="AA414" t="s">
        <v>1755</v>
      </c>
      <c r="AD414">
        <v>251737.5</v>
      </c>
      <c r="AE414">
        <v>251737.5</v>
      </c>
      <c r="AF414" t="s">
        <v>1755</v>
      </c>
      <c r="AG414">
        <v>0</v>
      </c>
      <c r="AI414" t="s">
        <v>6369</v>
      </c>
      <c r="AJ414" t="s">
        <v>47</v>
      </c>
      <c r="AK414" t="s">
        <v>6335</v>
      </c>
      <c r="AL414" t="s">
        <v>6335</v>
      </c>
      <c r="AM414" t="s">
        <v>6335</v>
      </c>
      <c r="AO414">
        <v>-251737.5</v>
      </c>
      <c r="AP414">
        <v>1</v>
      </c>
      <c r="AQ414">
        <v>0</v>
      </c>
      <c r="AR414" t="s">
        <v>47</v>
      </c>
      <c r="AT414" t="s">
        <v>47</v>
      </c>
    </row>
    <row r="415" spans="1:46" x14ac:dyDescent="0.25">
      <c r="A415" t="s">
        <v>6329</v>
      </c>
      <c r="B415" s="19">
        <v>46203</v>
      </c>
      <c r="C415" t="s">
        <v>6980</v>
      </c>
      <c r="D415" t="s">
        <v>1596</v>
      </c>
      <c r="E415" t="s">
        <v>117</v>
      </c>
      <c r="F415" t="s">
        <v>6981</v>
      </c>
      <c r="G415" t="s">
        <v>1755</v>
      </c>
      <c r="I415" t="str">
        <f>CONCATENATE(Inbound___Outbound_Shifting[[#This Row],[Batch '#]],"-",Inbound___Outbound_Shifting[[#This Row],[Exp '# or Key]])</f>
        <v>--</v>
      </c>
      <c r="J415" t="s">
        <v>1755</v>
      </c>
      <c r="K415">
        <v>2</v>
      </c>
      <c r="L415" t="s">
        <v>117</v>
      </c>
      <c r="M415" t="s">
        <v>6466</v>
      </c>
      <c r="N415" t="s">
        <v>1755</v>
      </c>
      <c r="O415" t="s">
        <v>767</v>
      </c>
      <c r="P415" t="s">
        <v>7014</v>
      </c>
      <c r="Q415" t="s">
        <v>7015</v>
      </c>
      <c r="R415" t="s">
        <v>6307</v>
      </c>
      <c r="S415" t="s">
        <v>1755</v>
      </c>
      <c r="T415" t="s">
        <v>1755</v>
      </c>
      <c r="U415" t="s">
        <v>1755</v>
      </c>
      <c r="V415" t="s">
        <v>1755</v>
      </c>
      <c r="W415">
        <v>45640</v>
      </c>
      <c r="X415">
        <v>46000</v>
      </c>
      <c r="Y415" t="s">
        <v>6966</v>
      </c>
      <c r="Z415">
        <v>46203</v>
      </c>
      <c r="AA415" t="s">
        <v>1755</v>
      </c>
      <c r="AC415">
        <v>88000</v>
      </c>
      <c r="AD415">
        <v>345000</v>
      </c>
      <c r="AE415">
        <v>257000</v>
      </c>
      <c r="AF415" t="s">
        <v>1755</v>
      </c>
      <c r="AG415">
        <v>1.9130434782608696</v>
      </c>
      <c r="AI415" t="s">
        <v>6369</v>
      </c>
      <c r="AJ415" t="s">
        <v>47</v>
      </c>
      <c r="AK415" t="s">
        <v>6335</v>
      </c>
      <c r="AL415" t="s">
        <v>6335</v>
      </c>
      <c r="AM415" t="s">
        <v>6335</v>
      </c>
      <c r="AO415">
        <v>-257000</v>
      </c>
      <c r="AP415">
        <v>0.74492753623188401</v>
      </c>
      <c r="AQ415">
        <v>1.9130434782608696</v>
      </c>
      <c r="AR415" t="s">
        <v>47</v>
      </c>
      <c r="AT415" t="s">
        <v>47</v>
      </c>
    </row>
    <row r="416" spans="1:46" x14ac:dyDescent="0.25">
      <c r="A416" t="s">
        <v>6329</v>
      </c>
      <c r="B416" s="19">
        <v>46203</v>
      </c>
      <c r="C416" t="s">
        <v>1549</v>
      </c>
      <c r="D416" t="s">
        <v>1596</v>
      </c>
      <c r="E416" t="s">
        <v>117</v>
      </c>
      <c r="F416" t="s">
        <v>1550</v>
      </c>
      <c r="G416" t="s">
        <v>1755</v>
      </c>
      <c r="I416" t="str">
        <f>CONCATENATE(Inbound___Outbound_Shifting[[#This Row],[Batch '#]],"-",Inbound___Outbound_Shifting[[#This Row],[Exp '# or Key]])</f>
        <v>--</v>
      </c>
      <c r="J416" t="s">
        <v>1755</v>
      </c>
      <c r="K416">
        <v>2</v>
      </c>
      <c r="L416" t="s">
        <v>117</v>
      </c>
      <c r="M416" t="s">
        <v>6746</v>
      </c>
      <c r="N416" t="s">
        <v>1755</v>
      </c>
      <c r="O416" t="s">
        <v>767</v>
      </c>
      <c r="P416" t="s">
        <v>7016</v>
      </c>
      <c r="Q416" t="s">
        <v>7017</v>
      </c>
      <c r="R416" t="s">
        <v>6307</v>
      </c>
      <c r="S416" t="s">
        <v>1755</v>
      </c>
      <c r="T416" t="s">
        <v>1755</v>
      </c>
      <c r="U416" t="s">
        <v>1755</v>
      </c>
      <c r="V416" t="s">
        <v>1755</v>
      </c>
      <c r="W416">
        <v>22970</v>
      </c>
      <c r="X416">
        <v>22970</v>
      </c>
      <c r="Y416" t="s">
        <v>6966</v>
      </c>
      <c r="Z416">
        <v>46203</v>
      </c>
      <c r="AA416" t="s">
        <v>1755</v>
      </c>
      <c r="AC416">
        <v>100000</v>
      </c>
      <c r="AD416">
        <v>172275</v>
      </c>
      <c r="AE416">
        <v>72275</v>
      </c>
      <c r="AF416" t="s">
        <v>1755</v>
      </c>
      <c r="AG416">
        <v>4.3535045711797995</v>
      </c>
      <c r="AI416" t="s">
        <v>6369</v>
      </c>
      <c r="AJ416" t="s">
        <v>47</v>
      </c>
      <c r="AK416" t="s">
        <v>6335</v>
      </c>
      <c r="AL416" t="s">
        <v>6335</v>
      </c>
      <c r="AM416" t="s">
        <v>6335</v>
      </c>
      <c r="AO416">
        <v>-72275</v>
      </c>
      <c r="AP416">
        <v>0.41953272384269336</v>
      </c>
      <c r="AQ416">
        <v>4.3535045711797995</v>
      </c>
      <c r="AR416" t="s">
        <v>47</v>
      </c>
      <c r="AT416" t="s">
        <v>47</v>
      </c>
    </row>
    <row r="417" spans="1:46" x14ac:dyDescent="0.25">
      <c r="A417" t="s">
        <v>6329</v>
      </c>
      <c r="B417" s="19">
        <v>46203</v>
      </c>
      <c r="C417" t="s">
        <v>1466</v>
      </c>
      <c r="D417" t="s">
        <v>1141</v>
      </c>
      <c r="E417" t="s">
        <v>366</v>
      </c>
      <c r="F417" t="s">
        <v>6982</v>
      </c>
      <c r="G417" t="s">
        <v>1755</v>
      </c>
      <c r="I417" t="str">
        <f>CONCATENATE(Inbound___Outbound_Shifting[[#This Row],[Batch '#]],"-",Inbound___Outbound_Shifting[[#This Row],[Exp '# or Key]])</f>
        <v>--</v>
      </c>
      <c r="J417" t="s">
        <v>1755</v>
      </c>
      <c r="K417">
        <v>1</v>
      </c>
      <c r="L417" t="s">
        <v>366</v>
      </c>
      <c r="M417" t="s">
        <v>1268</v>
      </c>
      <c r="N417" t="s">
        <v>1755</v>
      </c>
      <c r="O417" t="s">
        <v>455</v>
      </c>
      <c r="P417" t="s">
        <v>7014</v>
      </c>
      <c r="Q417" t="s">
        <v>7015</v>
      </c>
      <c r="R417" t="s">
        <v>6307</v>
      </c>
      <c r="S417" t="s">
        <v>1755</v>
      </c>
      <c r="T417" t="s">
        <v>1755</v>
      </c>
      <c r="U417" t="s">
        <v>1755</v>
      </c>
      <c r="V417" t="s">
        <v>1755</v>
      </c>
      <c r="W417">
        <v>530</v>
      </c>
      <c r="X417">
        <v>20500</v>
      </c>
      <c r="Y417">
        <v>46206</v>
      </c>
      <c r="Z417">
        <v>46203</v>
      </c>
      <c r="AA417" t="s">
        <v>1755</v>
      </c>
      <c r="AB417">
        <v>3</v>
      </c>
      <c r="AC417">
        <v>155000</v>
      </c>
      <c r="AD417">
        <v>153750</v>
      </c>
      <c r="AE417">
        <v>-1250</v>
      </c>
      <c r="AF417" t="s">
        <v>1755</v>
      </c>
      <c r="AG417">
        <v>7.5609756097560972</v>
      </c>
      <c r="AI417" t="s">
        <v>6308</v>
      </c>
      <c r="AJ417" t="s">
        <v>47</v>
      </c>
      <c r="AK417" t="s">
        <v>1755</v>
      </c>
      <c r="AL417" t="s">
        <v>1755</v>
      </c>
      <c r="AM417" t="s">
        <v>1755</v>
      </c>
      <c r="AO417">
        <v>1250</v>
      </c>
      <c r="AP417">
        <v>-8.130081300813009E-3</v>
      </c>
      <c r="AQ417">
        <v>7.5609756097560972</v>
      </c>
      <c r="AR417" t="s">
        <v>47</v>
      </c>
      <c r="AT417" t="s">
        <v>47</v>
      </c>
    </row>
    <row r="418" spans="1:46" x14ac:dyDescent="0.25">
      <c r="A418" t="s">
        <v>1755</v>
      </c>
      <c r="B418" s="19">
        <v>46203</v>
      </c>
      <c r="C418" t="s">
        <v>1440</v>
      </c>
      <c r="D418" t="s">
        <v>1141</v>
      </c>
      <c r="E418" t="s">
        <v>366</v>
      </c>
      <c r="F418" t="s">
        <v>6982</v>
      </c>
      <c r="G418" t="s">
        <v>1755</v>
      </c>
      <c r="I418" t="str">
        <f>CONCATENATE(Inbound___Outbound_Shifting[[#This Row],[Batch '#]],"-",Inbound___Outbound_Shifting[[#This Row],[Exp '# or Key]])</f>
        <v>--</v>
      </c>
      <c r="J418" t="s">
        <v>1755</v>
      </c>
      <c r="K418">
        <v>1</v>
      </c>
      <c r="L418" t="s">
        <v>366</v>
      </c>
      <c r="M418" t="s">
        <v>1268</v>
      </c>
      <c r="N418" t="s">
        <v>1755</v>
      </c>
      <c r="O418" t="s">
        <v>1755</v>
      </c>
      <c r="P418" t="s">
        <v>1755</v>
      </c>
      <c r="Q418" t="s">
        <v>1755</v>
      </c>
      <c r="R418" t="s">
        <v>1755</v>
      </c>
      <c r="S418" t="s">
        <v>1755</v>
      </c>
      <c r="T418" t="s">
        <v>1755</v>
      </c>
      <c r="U418" t="s">
        <v>1755</v>
      </c>
      <c r="V418" t="s">
        <v>1755</v>
      </c>
      <c r="W418">
        <v>1435</v>
      </c>
      <c r="X418" t="s">
        <v>1755</v>
      </c>
      <c r="Y418">
        <v>46206</v>
      </c>
      <c r="Z418">
        <v>46203</v>
      </c>
      <c r="AA418" t="s">
        <v>1755</v>
      </c>
      <c r="AB418">
        <v>3</v>
      </c>
      <c r="AC418" t="s">
        <v>1755</v>
      </c>
      <c r="AE418">
        <v>0</v>
      </c>
      <c r="AF418" t="s">
        <v>1755</v>
      </c>
      <c r="AI418" t="s">
        <v>1755</v>
      </c>
      <c r="AJ418" t="s">
        <v>1755</v>
      </c>
      <c r="AK418" t="s">
        <v>1755</v>
      </c>
      <c r="AL418" t="s">
        <v>1755</v>
      </c>
      <c r="AM418" t="s">
        <v>1755</v>
      </c>
      <c r="AO418">
        <v>0</v>
      </c>
    </row>
    <row r="419" spans="1:46" x14ac:dyDescent="0.25">
      <c r="A419" t="s">
        <v>1755</v>
      </c>
      <c r="B419" s="19">
        <v>46203</v>
      </c>
      <c r="C419" t="s">
        <v>1372</v>
      </c>
      <c r="D419" t="s">
        <v>1141</v>
      </c>
      <c r="E419" t="s">
        <v>366</v>
      </c>
      <c r="F419" t="s">
        <v>1158</v>
      </c>
      <c r="G419" t="s">
        <v>1755</v>
      </c>
      <c r="I419" t="str">
        <f>CONCATENATE(Inbound___Outbound_Shifting[[#This Row],[Batch '#]],"-",Inbound___Outbound_Shifting[[#This Row],[Exp '# or Key]])</f>
        <v>--</v>
      </c>
      <c r="J419" t="s">
        <v>1755</v>
      </c>
      <c r="K419">
        <v>2</v>
      </c>
      <c r="L419" t="s">
        <v>366</v>
      </c>
      <c r="M419" t="s">
        <v>1268</v>
      </c>
      <c r="N419" t="s">
        <v>1755</v>
      </c>
      <c r="O419" t="s">
        <v>1755</v>
      </c>
      <c r="P419" t="s">
        <v>1755</v>
      </c>
      <c r="Q419" t="s">
        <v>1755</v>
      </c>
      <c r="R419" t="s">
        <v>1755</v>
      </c>
      <c r="S419" t="s">
        <v>1755</v>
      </c>
      <c r="T419" t="s">
        <v>1755</v>
      </c>
      <c r="U419" t="s">
        <v>1755</v>
      </c>
      <c r="V419" t="s">
        <v>1755</v>
      </c>
      <c r="W419">
        <v>4760</v>
      </c>
      <c r="X419" t="s">
        <v>1755</v>
      </c>
      <c r="Y419">
        <v>46206</v>
      </c>
      <c r="Z419">
        <v>46203</v>
      </c>
      <c r="AA419" t="s">
        <v>1755</v>
      </c>
      <c r="AB419">
        <v>3</v>
      </c>
      <c r="AC419" t="s">
        <v>1755</v>
      </c>
      <c r="AE419">
        <v>0</v>
      </c>
      <c r="AF419" t="s">
        <v>1755</v>
      </c>
      <c r="AI419" t="s">
        <v>1755</v>
      </c>
      <c r="AJ419" t="s">
        <v>1755</v>
      </c>
      <c r="AK419" t="s">
        <v>1755</v>
      </c>
      <c r="AL419" t="s">
        <v>1755</v>
      </c>
      <c r="AM419" t="s">
        <v>1755</v>
      </c>
      <c r="AO419">
        <v>0</v>
      </c>
    </row>
    <row r="420" spans="1:46" x14ac:dyDescent="0.25">
      <c r="A420" t="s">
        <v>1755</v>
      </c>
      <c r="B420" s="19">
        <v>46203</v>
      </c>
      <c r="C420" t="s">
        <v>6983</v>
      </c>
      <c r="D420" t="s">
        <v>6330</v>
      </c>
      <c r="E420" t="s">
        <v>366</v>
      </c>
      <c r="F420" t="s">
        <v>281</v>
      </c>
      <c r="G420" t="s">
        <v>1755</v>
      </c>
      <c r="I420" t="str">
        <f>CONCATENATE(Inbound___Outbound_Shifting[[#This Row],[Batch '#]],"-",Inbound___Outbound_Shifting[[#This Row],[Exp '# or Key]])</f>
        <v>--</v>
      </c>
      <c r="J420" t="s">
        <v>1755</v>
      </c>
      <c r="K420">
        <v>3</v>
      </c>
      <c r="L420" t="s">
        <v>366</v>
      </c>
      <c r="M420" t="s">
        <v>1268</v>
      </c>
      <c r="N420" t="s">
        <v>1755</v>
      </c>
      <c r="O420" t="s">
        <v>1755</v>
      </c>
      <c r="P420" t="s">
        <v>1755</v>
      </c>
      <c r="Q420" t="s">
        <v>1755</v>
      </c>
      <c r="R420" t="s">
        <v>1755</v>
      </c>
      <c r="S420" t="s">
        <v>1755</v>
      </c>
      <c r="T420" t="s">
        <v>1755</v>
      </c>
      <c r="U420" t="s">
        <v>1755</v>
      </c>
      <c r="V420" t="s">
        <v>1755</v>
      </c>
      <c r="W420">
        <v>4200</v>
      </c>
      <c r="X420" t="s">
        <v>1755</v>
      </c>
      <c r="Y420">
        <v>46206</v>
      </c>
      <c r="Z420">
        <v>46203</v>
      </c>
      <c r="AA420" t="s">
        <v>1755</v>
      </c>
      <c r="AB420">
        <v>3</v>
      </c>
      <c r="AC420" t="s">
        <v>1755</v>
      </c>
      <c r="AE420">
        <v>0</v>
      </c>
      <c r="AF420" t="s">
        <v>1755</v>
      </c>
      <c r="AI420" t="s">
        <v>1755</v>
      </c>
      <c r="AJ420" t="s">
        <v>1755</v>
      </c>
      <c r="AK420" t="s">
        <v>1755</v>
      </c>
      <c r="AL420" t="s">
        <v>1755</v>
      </c>
      <c r="AM420" t="s">
        <v>1755</v>
      </c>
      <c r="AO420">
        <v>0</v>
      </c>
    </row>
    <row r="421" spans="1:46" x14ac:dyDescent="0.25">
      <c r="A421" t="s">
        <v>1755</v>
      </c>
      <c r="B421" s="19">
        <v>46203</v>
      </c>
      <c r="C421" t="s">
        <v>6984</v>
      </c>
      <c r="D421" t="s">
        <v>6330</v>
      </c>
      <c r="E421" t="s">
        <v>366</v>
      </c>
      <c r="F421" t="s">
        <v>1090</v>
      </c>
      <c r="G421" t="s">
        <v>1755</v>
      </c>
      <c r="I421" t="str">
        <f>CONCATENATE(Inbound___Outbound_Shifting[[#This Row],[Batch '#]],"-",Inbound___Outbound_Shifting[[#This Row],[Exp '# or Key]])</f>
        <v>--</v>
      </c>
      <c r="J421" t="s">
        <v>1755</v>
      </c>
      <c r="K421">
        <v>1</v>
      </c>
      <c r="L421" t="s">
        <v>366</v>
      </c>
      <c r="M421" t="s">
        <v>1268</v>
      </c>
      <c r="N421" t="s">
        <v>1755</v>
      </c>
      <c r="O421" t="s">
        <v>1755</v>
      </c>
      <c r="P421" t="s">
        <v>1755</v>
      </c>
      <c r="Q421" t="s">
        <v>1755</v>
      </c>
      <c r="R421" t="s">
        <v>1755</v>
      </c>
      <c r="S421" t="s">
        <v>1755</v>
      </c>
      <c r="T421" t="s">
        <v>1755</v>
      </c>
      <c r="U421" t="s">
        <v>1755</v>
      </c>
      <c r="V421" t="s">
        <v>1755</v>
      </c>
      <c r="W421">
        <v>400</v>
      </c>
      <c r="X421" t="s">
        <v>1755</v>
      </c>
      <c r="Y421">
        <v>46206</v>
      </c>
      <c r="Z421">
        <v>46203</v>
      </c>
      <c r="AA421" t="s">
        <v>1755</v>
      </c>
      <c r="AB421">
        <v>3</v>
      </c>
      <c r="AC421" t="s">
        <v>1755</v>
      </c>
      <c r="AE421">
        <v>0</v>
      </c>
      <c r="AF421" t="s">
        <v>1755</v>
      </c>
      <c r="AI421" t="s">
        <v>1755</v>
      </c>
      <c r="AJ421" t="s">
        <v>1755</v>
      </c>
      <c r="AK421" t="s">
        <v>1755</v>
      </c>
      <c r="AL421" t="s">
        <v>1755</v>
      </c>
      <c r="AM421" t="s">
        <v>1755</v>
      </c>
      <c r="AO421">
        <v>0</v>
      </c>
    </row>
    <row r="422" spans="1:46" x14ac:dyDescent="0.25">
      <c r="A422" t="s">
        <v>1755</v>
      </c>
      <c r="B422" s="19">
        <v>46203</v>
      </c>
      <c r="C422" t="s">
        <v>6985</v>
      </c>
      <c r="D422" t="s">
        <v>6330</v>
      </c>
      <c r="E422" t="s">
        <v>366</v>
      </c>
      <c r="F422" t="s">
        <v>1004</v>
      </c>
      <c r="G422" t="s">
        <v>1755</v>
      </c>
      <c r="I422" t="str">
        <f>CONCATENATE(Inbound___Outbound_Shifting[[#This Row],[Batch '#]],"-",Inbound___Outbound_Shifting[[#This Row],[Exp '# or Key]])</f>
        <v>--</v>
      </c>
      <c r="J422" t="s">
        <v>1755</v>
      </c>
      <c r="K422">
        <v>2</v>
      </c>
      <c r="L422" t="s">
        <v>366</v>
      </c>
      <c r="M422" t="s">
        <v>1268</v>
      </c>
      <c r="N422" t="s">
        <v>1755</v>
      </c>
      <c r="O422" t="s">
        <v>1755</v>
      </c>
      <c r="P422" t="s">
        <v>1755</v>
      </c>
      <c r="Q422" t="s">
        <v>1755</v>
      </c>
      <c r="R422" t="s">
        <v>1755</v>
      </c>
      <c r="S422" t="s">
        <v>1755</v>
      </c>
      <c r="T422" t="s">
        <v>1755</v>
      </c>
      <c r="U422" t="s">
        <v>1755</v>
      </c>
      <c r="V422" t="s">
        <v>1755</v>
      </c>
      <c r="W422">
        <v>3080</v>
      </c>
      <c r="X422" t="s">
        <v>1755</v>
      </c>
      <c r="Y422">
        <v>46206</v>
      </c>
      <c r="Z422">
        <v>46203</v>
      </c>
      <c r="AA422" t="s">
        <v>1755</v>
      </c>
      <c r="AB422">
        <v>3</v>
      </c>
      <c r="AC422" t="s">
        <v>1755</v>
      </c>
      <c r="AE422">
        <v>0</v>
      </c>
      <c r="AF422" t="s">
        <v>1755</v>
      </c>
      <c r="AI422" t="s">
        <v>1755</v>
      </c>
      <c r="AJ422" t="s">
        <v>1755</v>
      </c>
      <c r="AK422" t="s">
        <v>1755</v>
      </c>
      <c r="AL422" t="s">
        <v>1755</v>
      </c>
      <c r="AM422" t="s">
        <v>1755</v>
      </c>
      <c r="AO422">
        <v>0</v>
      </c>
    </row>
    <row r="423" spans="1:46" x14ac:dyDescent="0.25">
      <c r="A423" t="s">
        <v>1755</v>
      </c>
      <c r="B423" s="19">
        <v>46203</v>
      </c>
      <c r="C423" t="s">
        <v>6986</v>
      </c>
      <c r="D423" t="s">
        <v>6330</v>
      </c>
      <c r="E423" t="s">
        <v>366</v>
      </c>
      <c r="F423" t="s">
        <v>44</v>
      </c>
      <c r="G423" t="s">
        <v>1755</v>
      </c>
      <c r="I423" t="str">
        <f>CONCATENATE(Inbound___Outbound_Shifting[[#This Row],[Batch '#]],"-",Inbound___Outbound_Shifting[[#This Row],[Exp '# or Key]])</f>
        <v>--</v>
      </c>
      <c r="J423" t="s">
        <v>1755</v>
      </c>
      <c r="K423">
        <v>1</v>
      </c>
      <c r="L423" t="s">
        <v>366</v>
      </c>
      <c r="M423" t="s">
        <v>1268</v>
      </c>
      <c r="N423" t="s">
        <v>1755</v>
      </c>
      <c r="O423" t="s">
        <v>1755</v>
      </c>
      <c r="P423" t="s">
        <v>1755</v>
      </c>
      <c r="Q423" t="s">
        <v>1755</v>
      </c>
      <c r="R423" t="s">
        <v>1755</v>
      </c>
      <c r="S423" t="s">
        <v>1755</v>
      </c>
      <c r="T423" t="s">
        <v>1755</v>
      </c>
      <c r="U423" t="s">
        <v>1755</v>
      </c>
      <c r="V423" t="s">
        <v>1755</v>
      </c>
      <c r="W423">
        <v>1000</v>
      </c>
      <c r="X423" t="s">
        <v>1755</v>
      </c>
      <c r="Y423">
        <v>46206</v>
      </c>
      <c r="Z423">
        <v>46203</v>
      </c>
      <c r="AA423" t="s">
        <v>1755</v>
      </c>
      <c r="AB423">
        <v>3</v>
      </c>
      <c r="AC423" t="s">
        <v>1755</v>
      </c>
      <c r="AE423">
        <v>0</v>
      </c>
      <c r="AF423" t="s">
        <v>1755</v>
      </c>
      <c r="AI423" t="s">
        <v>1755</v>
      </c>
      <c r="AJ423" t="s">
        <v>1755</v>
      </c>
      <c r="AK423" t="s">
        <v>1755</v>
      </c>
      <c r="AL423" t="s">
        <v>1755</v>
      </c>
      <c r="AM423" t="s">
        <v>1755</v>
      </c>
      <c r="AO423">
        <v>0</v>
      </c>
    </row>
    <row r="424" spans="1:46" x14ac:dyDescent="0.25">
      <c r="A424" t="s">
        <v>1755</v>
      </c>
      <c r="B424" s="19">
        <v>46203</v>
      </c>
      <c r="C424" t="s">
        <v>6987</v>
      </c>
      <c r="D424" t="s">
        <v>6330</v>
      </c>
      <c r="E424" t="s">
        <v>117</v>
      </c>
      <c r="F424" t="s">
        <v>1004</v>
      </c>
      <c r="G424" t="s">
        <v>1755</v>
      </c>
      <c r="I424" t="str">
        <f>CONCATENATE(Inbound___Outbound_Shifting[[#This Row],[Batch '#]],"-",Inbound___Outbound_Shifting[[#This Row],[Exp '# or Key]])</f>
        <v>--</v>
      </c>
      <c r="J424" t="s">
        <v>1755</v>
      </c>
      <c r="K424">
        <v>1</v>
      </c>
      <c r="L424" t="s">
        <v>117</v>
      </c>
      <c r="M424" t="s">
        <v>1268</v>
      </c>
      <c r="N424" t="s">
        <v>1755</v>
      </c>
      <c r="O424" t="s">
        <v>1755</v>
      </c>
      <c r="P424" t="s">
        <v>1755</v>
      </c>
      <c r="Q424" t="s">
        <v>1755</v>
      </c>
      <c r="R424" t="s">
        <v>1755</v>
      </c>
      <c r="S424" t="s">
        <v>1755</v>
      </c>
      <c r="T424" t="s">
        <v>1755</v>
      </c>
      <c r="U424" t="s">
        <v>1755</v>
      </c>
      <c r="V424" t="s">
        <v>1755</v>
      </c>
      <c r="W424">
        <v>800</v>
      </c>
      <c r="X424" t="s">
        <v>1755</v>
      </c>
      <c r="Y424">
        <v>46206</v>
      </c>
      <c r="Z424">
        <v>46203</v>
      </c>
      <c r="AA424" t="s">
        <v>1755</v>
      </c>
      <c r="AB424">
        <v>3</v>
      </c>
      <c r="AC424" t="s">
        <v>1755</v>
      </c>
      <c r="AE424">
        <v>0</v>
      </c>
      <c r="AF424" t="s">
        <v>1755</v>
      </c>
      <c r="AI424" t="s">
        <v>1755</v>
      </c>
      <c r="AJ424" t="s">
        <v>1755</v>
      </c>
      <c r="AK424" t="s">
        <v>1755</v>
      </c>
      <c r="AL424" t="s">
        <v>1755</v>
      </c>
      <c r="AM424" t="s">
        <v>1755</v>
      </c>
      <c r="AO424">
        <v>0</v>
      </c>
    </row>
    <row r="425" spans="1:46" x14ac:dyDescent="0.25">
      <c r="A425" t="s">
        <v>1755</v>
      </c>
      <c r="B425" s="19">
        <v>46203</v>
      </c>
      <c r="C425" t="s">
        <v>6988</v>
      </c>
      <c r="D425" t="s">
        <v>6330</v>
      </c>
      <c r="E425" t="s">
        <v>117</v>
      </c>
      <c r="F425" t="s">
        <v>1077</v>
      </c>
      <c r="G425" t="s">
        <v>1755</v>
      </c>
      <c r="I425" t="str">
        <f>CONCATENATE(Inbound___Outbound_Shifting[[#This Row],[Batch '#]],"-",Inbound___Outbound_Shifting[[#This Row],[Exp '# or Key]])</f>
        <v>--</v>
      </c>
      <c r="J425" t="s">
        <v>1755</v>
      </c>
      <c r="K425">
        <v>1</v>
      </c>
      <c r="L425" t="s">
        <v>117</v>
      </c>
      <c r="M425" t="s">
        <v>1268</v>
      </c>
      <c r="N425" t="s">
        <v>1755</v>
      </c>
      <c r="O425" t="s">
        <v>1755</v>
      </c>
      <c r="P425" t="s">
        <v>1755</v>
      </c>
      <c r="Q425" t="s">
        <v>1755</v>
      </c>
      <c r="R425" t="s">
        <v>1755</v>
      </c>
      <c r="S425" t="s">
        <v>1755</v>
      </c>
      <c r="T425" t="s">
        <v>1755</v>
      </c>
      <c r="U425" t="s">
        <v>1755</v>
      </c>
      <c r="V425" t="s">
        <v>1755</v>
      </c>
      <c r="W425">
        <v>465</v>
      </c>
      <c r="X425" t="s">
        <v>1755</v>
      </c>
      <c r="Y425">
        <v>46206</v>
      </c>
      <c r="Z425">
        <v>46203</v>
      </c>
      <c r="AA425" t="s">
        <v>1755</v>
      </c>
      <c r="AB425">
        <v>3</v>
      </c>
      <c r="AC425" t="s">
        <v>1755</v>
      </c>
      <c r="AE425">
        <v>0</v>
      </c>
      <c r="AF425" t="s">
        <v>1755</v>
      </c>
      <c r="AI425" t="s">
        <v>1755</v>
      </c>
      <c r="AJ425" t="s">
        <v>1755</v>
      </c>
      <c r="AK425" t="s">
        <v>1755</v>
      </c>
      <c r="AL425" t="s">
        <v>1755</v>
      </c>
      <c r="AM425" t="s">
        <v>1755</v>
      </c>
      <c r="AO425">
        <v>0</v>
      </c>
    </row>
    <row r="426" spans="1:46" x14ac:dyDescent="0.25">
      <c r="A426" t="s">
        <v>1755</v>
      </c>
      <c r="B426" s="19">
        <v>46203</v>
      </c>
      <c r="C426" t="s">
        <v>6989</v>
      </c>
      <c r="D426" t="s">
        <v>6330</v>
      </c>
      <c r="E426" t="s">
        <v>117</v>
      </c>
      <c r="F426" t="s">
        <v>330</v>
      </c>
      <c r="G426" t="s">
        <v>1755</v>
      </c>
      <c r="I426" t="str">
        <f>CONCATENATE(Inbound___Outbound_Shifting[[#This Row],[Batch '#]],"-",Inbound___Outbound_Shifting[[#This Row],[Exp '# or Key]])</f>
        <v>--</v>
      </c>
      <c r="J426" t="s">
        <v>1755</v>
      </c>
      <c r="K426">
        <v>1</v>
      </c>
      <c r="L426" t="s">
        <v>117</v>
      </c>
      <c r="M426" t="s">
        <v>1268</v>
      </c>
      <c r="N426" t="s">
        <v>1755</v>
      </c>
      <c r="O426" t="s">
        <v>1755</v>
      </c>
      <c r="P426" t="s">
        <v>1755</v>
      </c>
      <c r="Q426" t="s">
        <v>1755</v>
      </c>
      <c r="R426" t="s">
        <v>1755</v>
      </c>
      <c r="S426" t="s">
        <v>1755</v>
      </c>
      <c r="T426" t="s">
        <v>1755</v>
      </c>
      <c r="U426" t="s">
        <v>1755</v>
      </c>
      <c r="V426" t="s">
        <v>1755</v>
      </c>
      <c r="W426">
        <v>400</v>
      </c>
      <c r="X426" t="s">
        <v>1755</v>
      </c>
      <c r="Y426">
        <v>46206</v>
      </c>
      <c r="Z426">
        <v>46203</v>
      </c>
      <c r="AA426" t="s">
        <v>1755</v>
      </c>
      <c r="AB426">
        <v>3</v>
      </c>
      <c r="AC426" t="s">
        <v>1755</v>
      </c>
      <c r="AE426">
        <v>0</v>
      </c>
      <c r="AF426" t="s">
        <v>1755</v>
      </c>
      <c r="AI426" t="s">
        <v>1755</v>
      </c>
      <c r="AJ426" t="s">
        <v>1755</v>
      </c>
      <c r="AK426" t="s">
        <v>1755</v>
      </c>
      <c r="AL426" t="s">
        <v>1755</v>
      </c>
      <c r="AM426" t="s">
        <v>1755</v>
      </c>
      <c r="AO426">
        <v>0</v>
      </c>
    </row>
    <row r="427" spans="1:46" x14ac:dyDescent="0.25">
      <c r="A427" t="s">
        <v>1755</v>
      </c>
      <c r="B427" s="19">
        <v>46203</v>
      </c>
      <c r="C427" t="s">
        <v>6990</v>
      </c>
      <c r="D427" t="s">
        <v>6330</v>
      </c>
      <c r="E427" t="s">
        <v>117</v>
      </c>
      <c r="F427" t="s">
        <v>1077</v>
      </c>
      <c r="G427" t="s">
        <v>1755</v>
      </c>
      <c r="I427" t="str">
        <f>CONCATENATE(Inbound___Outbound_Shifting[[#This Row],[Batch '#]],"-",Inbound___Outbound_Shifting[[#This Row],[Exp '# or Key]])</f>
        <v>--</v>
      </c>
      <c r="J427" t="s">
        <v>1755</v>
      </c>
      <c r="K427">
        <v>1</v>
      </c>
      <c r="L427" t="s">
        <v>117</v>
      </c>
      <c r="M427" t="s">
        <v>1268</v>
      </c>
      <c r="N427" t="s">
        <v>1755</v>
      </c>
      <c r="O427" t="s">
        <v>1755</v>
      </c>
      <c r="P427" t="s">
        <v>1755</v>
      </c>
      <c r="Q427" t="s">
        <v>1755</v>
      </c>
      <c r="R427" t="s">
        <v>1755</v>
      </c>
      <c r="S427" t="s">
        <v>1755</v>
      </c>
      <c r="T427" t="s">
        <v>1755</v>
      </c>
      <c r="U427" t="s">
        <v>1755</v>
      </c>
      <c r="V427" t="s">
        <v>1755</v>
      </c>
      <c r="W427">
        <v>1100</v>
      </c>
      <c r="X427" t="s">
        <v>1755</v>
      </c>
      <c r="Y427">
        <v>46206</v>
      </c>
      <c r="Z427">
        <v>46203</v>
      </c>
      <c r="AA427" t="s">
        <v>1755</v>
      </c>
      <c r="AB427">
        <v>3</v>
      </c>
      <c r="AC427" t="s">
        <v>1755</v>
      </c>
      <c r="AE427">
        <v>0</v>
      </c>
      <c r="AF427" t="s">
        <v>1755</v>
      </c>
      <c r="AI427" t="s">
        <v>1755</v>
      </c>
      <c r="AJ427" t="s">
        <v>1755</v>
      </c>
      <c r="AK427" t="s">
        <v>1755</v>
      </c>
      <c r="AL427" t="s">
        <v>1755</v>
      </c>
      <c r="AM427" t="s">
        <v>1755</v>
      </c>
      <c r="AO427">
        <v>0</v>
      </c>
    </row>
    <row r="428" spans="1:46" x14ac:dyDescent="0.25">
      <c r="A428" t="s">
        <v>1755</v>
      </c>
      <c r="B428" s="19">
        <v>46203</v>
      </c>
      <c r="C428" t="s">
        <v>6991</v>
      </c>
      <c r="D428" t="s">
        <v>6330</v>
      </c>
      <c r="E428" t="s">
        <v>117</v>
      </c>
      <c r="F428" t="s">
        <v>1077</v>
      </c>
      <c r="G428" t="s">
        <v>1755</v>
      </c>
      <c r="I428" t="str">
        <f>CONCATENATE(Inbound___Outbound_Shifting[[#This Row],[Batch '#]],"-",Inbound___Outbound_Shifting[[#This Row],[Exp '# or Key]])</f>
        <v>--</v>
      </c>
      <c r="J428" t="s">
        <v>1755</v>
      </c>
      <c r="K428">
        <v>1</v>
      </c>
      <c r="L428" t="s">
        <v>117</v>
      </c>
      <c r="M428" t="s">
        <v>1268</v>
      </c>
      <c r="N428" t="s">
        <v>1755</v>
      </c>
      <c r="O428" t="s">
        <v>1755</v>
      </c>
      <c r="P428" t="s">
        <v>1755</v>
      </c>
      <c r="Q428" t="s">
        <v>1755</v>
      </c>
      <c r="R428" t="s">
        <v>1755</v>
      </c>
      <c r="S428" t="s">
        <v>1755</v>
      </c>
      <c r="T428" t="s">
        <v>1755</v>
      </c>
      <c r="U428" t="s">
        <v>1755</v>
      </c>
      <c r="V428" t="s">
        <v>1755</v>
      </c>
      <c r="W428">
        <v>530</v>
      </c>
      <c r="X428" t="s">
        <v>1755</v>
      </c>
      <c r="Y428">
        <v>46206</v>
      </c>
      <c r="Z428">
        <v>46203</v>
      </c>
      <c r="AA428" t="s">
        <v>1755</v>
      </c>
      <c r="AB428">
        <v>3</v>
      </c>
      <c r="AC428" t="s">
        <v>1755</v>
      </c>
      <c r="AE428">
        <v>0</v>
      </c>
      <c r="AF428" t="s">
        <v>1755</v>
      </c>
      <c r="AI428" t="s">
        <v>1755</v>
      </c>
      <c r="AJ428" t="s">
        <v>1755</v>
      </c>
      <c r="AK428" t="s">
        <v>1755</v>
      </c>
      <c r="AL428" t="s">
        <v>1755</v>
      </c>
      <c r="AM428" t="s">
        <v>1755</v>
      </c>
      <c r="AO428">
        <v>0</v>
      </c>
    </row>
    <row r="429" spans="1:46" x14ac:dyDescent="0.25">
      <c r="A429" t="s">
        <v>1755</v>
      </c>
      <c r="B429" s="19">
        <v>46203</v>
      </c>
      <c r="C429" t="s">
        <v>1157</v>
      </c>
      <c r="D429" t="s">
        <v>6904</v>
      </c>
      <c r="E429" t="s">
        <v>117</v>
      </c>
      <c r="F429" t="s">
        <v>6056</v>
      </c>
      <c r="G429" t="s">
        <v>1755</v>
      </c>
      <c r="I429" t="str">
        <f>CONCATENATE(Inbound___Outbound_Shifting[[#This Row],[Batch '#]],"-",Inbound___Outbound_Shifting[[#This Row],[Exp '# or Key]])</f>
        <v>--</v>
      </c>
      <c r="J429" t="s">
        <v>1755</v>
      </c>
      <c r="K429">
        <v>1</v>
      </c>
      <c r="L429" t="s">
        <v>117</v>
      </c>
      <c r="M429" t="s">
        <v>1268</v>
      </c>
      <c r="N429" t="s">
        <v>1755</v>
      </c>
      <c r="O429" t="s">
        <v>1755</v>
      </c>
      <c r="P429" t="s">
        <v>1755</v>
      </c>
      <c r="Q429" t="s">
        <v>1755</v>
      </c>
      <c r="R429" t="s">
        <v>1755</v>
      </c>
      <c r="S429" t="s">
        <v>1755</v>
      </c>
      <c r="T429" t="s">
        <v>1755</v>
      </c>
      <c r="U429" t="s">
        <v>1755</v>
      </c>
      <c r="V429" t="s">
        <v>1755</v>
      </c>
      <c r="W429">
        <v>270</v>
      </c>
      <c r="X429" t="s">
        <v>1755</v>
      </c>
      <c r="Y429">
        <v>46206</v>
      </c>
      <c r="Z429">
        <v>46203</v>
      </c>
      <c r="AA429" t="s">
        <v>1755</v>
      </c>
      <c r="AB429">
        <v>3</v>
      </c>
      <c r="AC429" t="s">
        <v>1755</v>
      </c>
      <c r="AE429">
        <v>0</v>
      </c>
      <c r="AF429" t="s">
        <v>1755</v>
      </c>
      <c r="AI429" t="s">
        <v>1755</v>
      </c>
      <c r="AJ429" t="s">
        <v>1755</v>
      </c>
      <c r="AK429" t="s">
        <v>1755</v>
      </c>
      <c r="AL429" t="s">
        <v>1755</v>
      </c>
      <c r="AM429" t="s">
        <v>1755</v>
      </c>
      <c r="AO429">
        <v>0</v>
      </c>
    </row>
    <row r="430" spans="1:46" x14ac:dyDescent="0.25">
      <c r="A430" t="s">
        <v>1755</v>
      </c>
      <c r="B430" s="19">
        <v>46203</v>
      </c>
      <c r="C430" t="s">
        <v>1755</v>
      </c>
      <c r="D430" t="s">
        <v>6366</v>
      </c>
      <c r="E430" t="s">
        <v>117</v>
      </c>
      <c r="F430" t="s">
        <v>1755</v>
      </c>
      <c r="G430" t="s">
        <v>1755</v>
      </c>
      <c r="I430" t="str">
        <f>CONCATENATE(Inbound___Outbound_Shifting[[#This Row],[Batch '#]],"-",Inbound___Outbound_Shifting[[#This Row],[Exp '# or Key]])</f>
        <v>--</v>
      </c>
      <c r="J430" t="s">
        <v>1755</v>
      </c>
      <c r="K430">
        <v>1</v>
      </c>
      <c r="L430" t="s">
        <v>117</v>
      </c>
      <c r="M430" t="s">
        <v>1268</v>
      </c>
      <c r="N430" t="s">
        <v>1755</v>
      </c>
      <c r="O430" t="s">
        <v>1755</v>
      </c>
      <c r="P430" t="s">
        <v>1755</v>
      </c>
      <c r="Q430" t="s">
        <v>1755</v>
      </c>
      <c r="R430" t="s">
        <v>1755</v>
      </c>
      <c r="S430" t="s">
        <v>1755</v>
      </c>
      <c r="T430" t="s">
        <v>1755</v>
      </c>
      <c r="U430" t="s">
        <v>1755</v>
      </c>
      <c r="V430" t="s">
        <v>1755</v>
      </c>
      <c r="W430">
        <v>1538</v>
      </c>
      <c r="X430" t="s">
        <v>1755</v>
      </c>
      <c r="Y430">
        <v>46206</v>
      </c>
      <c r="Z430">
        <v>46203</v>
      </c>
      <c r="AA430" t="s">
        <v>1755</v>
      </c>
      <c r="AB430">
        <v>3</v>
      </c>
      <c r="AC430" t="s">
        <v>1755</v>
      </c>
      <c r="AE430">
        <v>0</v>
      </c>
      <c r="AF430" t="s">
        <v>1755</v>
      </c>
      <c r="AI430" t="s">
        <v>1755</v>
      </c>
      <c r="AJ430" t="s">
        <v>1755</v>
      </c>
      <c r="AK430" t="s">
        <v>1755</v>
      </c>
      <c r="AL430" t="s">
        <v>1755</v>
      </c>
      <c r="AM430" t="s">
        <v>1755</v>
      </c>
      <c r="AO430">
        <v>0</v>
      </c>
    </row>
    <row r="431" spans="1:46" x14ac:dyDescent="0.25">
      <c r="A431" t="s">
        <v>6329</v>
      </c>
      <c r="B431" s="19">
        <v>46204</v>
      </c>
      <c r="C431" t="s">
        <v>6992</v>
      </c>
      <c r="D431" t="s">
        <v>1596</v>
      </c>
      <c r="E431" t="s">
        <v>117</v>
      </c>
      <c r="F431" t="s">
        <v>6993</v>
      </c>
      <c r="G431" t="s">
        <v>1755</v>
      </c>
      <c r="I431" t="str">
        <f>CONCATENATE(Inbound___Outbound_Shifting[[#This Row],[Batch '#]],"-",Inbound___Outbound_Shifting[[#This Row],[Exp '# or Key]])</f>
        <v>--</v>
      </c>
      <c r="J431" t="s">
        <v>1755</v>
      </c>
      <c r="L431" t="s">
        <v>117</v>
      </c>
      <c r="M431" t="s">
        <v>6466</v>
      </c>
      <c r="N431" t="s">
        <v>1755</v>
      </c>
      <c r="O431" t="s">
        <v>767</v>
      </c>
      <c r="S431" t="s">
        <v>1755</v>
      </c>
      <c r="T431" t="s">
        <v>1755</v>
      </c>
      <c r="U431" t="s">
        <v>1755</v>
      </c>
      <c r="V431" t="s">
        <v>1755</v>
      </c>
      <c r="W431">
        <v>38000</v>
      </c>
      <c r="X431">
        <v>38000</v>
      </c>
      <c r="Y431">
        <v>46205</v>
      </c>
      <c r="Z431">
        <v>46203</v>
      </c>
      <c r="AA431" t="s">
        <v>1755</v>
      </c>
      <c r="AB431">
        <v>1</v>
      </c>
      <c r="AC431" t="s">
        <v>1755</v>
      </c>
      <c r="AD431">
        <v>285000</v>
      </c>
      <c r="AE431">
        <v>0</v>
      </c>
      <c r="AF431" t="s">
        <v>1755</v>
      </c>
      <c r="AI431" t="s">
        <v>6334</v>
      </c>
      <c r="AJ431" t="s">
        <v>47</v>
      </c>
      <c r="AK431" t="s">
        <v>1755</v>
      </c>
      <c r="AL431" t="s">
        <v>1755</v>
      </c>
      <c r="AM431" t="s">
        <v>1755</v>
      </c>
      <c r="AO431">
        <v>-285000</v>
      </c>
      <c r="AP431">
        <v>1</v>
      </c>
      <c r="AQ431">
        <v>0</v>
      </c>
      <c r="AR431" t="s">
        <v>47</v>
      </c>
      <c r="AT431" t="s">
        <v>47</v>
      </c>
    </row>
    <row r="432" spans="1:46" x14ac:dyDescent="0.25">
      <c r="A432" t="s">
        <v>6329</v>
      </c>
      <c r="B432" s="19">
        <v>46204</v>
      </c>
      <c r="C432" t="s">
        <v>6992</v>
      </c>
      <c r="D432" t="s">
        <v>1596</v>
      </c>
      <c r="E432" t="s">
        <v>117</v>
      </c>
      <c r="F432" t="s">
        <v>6993</v>
      </c>
      <c r="G432" t="s">
        <v>1755</v>
      </c>
      <c r="I432" t="str">
        <f>CONCATENATE(Inbound___Outbound_Shifting[[#This Row],[Batch '#]],"-",Inbound___Outbound_Shifting[[#This Row],[Exp '# or Key]])</f>
        <v>--</v>
      </c>
      <c r="J432" t="s">
        <v>1755</v>
      </c>
      <c r="L432" t="s">
        <v>117</v>
      </c>
      <c r="M432" t="s">
        <v>6466</v>
      </c>
      <c r="N432" t="s">
        <v>1755</v>
      </c>
      <c r="O432" t="s">
        <v>767</v>
      </c>
      <c r="S432" t="s">
        <v>1755</v>
      </c>
      <c r="T432" t="s">
        <v>1755</v>
      </c>
      <c r="U432" t="s">
        <v>1755</v>
      </c>
      <c r="V432" t="s">
        <v>1755</v>
      </c>
      <c r="W432">
        <v>38000</v>
      </c>
      <c r="X432">
        <v>38000</v>
      </c>
      <c r="Y432">
        <v>46205</v>
      </c>
      <c r="Z432">
        <v>46203</v>
      </c>
      <c r="AA432" t="s">
        <v>1755</v>
      </c>
      <c r="AB432">
        <v>1</v>
      </c>
      <c r="AC432" t="s">
        <v>1755</v>
      </c>
      <c r="AD432">
        <v>285000</v>
      </c>
      <c r="AE432">
        <v>0</v>
      </c>
      <c r="AF432" t="s">
        <v>1755</v>
      </c>
      <c r="AI432" t="s">
        <v>6334</v>
      </c>
      <c r="AJ432" t="s">
        <v>47</v>
      </c>
      <c r="AK432" t="s">
        <v>1755</v>
      </c>
      <c r="AL432" t="s">
        <v>1755</v>
      </c>
      <c r="AM432" t="s">
        <v>1755</v>
      </c>
      <c r="AO432">
        <v>-285000</v>
      </c>
      <c r="AP432">
        <v>1</v>
      </c>
      <c r="AQ432">
        <v>0</v>
      </c>
      <c r="AR432" t="s">
        <v>47</v>
      </c>
      <c r="AT432" t="s">
        <v>47</v>
      </c>
    </row>
    <row r="433" spans="1:46" x14ac:dyDescent="0.25">
      <c r="A433" t="s">
        <v>6329</v>
      </c>
      <c r="B433" s="19">
        <v>46204</v>
      </c>
      <c r="C433" t="s">
        <v>6992</v>
      </c>
      <c r="D433" t="s">
        <v>1596</v>
      </c>
      <c r="E433" t="s">
        <v>117</v>
      </c>
      <c r="F433" t="s">
        <v>6993</v>
      </c>
      <c r="G433" t="s">
        <v>1755</v>
      </c>
      <c r="I433" t="str">
        <f>CONCATENATE(Inbound___Outbound_Shifting[[#This Row],[Batch '#]],"-",Inbound___Outbound_Shifting[[#This Row],[Exp '# or Key]])</f>
        <v>--</v>
      </c>
      <c r="J433" t="s">
        <v>1755</v>
      </c>
      <c r="L433" t="s">
        <v>117</v>
      </c>
      <c r="M433" t="s">
        <v>6466</v>
      </c>
      <c r="N433" t="s">
        <v>1755</v>
      </c>
      <c r="O433" t="s">
        <v>767</v>
      </c>
      <c r="S433" t="s">
        <v>1755</v>
      </c>
      <c r="T433" t="s">
        <v>1755</v>
      </c>
      <c r="U433" t="s">
        <v>1755</v>
      </c>
      <c r="V433" t="s">
        <v>1755</v>
      </c>
      <c r="W433">
        <v>32000</v>
      </c>
      <c r="X433">
        <v>32000</v>
      </c>
      <c r="Y433">
        <v>46205</v>
      </c>
      <c r="Z433">
        <v>46203</v>
      </c>
      <c r="AA433" t="s">
        <v>1755</v>
      </c>
      <c r="AB433">
        <v>1</v>
      </c>
      <c r="AC433" t="s">
        <v>1755</v>
      </c>
      <c r="AD433">
        <v>240000</v>
      </c>
      <c r="AE433">
        <v>0</v>
      </c>
      <c r="AF433" t="s">
        <v>1755</v>
      </c>
      <c r="AI433" t="s">
        <v>6334</v>
      </c>
      <c r="AJ433" t="s">
        <v>47</v>
      </c>
      <c r="AK433" t="s">
        <v>1755</v>
      </c>
      <c r="AL433" t="s">
        <v>1755</v>
      </c>
      <c r="AM433" t="s">
        <v>1755</v>
      </c>
      <c r="AO433">
        <v>-240000</v>
      </c>
      <c r="AP433">
        <v>1</v>
      </c>
      <c r="AQ433">
        <v>0</v>
      </c>
      <c r="AR433" t="s">
        <v>47</v>
      </c>
      <c r="AT433" t="s">
        <v>47</v>
      </c>
    </row>
    <row r="434" spans="1:46" x14ac:dyDescent="0.25">
      <c r="A434" t="s">
        <v>6329</v>
      </c>
      <c r="B434" s="19">
        <v>46204</v>
      </c>
      <c r="C434" t="s">
        <v>6992</v>
      </c>
      <c r="D434" t="s">
        <v>1596</v>
      </c>
      <c r="E434" t="s">
        <v>117</v>
      </c>
      <c r="F434" t="s">
        <v>6993</v>
      </c>
      <c r="G434" t="s">
        <v>1755</v>
      </c>
      <c r="I434" t="str">
        <f>CONCATENATE(Inbound___Outbound_Shifting[[#This Row],[Batch '#]],"-",Inbound___Outbound_Shifting[[#This Row],[Exp '# or Key]])</f>
        <v>--</v>
      </c>
      <c r="J434" t="s">
        <v>1755</v>
      </c>
      <c r="L434" t="s">
        <v>117</v>
      </c>
      <c r="M434" t="s">
        <v>6466</v>
      </c>
      <c r="N434" t="s">
        <v>1755</v>
      </c>
      <c r="O434" t="s">
        <v>767</v>
      </c>
      <c r="S434" t="s">
        <v>1755</v>
      </c>
      <c r="T434" t="s">
        <v>1755</v>
      </c>
      <c r="U434" t="s">
        <v>1755</v>
      </c>
      <c r="V434" t="s">
        <v>1755</v>
      </c>
      <c r="W434">
        <v>32000</v>
      </c>
      <c r="X434">
        <v>32000</v>
      </c>
      <c r="Y434">
        <v>46205</v>
      </c>
      <c r="Z434">
        <v>46203</v>
      </c>
      <c r="AA434" t="s">
        <v>1755</v>
      </c>
      <c r="AB434">
        <v>1</v>
      </c>
      <c r="AC434" t="s">
        <v>1755</v>
      </c>
      <c r="AD434">
        <v>240000</v>
      </c>
      <c r="AE434">
        <v>0</v>
      </c>
      <c r="AF434" t="s">
        <v>1755</v>
      </c>
      <c r="AI434" t="s">
        <v>6334</v>
      </c>
      <c r="AJ434" t="s">
        <v>47</v>
      </c>
      <c r="AK434" t="s">
        <v>1755</v>
      </c>
      <c r="AL434" t="s">
        <v>1755</v>
      </c>
      <c r="AM434" t="s">
        <v>1755</v>
      </c>
      <c r="AO434">
        <v>-240000</v>
      </c>
      <c r="AP434">
        <v>1</v>
      </c>
      <c r="AQ434">
        <v>0</v>
      </c>
      <c r="AR434" t="s">
        <v>47</v>
      </c>
      <c r="AT434" t="s">
        <v>47</v>
      </c>
    </row>
    <row r="435" spans="1:46" x14ac:dyDescent="0.25">
      <c r="A435" t="s">
        <v>6329</v>
      </c>
      <c r="B435" s="19">
        <v>46204</v>
      </c>
      <c r="C435" t="s">
        <v>6994</v>
      </c>
      <c r="D435" t="s">
        <v>1596</v>
      </c>
      <c r="E435" t="s">
        <v>117</v>
      </c>
      <c r="F435" t="s">
        <v>6993</v>
      </c>
      <c r="G435" t="s">
        <v>1755</v>
      </c>
      <c r="I435" t="str">
        <f>CONCATENATE(Inbound___Outbound_Shifting[[#This Row],[Batch '#]],"-",Inbound___Outbound_Shifting[[#This Row],[Exp '# or Key]])</f>
        <v>--</v>
      </c>
      <c r="J435" t="s">
        <v>1755</v>
      </c>
      <c r="L435" t="s">
        <v>117</v>
      </c>
      <c r="M435" t="s">
        <v>6466</v>
      </c>
      <c r="N435" t="s">
        <v>1755</v>
      </c>
      <c r="O435" t="s">
        <v>767</v>
      </c>
      <c r="S435" t="s">
        <v>1755</v>
      </c>
      <c r="T435" t="s">
        <v>1755</v>
      </c>
      <c r="U435" t="s">
        <v>1755</v>
      </c>
      <c r="V435" t="s">
        <v>1755</v>
      </c>
      <c r="W435">
        <v>38000</v>
      </c>
      <c r="X435">
        <v>38000</v>
      </c>
      <c r="Y435">
        <v>46205</v>
      </c>
      <c r="Z435">
        <v>46203</v>
      </c>
      <c r="AA435" t="s">
        <v>1755</v>
      </c>
      <c r="AB435">
        <v>1</v>
      </c>
      <c r="AC435" t="s">
        <v>1755</v>
      </c>
      <c r="AD435">
        <v>285000</v>
      </c>
      <c r="AE435">
        <v>0</v>
      </c>
      <c r="AF435" t="s">
        <v>1755</v>
      </c>
      <c r="AI435" t="s">
        <v>6334</v>
      </c>
      <c r="AJ435" t="s">
        <v>47</v>
      </c>
      <c r="AK435" t="s">
        <v>1755</v>
      </c>
      <c r="AL435" t="s">
        <v>1755</v>
      </c>
      <c r="AM435" t="s">
        <v>1755</v>
      </c>
      <c r="AO435">
        <v>-285000</v>
      </c>
      <c r="AP435">
        <v>1</v>
      </c>
      <c r="AQ435">
        <v>0</v>
      </c>
      <c r="AR435" t="s">
        <v>47</v>
      </c>
      <c r="AT435" t="s">
        <v>47</v>
      </c>
    </row>
    <row r="436" spans="1:46" x14ac:dyDescent="0.25">
      <c r="A436" t="s">
        <v>6300</v>
      </c>
      <c r="B436" s="19">
        <v>46206</v>
      </c>
      <c r="C436" t="s">
        <v>7018</v>
      </c>
      <c r="D436" t="s">
        <v>6302</v>
      </c>
      <c r="E436" t="s">
        <v>6086</v>
      </c>
      <c r="F436" t="s">
        <v>1371</v>
      </c>
      <c r="G436" t="s">
        <v>1755</v>
      </c>
      <c r="I436" t="str">
        <f>CONCATENATE(Inbound___Outbound_Shifting[[#This Row],[Batch '#]],"-",Inbound___Outbound_Shifting[[#This Row],[Exp '# or Key]])</f>
        <v>--</v>
      </c>
      <c r="J436" t="s">
        <v>6603</v>
      </c>
      <c r="K436" t="s">
        <v>6395</v>
      </c>
      <c r="L436" t="s">
        <v>1755</v>
      </c>
      <c r="M436" t="s">
        <v>1755</v>
      </c>
      <c r="N436" t="s">
        <v>1755</v>
      </c>
      <c r="O436" t="s">
        <v>6631</v>
      </c>
      <c r="P436" t="s">
        <v>7019</v>
      </c>
      <c r="Q436" t="s">
        <v>7020</v>
      </c>
      <c r="R436" t="s">
        <v>6535</v>
      </c>
      <c r="S436">
        <v>1</v>
      </c>
      <c r="T436" t="s">
        <v>7021</v>
      </c>
      <c r="U436">
        <v>1</v>
      </c>
      <c r="V436" t="s">
        <v>1755</v>
      </c>
      <c r="W436">
        <v>20544</v>
      </c>
      <c r="X436">
        <v>45500</v>
      </c>
      <c r="Y436">
        <v>46209</v>
      </c>
      <c r="Z436" t="s">
        <v>1755</v>
      </c>
      <c r="AA436" t="s">
        <v>1755</v>
      </c>
      <c r="AB436">
        <v>3</v>
      </c>
      <c r="AC436">
        <v>477000</v>
      </c>
      <c r="AD436">
        <v>682500</v>
      </c>
      <c r="AE436">
        <v>205500</v>
      </c>
      <c r="AF436" t="s">
        <v>1755</v>
      </c>
      <c r="AG436">
        <v>10.483516483516484</v>
      </c>
      <c r="AH436">
        <v>391.30434782608694</v>
      </c>
      <c r="AI436" t="s">
        <v>6308</v>
      </c>
      <c r="AJ436" t="s">
        <v>47</v>
      </c>
      <c r="AK436" t="s">
        <v>1755</v>
      </c>
      <c r="AL436" t="s">
        <v>1755</v>
      </c>
      <c r="AM436" t="s">
        <v>1755</v>
      </c>
      <c r="AO436">
        <v>-205500</v>
      </c>
      <c r="AP436">
        <v>0.30109890109890108</v>
      </c>
      <c r="AQ436">
        <v>10.483516483516484</v>
      </c>
      <c r="AR436" t="s">
        <v>47</v>
      </c>
      <c r="AT436" t="s">
        <v>47</v>
      </c>
    </row>
    <row r="437" spans="1:46" x14ac:dyDescent="0.25">
      <c r="A437" t="s">
        <v>1755</v>
      </c>
      <c r="B437" s="19">
        <v>46206</v>
      </c>
      <c r="C437" t="s">
        <v>7018</v>
      </c>
      <c r="D437" t="s">
        <v>6302</v>
      </c>
      <c r="E437" t="s">
        <v>6086</v>
      </c>
      <c r="F437" t="s">
        <v>1371</v>
      </c>
      <c r="G437" t="s">
        <v>1755</v>
      </c>
      <c r="I437" t="str">
        <f>CONCATENATE(Inbound___Outbound_Shifting[[#This Row],[Batch '#]],"-",Inbound___Outbound_Shifting[[#This Row],[Exp '# or Key]])</f>
        <v>--</v>
      </c>
      <c r="J437" t="s">
        <v>6603</v>
      </c>
      <c r="K437" t="s">
        <v>6395</v>
      </c>
      <c r="L437" t="s">
        <v>1755</v>
      </c>
      <c r="M437" t="s">
        <v>1755</v>
      </c>
      <c r="N437" t="s">
        <v>1755</v>
      </c>
      <c r="O437" t="s">
        <v>1755</v>
      </c>
      <c r="P437" t="s">
        <v>1755</v>
      </c>
      <c r="Q437" t="s">
        <v>1755</v>
      </c>
      <c r="R437" t="s">
        <v>1755</v>
      </c>
      <c r="S437" t="s">
        <v>1755</v>
      </c>
      <c r="T437" t="s">
        <v>7022</v>
      </c>
      <c r="U437">
        <v>1</v>
      </c>
      <c r="V437" t="s">
        <v>1755</v>
      </c>
      <c r="W437">
        <v>20454</v>
      </c>
      <c r="X437" t="s">
        <v>1755</v>
      </c>
      <c r="Y437">
        <v>46209</v>
      </c>
      <c r="Z437" t="s">
        <v>1755</v>
      </c>
      <c r="AA437" t="s">
        <v>1755</v>
      </c>
      <c r="AB437">
        <v>3</v>
      </c>
      <c r="AC437" t="s">
        <v>1755</v>
      </c>
      <c r="AE437">
        <v>0</v>
      </c>
      <c r="AF437" t="s">
        <v>1755</v>
      </c>
      <c r="AI437" t="s">
        <v>1755</v>
      </c>
      <c r="AK437" t="s">
        <v>1755</v>
      </c>
      <c r="AL437" t="s">
        <v>1755</v>
      </c>
      <c r="AM437" t="s">
        <v>1755</v>
      </c>
      <c r="AO437">
        <v>0</v>
      </c>
    </row>
    <row r="438" spans="1:46" x14ac:dyDescent="0.25">
      <c r="A438" t="s">
        <v>6300</v>
      </c>
      <c r="B438" s="19">
        <v>46206</v>
      </c>
      <c r="C438" t="s">
        <v>7018</v>
      </c>
      <c r="D438" t="s">
        <v>6302</v>
      </c>
      <c r="E438" t="s">
        <v>6086</v>
      </c>
      <c r="F438" t="s">
        <v>1371</v>
      </c>
      <c r="G438" t="s">
        <v>1755</v>
      </c>
      <c r="I438" t="str">
        <f>CONCATENATE(Inbound___Outbound_Shifting[[#This Row],[Batch '#]],"-",Inbound___Outbound_Shifting[[#This Row],[Exp '# or Key]])</f>
        <v>--</v>
      </c>
      <c r="J438" t="s">
        <v>6603</v>
      </c>
      <c r="K438" t="s">
        <v>6395</v>
      </c>
      <c r="L438" t="s">
        <v>1755</v>
      </c>
      <c r="M438" t="s">
        <v>1755</v>
      </c>
      <c r="N438" t="s">
        <v>1755</v>
      </c>
      <c r="O438" t="s">
        <v>6631</v>
      </c>
      <c r="P438" t="s">
        <v>7023</v>
      </c>
      <c r="Q438" t="s">
        <v>7024</v>
      </c>
      <c r="R438" t="s">
        <v>6535</v>
      </c>
      <c r="S438">
        <v>1</v>
      </c>
      <c r="T438" t="s">
        <v>7025</v>
      </c>
      <c r="U438">
        <v>1</v>
      </c>
      <c r="V438" t="s">
        <v>1755</v>
      </c>
      <c r="W438">
        <v>20808</v>
      </c>
      <c r="X438">
        <v>46000</v>
      </c>
      <c r="Y438">
        <v>46209</v>
      </c>
      <c r="Z438" t="s">
        <v>1755</v>
      </c>
      <c r="AA438" t="s">
        <v>1755</v>
      </c>
      <c r="AB438">
        <v>3</v>
      </c>
      <c r="AC438">
        <v>477000</v>
      </c>
      <c r="AD438">
        <v>690000</v>
      </c>
      <c r="AE438">
        <v>213000</v>
      </c>
      <c r="AF438" t="s">
        <v>1755</v>
      </c>
      <c r="AG438">
        <v>10.369565217391305</v>
      </c>
      <c r="AH438">
        <v>391.30434782608694</v>
      </c>
      <c r="AI438" t="s">
        <v>6308</v>
      </c>
      <c r="AJ438" t="s">
        <v>47</v>
      </c>
      <c r="AK438" t="s">
        <v>1755</v>
      </c>
      <c r="AL438" t="s">
        <v>1755</v>
      </c>
      <c r="AM438" t="s">
        <v>1755</v>
      </c>
      <c r="AO438">
        <v>-213000</v>
      </c>
      <c r="AP438">
        <v>0.30869565217391304</v>
      </c>
      <c r="AQ438">
        <v>10.369565217391305</v>
      </c>
      <c r="AR438" t="s">
        <v>47</v>
      </c>
      <c r="AT438" t="s">
        <v>47</v>
      </c>
    </row>
    <row r="439" spans="1:46" x14ac:dyDescent="0.25">
      <c r="A439" t="s">
        <v>1755</v>
      </c>
      <c r="B439" s="19">
        <v>46206</v>
      </c>
      <c r="C439" t="s">
        <v>7018</v>
      </c>
      <c r="D439" t="s">
        <v>6302</v>
      </c>
      <c r="E439" t="s">
        <v>6086</v>
      </c>
      <c r="F439" t="s">
        <v>1371</v>
      </c>
      <c r="G439" t="s">
        <v>1755</v>
      </c>
      <c r="I439" t="str">
        <f>CONCATENATE(Inbound___Outbound_Shifting[[#This Row],[Batch '#]],"-",Inbound___Outbound_Shifting[[#This Row],[Exp '# or Key]])</f>
        <v>--</v>
      </c>
      <c r="J439" t="s">
        <v>6603</v>
      </c>
      <c r="K439" t="s">
        <v>6395</v>
      </c>
      <c r="L439" t="s">
        <v>1755</v>
      </c>
      <c r="M439" t="s">
        <v>1755</v>
      </c>
      <c r="N439" t="s">
        <v>1755</v>
      </c>
      <c r="O439" t="s">
        <v>1755</v>
      </c>
      <c r="P439" t="s">
        <v>1755</v>
      </c>
      <c r="Q439" t="s">
        <v>1755</v>
      </c>
      <c r="R439" t="s">
        <v>1755</v>
      </c>
      <c r="S439" t="s">
        <v>1755</v>
      </c>
      <c r="T439" t="s">
        <v>7026</v>
      </c>
      <c r="U439">
        <v>1</v>
      </c>
      <c r="V439" t="s">
        <v>1755</v>
      </c>
      <c r="W439">
        <v>20626</v>
      </c>
      <c r="X439" t="s">
        <v>1755</v>
      </c>
      <c r="Y439">
        <v>46209</v>
      </c>
      <c r="Z439" t="s">
        <v>1755</v>
      </c>
      <c r="AA439" t="s">
        <v>1755</v>
      </c>
      <c r="AB439">
        <v>3</v>
      </c>
      <c r="AC439" t="s">
        <v>1755</v>
      </c>
      <c r="AE439">
        <v>0</v>
      </c>
      <c r="AF439" t="s">
        <v>1755</v>
      </c>
      <c r="AI439" t="s">
        <v>1755</v>
      </c>
      <c r="AK439" t="s">
        <v>1755</v>
      </c>
      <c r="AL439" t="s">
        <v>1755</v>
      </c>
      <c r="AM439" t="s">
        <v>1755</v>
      </c>
      <c r="AO439">
        <v>0</v>
      </c>
    </row>
    <row r="440" spans="1:46" x14ac:dyDescent="0.25">
      <c r="A440" t="s">
        <v>6300</v>
      </c>
      <c r="B440" s="19">
        <v>46206</v>
      </c>
      <c r="C440" t="s">
        <v>7018</v>
      </c>
      <c r="D440" t="s">
        <v>6302</v>
      </c>
      <c r="E440" t="s">
        <v>6086</v>
      </c>
      <c r="F440" t="s">
        <v>1371</v>
      </c>
      <c r="G440" t="s">
        <v>1755</v>
      </c>
      <c r="I440" t="str">
        <f>CONCATENATE(Inbound___Outbound_Shifting[[#This Row],[Batch '#]],"-",Inbound___Outbound_Shifting[[#This Row],[Exp '# or Key]])</f>
        <v>--</v>
      </c>
      <c r="J440" t="s">
        <v>6603</v>
      </c>
      <c r="K440" t="s">
        <v>6395</v>
      </c>
      <c r="L440" t="s">
        <v>1755</v>
      </c>
      <c r="M440" t="s">
        <v>1755</v>
      </c>
      <c r="N440" t="s">
        <v>1755</v>
      </c>
      <c r="O440" t="s">
        <v>6631</v>
      </c>
      <c r="P440" t="s">
        <v>7027</v>
      </c>
      <c r="Q440" t="s">
        <v>7028</v>
      </c>
      <c r="R440" t="s">
        <v>6535</v>
      </c>
      <c r="S440">
        <v>1</v>
      </c>
      <c r="T440" t="s">
        <v>7029</v>
      </c>
      <c r="U440">
        <v>1</v>
      </c>
      <c r="V440" t="s">
        <v>1755</v>
      </c>
      <c r="W440">
        <v>20662</v>
      </c>
      <c r="X440">
        <v>46000</v>
      </c>
      <c r="Y440">
        <v>46209</v>
      </c>
      <c r="Z440" t="s">
        <v>1755</v>
      </c>
      <c r="AA440" t="s">
        <v>1755</v>
      </c>
      <c r="AB440">
        <v>3</v>
      </c>
      <c r="AC440">
        <v>477000</v>
      </c>
      <c r="AD440">
        <v>690000</v>
      </c>
      <c r="AE440">
        <v>213000</v>
      </c>
      <c r="AF440" t="s">
        <v>1755</v>
      </c>
      <c r="AG440">
        <v>10.369565217391305</v>
      </c>
      <c r="AH440">
        <v>391.30434782608694</v>
      </c>
      <c r="AI440" t="s">
        <v>6308</v>
      </c>
      <c r="AJ440" t="s">
        <v>47</v>
      </c>
      <c r="AK440" t="s">
        <v>1755</v>
      </c>
      <c r="AL440" t="s">
        <v>1755</v>
      </c>
      <c r="AM440" t="s">
        <v>1755</v>
      </c>
      <c r="AO440">
        <v>-213000</v>
      </c>
      <c r="AP440">
        <v>0.30869565217391304</v>
      </c>
      <c r="AQ440">
        <v>10.369565217391305</v>
      </c>
      <c r="AR440" t="s">
        <v>47</v>
      </c>
      <c r="AT440" t="s">
        <v>47</v>
      </c>
    </row>
    <row r="441" spans="1:46" x14ac:dyDescent="0.25">
      <c r="A441" t="s">
        <v>1755</v>
      </c>
      <c r="B441" s="19">
        <v>46206</v>
      </c>
      <c r="C441" t="s">
        <v>7018</v>
      </c>
      <c r="D441" t="s">
        <v>6302</v>
      </c>
      <c r="E441" t="s">
        <v>6086</v>
      </c>
      <c r="F441" t="s">
        <v>1371</v>
      </c>
      <c r="G441" t="s">
        <v>1755</v>
      </c>
      <c r="I441" t="str">
        <f>CONCATENATE(Inbound___Outbound_Shifting[[#This Row],[Batch '#]],"-",Inbound___Outbound_Shifting[[#This Row],[Exp '# or Key]])</f>
        <v>--</v>
      </c>
      <c r="J441" t="s">
        <v>6603</v>
      </c>
      <c r="K441" t="s">
        <v>6395</v>
      </c>
      <c r="L441" t="s">
        <v>1755</v>
      </c>
      <c r="M441" t="s">
        <v>1755</v>
      </c>
      <c r="N441" t="s">
        <v>1755</v>
      </c>
      <c r="O441" t="s">
        <v>1755</v>
      </c>
      <c r="P441" t="s">
        <v>1755</v>
      </c>
      <c r="Q441" t="s">
        <v>1755</v>
      </c>
      <c r="R441" t="s">
        <v>1755</v>
      </c>
      <c r="S441" t="s">
        <v>1755</v>
      </c>
      <c r="T441" t="s">
        <v>7030</v>
      </c>
      <c r="U441">
        <v>1</v>
      </c>
      <c r="V441" t="s">
        <v>1755</v>
      </c>
      <c r="W441">
        <v>20844</v>
      </c>
      <c r="X441" t="s">
        <v>1755</v>
      </c>
      <c r="Y441">
        <v>46209</v>
      </c>
      <c r="Z441" t="s">
        <v>1755</v>
      </c>
      <c r="AA441" t="s">
        <v>1755</v>
      </c>
      <c r="AB441">
        <v>3</v>
      </c>
      <c r="AC441" t="s">
        <v>1755</v>
      </c>
      <c r="AE441">
        <v>0</v>
      </c>
      <c r="AF441" t="s">
        <v>1755</v>
      </c>
      <c r="AI441" t="s">
        <v>1755</v>
      </c>
      <c r="AK441" t="s">
        <v>1755</v>
      </c>
      <c r="AL441" t="s">
        <v>1755</v>
      </c>
      <c r="AM441" t="s">
        <v>1755</v>
      </c>
      <c r="AO441">
        <v>0</v>
      </c>
    </row>
    <row r="442" spans="1:46" x14ac:dyDescent="0.25">
      <c r="A442" t="s">
        <v>6300</v>
      </c>
      <c r="B442" s="19">
        <v>46206</v>
      </c>
      <c r="C442" t="s">
        <v>7018</v>
      </c>
      <c r="D442" t="s">
        <v>6302</v>
      </c>
      <c r="E442" t="s">
        <v>6086</v>
      </c>
      <c r="F442" t="s">
        <v>1371</v>
      </c>
      <c r="G442" t="s">
        <v>1755</v>
      </c>
      <c r="I442" t="str">
        <f>CONCATENATE(Inbound___Outbound_Shifting[[#This Row],[Batch '#]],"-",Inbound___Outbound_Shifting[[#This Row],[Exp '# or Key]])</f>
        <v>--</v>
      </c>
      <c r="J442" t="s">
        <v>6603</v>
      </c>
      <c r="K442" t="s">
        <v>6395</v>
      </c>
      <c r="L442" t="s">
        <v>1755</v>
      </c>
      <c r="M442" t="s">
        <v>1755</v>
      </c>
      <c r="N442" t="s">
        <v>1755</v>
      </c>
      <c r="O442" t="s">
        <v>6631</v>
      </c>
      <c r="P442" t="s">
        <v>7031</v>
      </c>
      <c r="Q442" t="s">
        <v>7032</v>
      </c>
      <c r="R442" t="s">
        <v>6535</v>
      </c>
      <c r="S442">
        <v>1</v>
      </c>
      <c r="T442" t="s">
        <v>7033</v>
      </c>
      <c r="U442">
        <v>1</v>
      </c>
      <c r="V442" t="s">
        <v>1755</v>
      </c>
      <c r="W442">
        <v>20708</v>
      </c>
      <c r="X442">
        <v>46000</v>
      </c>
      <c r="Y442">
        <v>46209</v>
      </c>
      <c r="Z442" t="s">
        <v>1755</v>
      </c>
      <c r="AA442" t="s">
        <v>1755</v>
      </c>
      <c r="AB442">
        <v>3</v>
      </c>
      <c r="AC442">
        <v>477000</v>
      </c>
      <c r="AD442">
        <v>690000</v>
      </c>
      <c r="AE442">
        <v>213000</v>
      </c>
      <c r="AF442" t="s">
        <v>1755</v>
      </c>
      <c r="AG442">
        <v>10.369565217391305</v>
      </c>
      <c r="AH442">
        <v>391.30434782608694</v>
      </c>
      <c r="AI442" t="s">
        <v>6308</v>
      </c>
      <c r="AJ442" t="s">
        <v>47</v>
      </c>
      <c r="AK442" t="s">
        <v>1755</v>
      </c>
      <c r="AL442" t="s">
        <v>1755</v>
      </c>
      <c r="AM442" t="s">
        <v>1755</v>
      </c>
      <c r="AO442">
        <v>-213000</v>
      </c>
      <c r="AP442">
        <v>0.30869565217391304</v>
      </c>
      <c r="AQ442">
        <v>10.369565217391305</v>
      </c>
      <c r="AR442" t="s">
        <v>47</v>
      </c>
      <c r="AT442" t="s">
        <v>47</v>
      </c>
    </row>
    <row r="443" spans="1:46" x14ac:dyDescent="0.25">
      <c r="A443" t="s">
        <v>1755</v>
      </c>
      <c r="B443" s="19">
        <v>46206</v>
      </c>
      <c r="C443" t="s">
        <v>7018</v>
      </c>
      <c r="D443" t="s">
        <v>6302</v>
      </c>
      <c r="E443" t="s">
        <v>6086</v>
      </c>
      <c r="F443" t="s">
        <v>1371</v>
      </c>
      <c r="G443" t="s">
        <v>1755</v>
      </c>
      <c r="I443" t="str">
        <f>CONCATENATE(Inbound___Outbound_Shifting[[#This Row],[Batch '#]],"-",Inbound___Outbound_Shifting[[#This Row],[Exp '# or Key]])</f>
        <v>--</v>
      </c>
      <c r="J443" t="s">
        <v>6603</v>
      </c>
      <c r="K443" t="s">
        <v>6395</v>
      </c>
      <c r="L443" t="s">
        <v>1755</v>
      </c>
      <c r="M443" t="s">
        <v>1755</v>
      </c>
      <c r="N443" t="s">
        <v>1755</v>
      </c>
      <c r="O443" t="s">
        <v>1755</v>
      </c>
      <c r="P443" t="s">
        <v>1755</v>
      </c>
      <c r="Q443" t="s">
        <v>1755</v>
      </c>
      <c r="R443" t="s">
        <v>1755</v>
      </c>
      <c r="S443" t="s">
        <v>1755</v>
      </c>
      <c r="T443" t="s">
        <v>7034</v>
      </c>
      <c r="U443">
        <v>1</v>
      </c>
      <c r="V443" t="s">
        <v>1755</v>
      </c>
      <c r="W443">
        <v>20445</v>
      </c>
      <c r="X443" t="s">
        <v>1755</v>
      </c>
      <c r="Y443">
        <v>46209</v>
      </c>
      <c r="Z443" t="s">
        <v>1755</v>
      </c>
      <c r="AA443" t="s">
        <v>1755</v>
      </c>
      <c r="AB443">
        <v>3</v>
      </c>
      <c r="AC443" t="s">
        <v>1755</v>
      </c>
      <c r="AE443">
        <v>0</v>
      </c>
      <c r="AF443" t="s">
        <v>1755</v>
      </c>
      <c r="AI443" t="s">
        <v>1755</v>
      </c>
      <c r="AK443" t="s">
        <v>1755</v>
      </c>
      <c r="AL443" t="s">
        <v>1755</v>
      </c>
      <c r="AM443" t="s">
        <v>1755</v>
      </c>
      <c r="AO443">
        <v>0</v>
      </c>
    </row>
    <row r="444" spans="1:46" x14ac:dyDescent="0.25">
      <c r="A444" t="s">
        <v>6300</v>
      </c>
      <c r="B444" s="19">
        <v>46206</v>
      </c>
      <c r="C444" t="s">
        <v>7018</v>
      </c>
      <c r="D444" t="s">
        <v>6302</v>
      </c>
      <c r="E444" t="s">
        <v>6086</v>
      </c>
      <c r="F444" t="s">
        <v>1371</v>
      </c>
      <c r="G444" t="s">
        <v>1755</v>
      </c>
      <c r="I444" t="str">
        <f>CONCATENATE(Inbound___Outbound_Shifting[[#This Row],[Batch '#]],"-",Inbound___Outbound_Shifting[[#This Row],[Exp '# or Key]])</f>
        <v>--</v>
      </c>
      <c r="J444" t="s">
        <v>6603</v>
      </c>
      <c r="K444" t="s">
        <v>6395</v>
      </c>
      <c r="L444" t="s">
        <v>1755</v>
      </c>
      <c r="M444" t="s">
        <v>1755</v>
      </c>
      <c r="N444" t="s">
        <v>1755</v>
      </c>
      <c r="O444" t="s">
        <v>6631</v>
      </c>
      <c r="P444" t="s">
        <v>7035</v>
      </c>
      <c r="Q444" t="s">
        <v>7036</v>
      </c>
      <c r="R444" t="s">
        <v>6535</v>
      </c>
      <c r="S444">
        <v>1</v>
      </c>
      <c r="T444" t="s">
        <v>7037</v>
      </c>
      <c r="U444">
        <v>1</v>
      </c>
      <c r="V444" t="s">
        <v>1755</v>
      </c>
      <c r="W444">
        <v>20726</v>
      </c>
      <c r="X444">
        <v>46000</v>
      </c>
      <c r="Y444">
        <v>46209</v>
      </c>
      <c r="Z444" t="s">
        <v>1755</v>
      </c>
      <c r="AA444" t="s">
        <v>1755</v>
      </c>
      <c r="AB444">
        <v>3</v>
      </c>
      <c r="AC444">
        <v>477000</v>
      </c>
      <c r="AD444">
        <v>690000</v>
      </c>
      <c r="AE444">
        <v>213000</v>
      </c>
      <c r="AF444" t="s">
        <v>1755</v>
      </c>
      <c r="AG444">
        <v>10.369565217391305</v>
      </c>
      <c r="AH444">
        <v>391.30434782608694</v>
      </c>
      <c r="AI444" t="s">
        <v>6308</v>
      </c>
      <c r="AJ444" t="s">
        <v>47</v>
      </c>
      <c r="AK444" t="s">
        <v>1755</v>
      </c>
      <c r="AL444" t="s">
        <v>1755</v>
      </c>
      <c r="AM444" t="s">
        <v>1755</v>
      </c>
      <c r="AO444">
        <v>-213000</v>
      </c>
      <c r="AP444">
        <v>0.30869565217391304</v>
      </c>
      <c r="AQ444">
        <v>10.369565217391305</v>
      </c>
      <c r="AR444" t="s">
        <v>47</v>
      </c>
      <c r="AT444" t="s">
        <v>47</v>
      </c>
    </row>
    <row r="445" spans="1:46" x14ac:dyDescent="0.25">
      <c r="A445" t="s">
        <v>1755</v>
      </c>
      <c r="B445" s="19">
        <v>46206</v>
      </c>
      <c r="C445" t="s">
        <v>7018</v>
      </c>
      <c r="D445" t="s">
        <v>6302</v>
      </c>
      <c r="E445" t="s">
        <v>6086</v>
      </c>
      <c r="F445" t="s">
        <v>1371</v>
      </c>
      <c r="G445" t="s">
        <v>1755</v>
      </c>
      <c r="I445" t="str">
        <f>CONCATENATE(Inbound___Outbound_Shifting[[#This Row],[Batch '#]],"-",Inbound___Outbound_Shifting[[#This Row],[Exp '# or Key]])</f>
        <v>--</v>
      </c>
      <c r="J445" t="s">
        <v>6603</v>
      </c>
      <c r="K445" t="s">
        <v>6395</v>
      </c>
      <c r="L445" t="s">
        <v>1755</v>
      </c>
      <c r="M445" t="s">
        <v>1755</v>
      </c>
      <c r="N445" t="s">
        <v>1755</v>
      </c>
      <c r="O445" t="s">
        <v>1755</v>
      </c>
      <c r="P445" t="s">
        <v>1755</v>
      </c>
      <c r="Q445" t="s">
        <v>1755</v>
      </c>
      <c r="R445" t="s">
        <v>1755</v>
      </c>
      <c r="S445" t="s">
        <v>1755</v>
      </c>
      <c r="T445" t="s">
        <v>7038</v>
      </c>
      <c r="U445">
        <v>1</v>
      </c>
      <c r="V445" t="s">
        <v>1755</v>
      </c>
      <c r="W445">
        <v>20535</v>
      </c>
      <c r="X445" t="s">
        <v>1755</v>
      </c>
      <c r="Y445">
        <v>46209</v>
      </c>
      <c r="Z445" t="s">
        <v>1755</v>
      </c>
      <c r="AA445" t="s">
        <v>1755</v>
      </c>
      <c r="AB445">
        <v>3</v>
      </c>
      <c r="AC445" t="s">
        <v>1755</v>
      </c>
      <c r="AE445">
        <v>0</v>
      </c>
      <c r="AF445" t="s">
        <v>1755</v>
      </c>
      <c r="AI445" t="s">
        <v>1755</v>
      </c>
      <c r="AK445" t="s">
        <v>1755</v>
      </c>
      <c r="AL445" t="s">
        <v>1755</v>
      </c>
      <c r="AM445" t="s">
        <v>1755</v>
      </c>
      <c r="AO445">
        <v>0</v>
      </c>
    </row>
    <row r="446" spans="1:46" x14ac:dyDescent="0.25">
      <c r="A446" t="s">
        <v>6300</v>
      </c>
      <c r="B446" s="19">
        <v>46206</v>
      </c>
      <c r="C446" t="s">
        <v>7039</v>
      </c>
      <c r="D446" t="s">
        <v>6302</v>
      </c>
      <c r="E446" t="s">
        <v>6086</v>
      </c>
      <c r="F446" t="s">
        <v>1371</v>
      </c>
      <c r="G446" t="s">
        <v>1755</v>
      </c>
      <c r="I446" t="str">
        <f>CONCATENATE(Inbound___Outbound_Shifting[[#This Row],[Batch '#]],"-",Inbound___Outbound_Shifting[[#This Row],[Exp '# or Key]])</f>
        <v>--</v>
      </c>
      <c r="J446" t="s">
        <v>6413</v>
      </c>
      <c r="K446" t="s">
        <v>6395</v>
      </c>
      <c r="L446" t="s">
        <v>1755</v>
      </c>
      <c r="M446" t="s">
        <v>1755</v>
      </c>
      <c r="N446" t="s">
        <v>1755</v>
      </c>
      <c r="O446" t="s">
        <v>6631</v>
      </c>
      <c r="P446" t="s">
        <v>7040</v>
      </c>
      <c r="Q446" t="s">
        <v>7041</v>
      </c>
      <c r="R446" t="s">
        <v>6535</v>
      </c>
      <c r="S446">
        <v>1</v>
      </c>
      <c r="T446" t="s">
        <v>7042</v>
      </c>
      <c r="U446">
        <v>1</v>
      </c>
      <c r="V446" t="s">
        <v>1755</v>
      </c>
      <c r="W446">
        <v>27000</v>
      </c>
      <c r="X446">
        <v>59000</v>
      </c>
      <c r="Y446">
        <v>46209</v>
      </c>
      <c r="Z446" t="s">
        <v>1755</v>
      </c>
      <c r="AA446" t="s">
        <v>1755</v>
      </c>
      <c r="AB446">
        <v>3</v>
      </c>
      <c r="AC446">
        <v>556400</v>
      </c>
      <c r="AD446">
        <v>885000</v>
      </c>
      <c r="AE446">
        <v>328600</v>
      </c>
      <c r="AF446" t="s">
        <v>1755</v>
      </c>
      <c r="AG446">
        <v>9.4305084745762713</v>
      </c>
      <c r="AH446">
        <v>456.43970467596392</v>
      </c>
      <c r="AI446" t="s">
        <v>6308</v>
      </c>
      <c r="AJ446" t="s">
        <v>47</v>
      </c>
      <c r="AK446" t="s">
        <v>1755</v>
      </c>
      <c r="AL446" t="s">
        <v>1755</v>
      </c>
      <c r="AM446" t="s">
        <v>1755</v>
      </c>
      <c r="AO446">
        <v>-328600</v>
      </c>
      <c r="AP446">
        <v>0.37129943502824858</v>
      </c>
      <c r="AQ446">
        <v>9.4305084745762713</v>
      </c>
      <c r="AR446" t="s">
        <v>47</v>
      </c>
      <c r="AT446" t="s">
        <v>47</v>
      </c>
    </row>
    <row r="447" spans="1:46" x14ac:dyDescent="0.25">
      <c r="A447" t="s">
        <v>1755</v>
      </c>
      <c r="B447" s="19">
        <v>46206</v>
      </c>
      <c r="C447" t="s">
        <v>7039</v>
      </c>
      <c r="D447" t="s">
        <v>6302</v>
      </c>
      <c r="E447" t="s">
        <v>6086</v>
      </c>
      <c r="F447" t="s">
        <v>6319</v>
      </c>
      <c r="G447" t="s">
        <v>1755</v>
      </c>
      <c r="I447" t="str">
        <f>CONCATENATE(Inbound___Outbound_Shifting[[#This Row],[Batch '#]],"-",Inbound___Outbound_Shifting[[#This Row],[Exp '# or Key]])</f>
        <v>--</v>
      </c>
      <c r="J447" t="s">
        <v>6413</v>
      </c>
      <c r="K447" t="s">
        <v>6395</v>
      </c>
      <c r="L447" t="s">
        <v>1755</v>
      </c>
      <c r="M447" t="s">
        <v>1755</v>
      </c>
      <c r="N447" t="s">
        <v>1755</v>
      </c>
      <c r="O447" t="s">
        <v>1755</v>
      </c>
      <c r="P447" t="s">
        <v>1755</v>
      </c>
      <c r="Q447" t="s">
        <v>1755</v>
      </c>
      <c r="R447" t="s">
        <v>1755</v>
      </c>
      <c r="S447" t="s">
        <v>1755</v>
      </c>
      <c r="T447" t="s">
        <v>7043</v>
      </c>
      <c r="U447">
        <v>1</v>
      </c>
      <c r="V447" t="s">
        <v>1755</v>
      </c>
      <c r="W447">
        <v>27000</v>
      </c>
      <c r="X447" t="s">
        <v>1755</v>
      </c>
      <c r="Y447">
        <v>46209</v>
      </c>
      <c r="Z447" t="s">
        <v>1755</v>
      </c>
      <c r="AA447" t="s">
        <v>1755</v>
      </c>
      <c r="AB447">
        <v>3</v>
      </c>
      <c r="AC447" t="s">
        <v>1755</v>
      </c>
      <c r="AE447">
        <v>0</v>
      </c>
      <c r="AF447" t="s">
        <v>1755</v>
      </c>
      <c r="AI447" t="s">
        <v>1755</v>
      </c>
      <c r="AK447" t="s">
        <v>1755</v>
      </c>
      <c r="AL447" t="s">
        <v>1755</v>
      </c>
      <c r="AM447" t="s">
        <v>1755</v>
      </c>
      <c r="AO447">
        <v>0</v>
      </c>
    </row>
    <row r="448" spans="1:46" x14ac:dyDescent="0.25">
      <c r="A448" t="s">
        <v>6300</v>
      </c>
      <c r="B448" s="19">
        <v>46206</v>
      </c>
      <c r="C448" t="s">
        <v>7044</v>
      </c>
      <c r="D448" t="s">
        <v>6302</v>
      </c>
      <c r="E448" t="s">
        <v>1268</v>
      </c>
      <c r="F448" t="s">
        <v>1371</v>
      </c>
      <c r="G448" t="s">
        <v>1755</v>
      </c>
      <c r="I448" t="str">
        <f>CONCATENATE(Inbound___Outbound_Shifting[[#This Row],[Batch '#]],"-",Inbound___Outbound_Shifting[[#This Row],[Exp '# or Key]])</f>
        <v>--</v>
      </c>
      <c r="J448" t="s">
        <v>6629</v>
      </c>
      <c r="K448" t="s">
        <v>6882</v>
      </c>
      <c r="L448" t="s">
        <v>1755</v>
      </c>
      <c r="M448" t="s">
        <v>1755</v>
      </c>
      <c r="N448" t="s">
        <v>1755</v>
      </c>
      <c r="O448" t="s">
        <v>6341</v>
      </c>
      <c r="P448" t="s">
        <v>7045</v>
      </c>
      <c r="Q448" t="s">
        <v>7046</v>
      </c>
      <c r="R448" t="s">
        <v>6307</v>
      </c>
      <c r="S448">
        <v>1</v>
      </c>
      <c r="T448" t="s">
        <v>1755</v>
      </c>
      <c r="U448" t="s">
        <v>1755</v>
      </c>
      <c r="V448" t="s">
        <v>1755</v>
      </c>
      <c r="W448">
        <v>17700</v>
      </c>
      <c r="X448">
        <v>27910</v>
      </c>
      <c r="Y448">
        <v>46209</v>
      </c>
      <c r="Z448" t="s">
        <v>1755</v>
      </c>
      <c r="AA448" t="s">
        <v>1755</v>
      </c>
      <c r="AB448">
        <v>3</v>
      </c>
      <c r="AC448">
        <v>330000</v>
      </c>
      <c r="AD448">
        <v>418650</v>
      </c>
      <c r="AE448">
        <v>88650</v>
      </c>
      <c r="AF448" t="s">
        <v>1755</v>
      </c>
      <c r="AG448">
        <v>11.823719097097815</v>
      </c>
      <c r="AH448">
        <v>270.71369975389666</v>
      </c>
      <c r="AI448" t="s">
        <v>6308</v>
      </c>
      <c r="AJ448" t="s">
        <v>47</v>
      </c>
      <c r="AK448" t="s">
        <v>107</v>
      </c>
      <c r="AL448" t="s">
        <v>107</v>
      </c>
      <c r="AM448" t="s">
        <v>107</v>
      </c>
      <c r="AO448">
        <v>-88650</v>
      </c>
      <c r="AP448">
        <v>0.21175206019347903</v>
      </c>
      <c r="AQ448">
        <v>11.823719097097815</v>
      </c>
      <c r="AR448" t="s">
        <v>47</v>
      </c>
      <c r="AT448" t="s">
        <v>47</v>
      </c>
    </row>
    <row r="449" spans="1:46" x14ac:dyDescent="0.25">
      <c r="A449" t="s">
        <v>1755</v>
      </c>
      <c r="B449" s="19">
        <v>46206</v>
      </c>
      <c r="C449">
        <v>3849</v>
      </c>
      <c r="D449" t="s">
        <v>6302</v>
      </c>
      <c r="E449" t="s">
        <v>1268</v>
      </c>
      <c r="F449" t="s">
        <v>1371</v>
      </c>
      <c r="G449" t="s">
        <v>1755</v>
      </c>
      <c r="I449" t="str">
        <f>CONCATENATE(Inbound___Outbound_Shifting[[#This Row],[Batch '#]],"-",Inbound___Outbound_Shifting[[#This Row],[Exp '# or Key]])</f>
        <v>--</v>
      </c>
      <c r="J449" t="s">
        <v>6517</v>
      </c>
      <c r="K449" t="s">
        <v>6518</v>
      </c>
      <c r="L449" t="s">
        <v>1755</v>
      </c>
      <c r="M449" t="s">
        <v>1755</v>
      </c>
      <c r="N449" t="s">
        <v>1755</v>
      </c>
      <c r="O449" t="s">
        <v>1755</v>
      </c>
      <c r="P449" t="s">
        <v>1755</v>
      </c>
      <c r="Q449" t="s">
        <v>1755</v>
      </c>
      <c r="R449" t="s">
        <v>1755</v>
      </c>
      <c r="S449" t="s">
        <v>1755</v>
      </c>
      <c r="T449" t="s">
        <v>1755</v>
      </c>
      <c r="U449" t="s">
        <v>1755</v>
      </c>
      <c r="V449" t="s">
        <v>1755</v>
      </c>
      <c r="W449">
        <v>10000</v>
      </c>
      <c r="X449" t="s">
        <v>1755</v>
      </c>
      <c r="Y449">
        <v>46209</v>
      </c>
      <c r="Z449" t="s">
        <v>1755</v>
      </c>
      <c r="AA449" t="s">
        <v>1755</v>
      </c>
      <c r="AB449">
        <v>3</v>
      </c>
      <c r="AC449" t="s">
        <v>1755</v>
      </c>
      <c r="AE449">
        <v>0</v>
      </c>
      <c r="AF449" t="s">
        <v>1755</v>
      </c>
      <c r="AI449" t="s">
        <v>1755</v>
      </c>
      <c r="AJ449" t="s">
        <v>1755</v>
      </c>
      <c r="AK449" t="s">
        <v>1755</v>
      </c>
      <c r="AL449" t="s">
        <v>1755</v>
      </c>
      <c r="AM449" t="s">
        <v>1755</v>
      </c>
      <c r="AO449">
        <v>0</v>
      </c>
    </row>
    <row r="450" spans="1:46" x14ac:dyDescent="0.25">
      <c r="A450" t="s">
        <v>1755</v>
      </c>
      <c r="B450" s="19">
        <v>46206</v>
      </c>
      <c r="C450" t="s">
        <v>6366</v>
      </c>
      <c r="D450" t="s">
        <v>6302</v>
      </c>
      <c r="E450" t="s">
        <v>1268</v>
      </c>
      <c r="F450" t="s">
        <v>1371</v>
      </c>
      <c r="G450" t="s">
        <v>1755</v>
      </c>
      <c r="I450" t="str">
        <f>CONCATENATE(Inbound___Outbound_Shifting[[#This Row],[Batch '#]],"-",Inbound___Outbound_Shifting[[#This Row],[Exp '# or Key]])</f>
        <v>--</v>
      </c>
      <c r="J450" t="s">
        <v>6892</v>
      </c>
      <c r="K450" t="s">
        <v>7047</v>
      </c>
      <c r="L450" t="s">
        <v>1755</v>
      </c>
      <c r="M450" t="s">
        <v>1755</v>
      </c>
      <c r="N450" t="s">
        <v>1755</v>
      </c>
      <c r="O450" t="s">
        <v>1755</v>
      </c>
      <c r="P450" t="s">
        <v>1755</v>
      </c>
      <c r="Q450" t="s">
        <v>1755</v>
      </c>
      <c r="R450" t="s">
        <v>1755</v>
      </c>
      <c r="S450" t="s">
        <v>1755</v>
      </c>
      <c r="T450" t="s">
        <v>1755</v>
      </c>
      <c r="U450" t="s">
        <v>1755</v>
      </c>
      <c r="V450" t="s">
        <v>1755</v>
      </c>
      <c r="W450">
        <v>200</v>
      </c>
      <c r="X450" t="s">
        <v>1755</v>
      </c>
      <c r="Y450">
        <v>46209</v>
      </c>
      <c r="Z450" t="s">
        <v>1755</v>
      </c>
      <c r="AA450" t="s">
        <v>1755</v>
      </c>
      <c r="AB450">
        <v>3</v>
      </c>
      <c r="AC450" t="s">
        <v>1755</v>
      </c>
      <c r="AE450">
        <v>0</v>
      </c>
      <c r="AF450" t="s">
        <v>1755</v>
      </c>
      <c r="AI450" t="s">
        <v>1755</v>
      </c>
      <c r="AJ450" t="s">
        <v>1755</v>
      </c>
      <c r="AK450" t="s">
        <v>1755</v>
      </c>
      <c r="AL450" t="s">
        <v>1755</v>
      </c>
      <c r="AM450" t="s">
        <v>1755</v>
      </c>
      <c r="AO450">
        <v>0</v>
      </c>
    </row>
    <row r="451" spans="1:46" x14ac:dyDescent="0.25">
      <c r="A451" t="s">
        <v>1755</v>
      </c>
      <c r="B451" s="19">
        <v>46206</v>
      </c>
      <c r="C451" t="s">
        <v>7048</v>
      </c>
      <c r="D451" t="s">
        <v>6302</v>
      </c>
      <c r="E451" t="s">
        <v>1268</v>
      </c>
      <c r="F451" t="s">
        <v>1371</v>
      </c>
      <c r="G451" t="s">
        <v>1755</v>
      </c>
      <c r="I451" t="str">
        <f>CONCATENATE(Inbound___Outbound_Shifting[[#This Row],[Batch '#]],"-",Inbound___Outbound_Shifting[[#This Row],[Exp '# or Key]])</f>
        <v>--</v>
      </c>
      <c r="J451" t="s">
        <v>7049</v>
      </c>
      <c r="K451" t="s">
        <v>6314</v>
      </c>
      <c r="L451" t="s">
        <v>1755</v>
      </c>
      <c r="M451" t="s">
        <v>1755</v>
      </c>
      <c r="N451" t="s">
        <v>1755</v>
      </c>
      <c r="O451" t="s">
        <v>1755</v>
      </c>
      <c r="P451" t="s">
        <v>1755</v>
      </c>
      <c r="Q451" t="s">
        <v>1755</v>
      </c>
      <c r="R451" t="s">
        <v>1755</v>
      </c>
      <c r="S451" t="s">
        <v>1755</v>
      </c>
      <c r="T451" t="s">
        <v>1755</v>
      </c>
      <c r="U451" t="s">
        <v>1755</v>
      </c>
      <c r="V451" t="s">
        <v>1755</v>
      </c>
      <c r="W451">
        <v>10</v>
      </c>
      <c r="X451" t="s">
        <v>1755</v>
      </c>
      <c r="Y451">
        <v>46209</v>
      </c>
      <c r="Z451" t="s">
        <v>1755</v>
      </c>
      <c r="AA451" t="s">
        <v>1755</v>
      </c>
      <c r="AB451">
        <v>3</v>
      </c>
      <c r="AC451" t="s">
        <v>1755</v>
      </c>
      <c r="AE451">
        <v>0</v>
      </c>
      <c r="AF451" t="s">
        <v>1755</v>
      </c>
      <c r="AI451" t="s">
        <v>1755</v>
      </c>
      <c r="AJ451" t="s">
        <v>1755</v>
      </c>
      <c r="AK451" t="s">
        <v>1755</v>
      </c>
      <c r="AL451" t="s">
        <v>1755</v>
      </c>
      <c r="AM451" t="s">
        <v>1755</v>
      </c>
      <c r="AO451">
        <v>0</v>
      </c>
    </row>
    <row r="452" spans="1:46" x14ac:dyDescent="0.25">
      <c r="A452" t="s">
        <v>6329</v>
      </c>
      <c r="B452" s="19">
        <v>46207</v>
      </c>
      <c r="C452" t="s">
        <v>7050</v>
      </c>
      <c r="D452" t="s">
        <v>1600</v>
      </c>
      <c r="E452" t="s">
        <v>117</v>
      </c>
      <c r="F452" t="s">
        <v>1259</v>
      </c>
      <c r="G452" t="s">
        <v>1755</v>
      </c>
      <c r="I452" t="str">
        <f>CONCATENATE(Inbound___Outbound_Shifting[[#This Row],[Batch '#]],"-",Inbound___Outbound_Shifting[[#This Row],[Exp '# or Key]])</f>
        <v>--</v>
      </c>
      <c r="J452" t="s">
        <v>1755</v>
      </c>
      <c r="K452">
        <v>20</v>
      </c>
      <c r="L452" t="s">
        <v>117</v>
      </c>
      <c r="M452" t="s">
        <v>1268</v>
      </c>
      <c r="N452" t="s">
        <v>1755</v>
      </c>
      <c r="O452" t="s">
        <v>430</v>
      </c>
      <c r="P452" t="s">
        <v>7051</v>
      </c>
      <c r="Q452" t="s">
        <v>7052</v>
      </c>
      <c r="R452" t="s">
        <v>6307</v>
      </c>
      <c r="S452" t="s">
        <v>1755</v>
      </c>
      <c r="T452" t="s">
        <v>1755</v>
      </c>
      <c r="U452" t="s">
        <v>1755</v>
      </c>
      <c r="V452" t="s">
        <v>1755</v>
      </c>
      <c r="W452">
        <v>22000</v>
      </c>
      <c r="X452">
        <v>24000</v>
      </c>
      <c r="Y452">
        <v>46210</v>
      </c>
      <c r="Z452">
        <v>46206</v>
      </c>
      <c r="AA452" t="s">
        <v>1755</v>
      </c>
      <c r="AB452">
        <v>3</v>
      </c>
      <c r="AC452">
        <v>168950</v>
      </c>
      <c r="AD452">
        <v>180000</v>
      </c>
      <c r="AE452">
        <v>11050</v>
      </c>
      <c r="AF452" t="s">
        <v>1755</v>
      </c>
      <c r="AG452">
        <v>7.0395833333333337</v>
      </c>
      <c r="AI452" t="s">
        <v>6308</v>
      </c>
      <c r="AJ452" t="s">
        <v>47</v>
      </c>
      <c r="AK452" t="s">
        <v>107</v>
      </c>
      <c r="AL452" t="s">
        <v>107</v>
      </c>
      <c r="AM452" t="s">
        <v>107</v>
      </c>
      <c r="AO452">
        <v>-11050</v>
      </c>
      <c r="AP452">
        <v>6.1388888888888889E-2</v>
      </c>
      <c r="AQ452">
        <v>7.0395833333333337</v>
      </c>
      <c r="AR452" t="s">
        <v>47</v>
      </c>
      <c r="AT452" t="s">
        <v>47</v>
      </c>
    </row>
    <row r="453" spans="1:46" x14ac:dyDescent="0.25">
      <c r="A453" t="s">
        <v>1755</v>
      </c>
      <c r="B453" s="19"/>
      <c r="C453" t="s">
        <v>1755</v>
      </c>
      <c r="D453" t="s">
        <v>6366</v>
      </c>
      <c r="E453" t="s">
        <v>117</v>
      </c>
      <c r="F453" t="s">
        <v>1268</v>
      </c>
      <c r="G453" t="s">
        <v>1755</v>
      </c>
      <c r="I453" t="str">
        <f>CONCATENATE(Inbound___Outbound_Shifting[[#This Row],[Batch '#]],"-",Inbound___Outbound_Shifting[[#This Row],[Exp '# or Key]])</f>
        <v>--</v>
      </c>
      <c r="J453" t="s">
        <v>1755</v>
      </c>
      <c r="K453">
        <v>8</v>
      </c>
      <c r="L453" t="s">
        <v>117</v>
      </c>
      <c r="M453" t="s">
        <v>1755</v>
      </c>
      <c r="N453" t="s">
        <v>1755</v>
      </c>
      <c r="O453" t="s">
        <v>1755</v>
      </c>
      <c r="P453" t="s">
        <v>1755</v>
      </c>
      <c r="Q453" t="s">
        <v>1755</v>
      </c>
      <c r="R453" t="s">
        <v>1755</v>
      </c>
      <c r="S453" t="s">
        <v>1755</v>
      </c>
      <c r="T453" t="s">
        <v>1755</v>
      </c>
      <c r="U453" t="s">
        <v>1755</v>
      </c>
      <c r="V453" t="s">
        <v>1755</v>
      </c>
      <c r="W453" t="s">
        <v>1755</v>
      </c>
      <c r="X453" t="s">
        <v>1755</v>
      </c>
      <c r="Y453" t="s">
        <v>1755</v>
      </c>
      <c r="Z453" t="s">
        <v>1755</v>
      </c>
      <c r="AA453" t="s">
        <v>1755</v>
      </c>
      <c r="AC453" t="s">
        <v>1755</v>
      </c>
      <c r="AE453">
        <v>0</v>
      </c>
      <c r="AF453" t="s">
        <v>1755</v>
      </c>
      <c r="AI453" t="s">
        <v>1755</v>
      </c>
      <c r="AJ453" t="s">
        <v>1755</v>
      </c>
      <c r="AK453" t="s">
        <v>1755</v>
      </c>
      <c r="AL453" t="s">
        <v>1755</v>
      </c>
      <c r="AM453" t="s">
        <v>1755</v>
      </c>
      <c r="AO453">
        <v>0</v>
      </c>
    </row>
    <row r="454" spans="1:46" x14ac:dyDescent="0.25">
      <c r="A454" t="s">
        <v>6300</v>
      </c>
      <c r="B454" s="19">
        <v>46211</v>
      </c>
      <c r="C454" t="s">
        <v>7053</v>
      </c>
      <c r="D454" t="s">
        <v>6302</v>
      </c>
      <c r="E454" t="s">
        <v>1268</v>
      </c>
      <c r="F454" t="s">
        <v>117</v>
      </c>
      <c r="G454" t="s">
        <v>1755</v>
      </c>
      <c r="I454" t="str">
        <f>CONCATENATE(Inbound___Outbound_Shifting[[#This Row],[Batch '#]],"-",Inbound___Outbound_Shifting[[#This Row],[Exp '# or Key]])</f>
        <v>--</v>
      </c>
      <c r="J454" t="s">
        <v>6382</v>
      </c>
      <c r="K454">
        <v>2</v>
      </c>
    </row>
    <row r="455" spans="1:46" x14ac:dyDescent="0.25">
      <c r="A455" t="s">
        <v>6300</v>
      </c>
      <c r="B455" s="19">
        <v>46211</v>
      </c>
      <c r="C455" t="s">
        <v>7053</v>
      </c>
      <c r="D455" t="s">
        <v>6302</v>
      </c>
      <c r="E455" t="s">
        <v>1268</v>
      </c>
      <c r="F455" t="s">
        <v>117</v>
      </c>
      <c r="G455" t="s">
        <v>1755</v>
      </c>
      <c r="I455" t="str">
        <f>CONCATENATE(Inbound___Outbound_Shifting[[#This Row],[Batch '#]],"-",Inbound___Outbound_Shifting[[#This Row],[Exp '# or Key]])</f>
        <v>--</v>
      </c>
      <c r="J455" t="s">
        <v>6382</v>
      </c>
      <c r="K455">
        <v>3</v>
      </c>
    </row>
    <row r="456" spans="1:46" x14ac:dyDescent="0.25">
      <c r="A456" t="s">
        <v>1755</v>
      </c>
      <c r="B456" s="19">
        <v>46211</v>
      </c>
      <c r="C456" t="s">
        <v>7054</v>
      </c>
      <c r="D456" t="s">
        <v>6844</v>
      </c>
      <c r="I456" t="str">
        <f>CONCATENATE(Inbound___Outbound_Shifting[[#This Row],[Batch '#]],"-",Inbound___Outbound_Shifting[[#This Row],[Exp '# or Key]])</f>
        <v>-</v>
      </c>
    </row>
    <row r="457" spans="1:46" x14ac:dyDescent="0.25">
      <c r="B457" s="19"/>
      <c r="C457" t="s">
        <v>7055</v>
      </c>
      <c r="D457" t="s">
        <v>7055</v>
      </c>
      <c r="E457" t="s">
        <v>7055</v>
      </c>
      <c r="F457" t="s">
        <v>7055</v>
      </c>
      <c r="G457" t="s">
        <v>7055</v>
      </c>
      <c r="I457" t="str">
        <f>CONCATENATE(Inbound___Outbound_Shifting[[#This Row],[Batch '#]],"-",Inbound___Outbound_Shifting[[#This Row],[Exp '# or Key]])</f>
        <v>test-</v>
      </c>
      <c r="J457" t="s">
        <v>7055</v>
      </c>
      <c r="K457" t="s">
        <v>7055</v>
      </c>
    </row>
    <row r="458" spans="1:46" x14ac:dyDescent="0.25">
      <c r="B458" s="19"/>
      <c r="I458" t="str">
        <f>CONCATENATE(Inbound___Outbound_Shifting[[#This Row],[Batch '#]],"-",Inbound___Outbound_Shifting[[#This Row],[Exp '# or Key]])</f>
        <v>-</v>
      </c>
    </row>
    <row r="459" spans="1:46" x14ac:dyDescent="0.25">
      <c r="B459" s="19"/>
      <c r="I459" t="str">
        <f>CONCATENATE(Inbound___Outbound_Shifting[[#This Row],[Batch '#]],"-",Inbound___Outbound_Shifting[[#This Row],[Exp '# or Key]])</f>
        <v>-</v>
      </c>
    </row>
    <row r="460" spans="1:46" x14ac:dyDescent="0.25">
      <c r="B460" s="19"/>
      <c r="I460" t="str">
        <f>CONCATENATE(Inbound___Outbound_Shifting[[#This Row],[Batch '#]],"-",Inbound___Outbound_Shifting[[#This Row],[Exp '# or Key]])</f>
        <v>-</v>
      </c>
    </row>
    <row r="461" spans="1:46" x14ac:dyDescent="0.25">
      <c r="B461" s="19"/>
      <c r="I461" t="str">
        <f>CONCATENATE(Inbound___Outbound_Shifting[[#This Row],[Batch '#]],"-",Inbound___Outbound_Shifting[[#This Row],[Exp '# or Key]])</f>
        <v>-</v>
      </c>
    </row>
    <row r="462" spans="1:46" x14ac:dyDescent="0.25">
      <c r="B462" s="19"/>
      <c r="I462" t="str">
        <f>CONCATENATE(Inbound___Outbound_Shifting[[#This Row],[Batch '#]],"-",Inbound___Outbound_Shifting[[#This Row],[Exp '# or Key]])</f>
        <v>-</v>
      </c>
    </row>
    <row r="463" spans="1:46" x14ac:dyDescent="0.25">
      <c r="B463" s="19"/>
      <c r="I463" t="str">
        <f>CONCATENATE(Inbound___Outbound_Shifting[[#This Row],[Batch '#]],"-",Inbound___Outbound_Shifting[[#This Row],[Exp '# or Key]])</f>
        <v>-</v>
      </c>
    </row>
    <row r="464" spans="1:46" x14ac:dyDescent="0.25">
      <c r="B464" s="19"/>
      <c r="I464" t="str">
        <f>CONCATENATE(Inbound___Outbound_Shifting[[#This Row],[Batch '#]],"-",Inbound___Outbound_Shifting[[#This Row],[Exp '# or Key]])</f>
        <v>-</v>
      </c>
    </row>
    <row r="465" spans="2:9" x14ac:dyDescent="0.25">
      <c r="B465" s="19"/>
      <c r="I465" t="str">
        <f>CONCATENATE(Inbound___Outbound_Shifting[[#This Row],[Batch '#]],"-",Inbound___Outbound_Shifting[[#This Row],[Exp '# or Key]])</f>
        <v>-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A889A3-1C1B-4774-B9EE-2BA0761CC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Read Me - Guide</vt:lpstr>
      <vt:lpstr>Export Documentation Database</vt:lpstr>
      <vt:lpstr>Shipment Master Database</vt:lpstr>
      <vt:lpstr>Master Packing Database</vt:lpstr>
      <vt:lpstr>Data Quality Checks</vt:lpstr>
      <vt:lpstr>Setup_Lists</vt:lpstr>
      <vt:lpstr>PQ Mapping Analysis</vt:lpstr>
      <vt:lpstr>Inbound &amp; Outbound Shifting</vt:lpstr>
      <vt:lpstr>Doc_Status</vt:lpstr>
      <vt:lpstr>Incoterm</vt:lpstr>
      <vt:lpstr>Packing_Status</vt:lpstr>
      <vt:lpstr>Segment</vt:lpstr>
      <vt:lpstr>Shipment_Mode</vt:lpstr>
      <vt:lpstr>Shipment_Status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6</cp:revision>
  <dcterms:created xsi:type="dcterms:W3CDTF">2026-06-30T06:04:18Z</dcterms:created>
  <dcterms:modified xsi:type="dcterms:W3CDTF">2026-07-14T09:28:39Z</dcterms:modified>
  <dc:language>en-US</dc:language>
</cp:coreProperties>
</file>